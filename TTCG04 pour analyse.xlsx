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drive.gsk.com/personal/yaqing_x_hu_gsk_com/Documents/Desktop/FDA/"/>
    </mc:Choice>
  </mc:AlternateContent>
  <xr:revisionPtr revIDLastSave="15" documentId="8_{ED16E01D-4341-4996-B913-94BA3E4CCD8D}" xr6:coauthVersionLast="47" xr6:coauthVersionMax="47" xr10:uidLastSave="{FB3CBFE4-DD9B-4238-9A3C-4C4EC1775D60}"/>
  <bookViews>
    <workbookView xWindow="-118" yWindow="-118" windowWidth="25370" windowHeight="13667" xr2:uid="{4DD319BE-1161-4704-9BDA-63FBD7F0274B}"/>
  </bookViews>
  <sheets>
    <sheet name="Compound compilation" sheetId="4" r:id="rId1"/>
  </sheets>
  <definedNames>
    <definedName name="_xlnm._FilterDatabase" localSheetId="0" hidden="1">'Compound compilation'!$A$7:$CN$758</definedName>
    <definedName name="_xlnm.Print_Area" localSheetId="0">'Compound compilation'!$A$1:$BU$759</definedName>
    <definedName name="_xlnm.Print_Titles" localSheetId="0">'Compound compilation'!$A:$A,'Compound compilation'!$3:$6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650" i="4" l="1"/>
  <c r="O535" i="4"/>
  <c r="O513" i="4"/>
  <c r="O486" i="4"/>
  <c r="O487" i="4"/>
  <c r="O282" i="4"/>
  <c r="O283" i="4"/>
  <c r="O267" i="4"/>
  <c r="O191" i="4"/>
  <c r="O288" i="4"/>
  <c r="O322" i="4"/>
  <c r="O391" i="4"/>
  <c r="O440" i="4"/>
  <c r="O485" i="4"/>
  <c r="O505" i="4"/>
  <c r="O608" i="4"/>
  <c r="O615" i="4"/>
  <c r="O125" i="4"/>
  <c r="O521" i="4"/>
  <c r="O622" i="4"/>
  <c r="O72" i="4"/>
  <c r="O100" i="4"/>
  <c r="O101" i="4"/>
  <c r="O102" i="4"/>
  <c r="O103" i="4"/>
  <c r="O104" i="4"/>
  <c r="O575" i="4"/>
  <c r="O754" i="4"/>
  <c r="O755" i="4"/>
  <c r="O756" i="4"/>
  <c r="O757" i="4"/>
  <c r="O758" i="4"/>
  <c r="O745" i="4"/>
  <c r="O746" i="4"/>
  <c r="O747" i="4"/>
  <c r="O748" i="4"/>
  <c r="O749" i="4"/>
  <c r="O750" i="4"/>
  <c r="O751" i="4"/>
  <c r="O752" i="4"/>
  <c r="O753" i="4"/>
  <c r="O744" i="4"/>
  <c r="O734" i="4"/>
  <c r="O735" i="4"/>
  <c r="O736" i="4"/>
  <c r="O737" i="4"/>
  <c r="O738" i="4"/>
  <c r="O739" i="4"/>
  <c r="O740" i="4"/>
  <c r="O741" i="4"/>
  <c r="O742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12" i="4"/>
  <c r="O713" i="4"/>
  <c r="O714" i="4"/>
  <c r="O715" i="4"/>
  <c r="O716" i="4"/>
  <c r="O717" i="4"/>
  <c r="O718" i="4"/>
  <c r="O719" i="4"/>
  <c r="O720" i="4"/>
  <c r="O721" i="4"/>
  <c r="O710" i="4"/>
  <c r="O711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691" i="4"/>
  <c r="O692" i="4"/>
  <c r="O693" i="4"/>
  <c r="O694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61" i="4"/>
  <c r="O662" i="4"/>
  <c r="O663" i="4"/>
  <c r="O664" i="4"/>
  <c r="O665" i="4"/>
  <c r="O666" i="4"/>
  <c r="O667" i="4"/>
  <c r="O668" i="4"/>
  <c r="O669" i="4"/>
  <c r="O670" i="4"/>
  <c r="O671" i="4"/>
  <c r="O653" i="4"/>
  <c r="O654" i="4"/>
  <c r="O655" i="4"/>
  <c r="O656" i="4"/>
  <c r="O657" i="4"/>
  <c r="O658" i="4"/>
  <c r="O659" i="4"/>
  <c r="O660" i="4"/>
  <c r="O651" i="4"/>
  <c r="O646" i="4"/>
  <c r="O647" i="4"/>
  <c r="O648" i="4"/>
  <c r="O649" i="4"/>
  <c r="O643" i="4"/>
  <c r="O644" i="4"/>
  <c r="O645" i="4"/>
  <c r="O642" i="4"/>
  <c r="O637" i="4"/>
  <c r="O638" i="4"/>
  <c r="O639" i="4"/>
  <c r="O640" i="4"/>
  <c r="O641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17" i="4"/>
  <c r="O618" i="4"/>
  <c r="O619" i="4"/>
  <c r="O620" i="4"/>
  <c r="O621" i="4"/>
  <c r="O609" i="4"/>
  <c r="O610" i="4"/>
  <c r="O611" i="4"/>
  <c r="O612" i="4"/>
  <c r="O613" i="4"/>
  <c r="O614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580" i="4"/>
  <c r="O581" i="4"/>
  <c r="O582" i="4"/>
  <c r="O583" i="4"/>
  <c r="O584" i="4"/>
  <c r="O585" i="4"/>
  <c r="O586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23" i="4"/>
  <c r="O524" i="4"/>
  <c r="O525" i="4"/>
  <c r="O526" i="4"/>
  <c r="O527" i="4"/>
  <c r="O528" i="4"/>
  <c r="O529" i="4"/>
  <c r="O530" i="4"/>
  <c r="O520" i="4"/>
  <c r="O517" i="4"/>
  <c r="O514" i="4"/>
  <c r="O515" i="4"/>
  <c r="O507" i="4"/>
  <c r="O508" i="4"/>
  <c r="O509" i="4"/>
  <c r="O510" i="4"/>
  <c r="O511" i="4"/>
  <c r="O496" i="4"/>
  <c r="O497" i="4"/>
  <c r="O498" i="4"/>
  <c r="O499" i="4"/>
  <c r="O500" i="4"/>
  <c r="O501" i="4"/>
  <c r="O502" i="4"/>
  <c r="O503" i="4"/>
  <c r="O504" i="4"/>
  <c r="O492" i="4"/>
  <c r="O488" i="4"/>
  <c r="O477" i="4"/>
  <c r="O478" i="4"/>
  <c r="O479" i="4"/>
  <c r="O480" i="4"/>
  <c r="O481" i="4"/>
  <c r="O474" i="4"/>
  <c r="O475" i="4"/>
  <c r="O476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59" i="4"/>
  <c r="O460" i="4"/>
  <c r="O449" i="4"/>
  <c r="O450" i="4"/>
  <c r="O451" i="4"/>
  <c r="O452" i="4"/>
  <c r="O453" i="4"/>
  <c r="O454" i="4"/>
  <c r="O455" i="4"/>
  <c r="O456" i="4"/>
  <c r="O457" i="4"/>
  <c r="O458" i="4"/>
  <c r="O445" i="4"/>
  <c r="O446" i="4"/>
  <c r="O447" i="4"/>
  <c r="O448" i="4"/>
  <c r="O443" i="4"/>
  <c r="O441" i="4"/>
  <c r="O437" i="4" l="1"/>
  <c r="O438" i="4"/>
  <c r="O439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19" i="4"/>
  <c r="O420" i="4"/>
  <c r="O421" i="4"/>
  <c r="O422" i="4"/>
  <c r="O423" i="4"/>
  <c r="O424" i="4"/>
  <c r="O410" i="4"/>
  <c r="O411" i="4"/>
  <c r="O412" i="4"/>
  <c r="O413" i="4"/>
  <c r="O414" i="4"/>
  <c r="O415" i="4"/>
  <c r="O416" i="4"/>
  <c r="O417" i="4"/>
  <c r="O418" i="4"/>
  <c r="O405" i="4"/>
  <c r="O406" i="4"/>
  <c r="O407" i="4"/>
  <c r="O408" i="4"/>
  <c r="O409" i="4"/>
  <c r="O393" i="4"/>
  <c r="O394" i="4"/>
  <c r="O395" i="4"/>
  <c r="O396" i="4"/>
  <c r="O397" i="4"/>
  <c r="O398" i="4"/>
  <c r="O399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53" i="4"/>
  <c r="O354" i="4"/>
  <c r="O355" i="4"/>
  <c r="O356" i="4"/>
  <c r="O357" i="4"/>
  <c r="O358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30" i="4"/>
  <c r="O331" i="4"/>
  <c r="O332" i="4"/>
  <c r="O333" i="4"/>
  <c r="O323" i="4"/>
  <c r="O324" i="4"/>
  <c r="O325" i="4"/>
  <c r="O326" i="4"/>
  <c r="O327" i="4"/>
  <c r="O328" i="4"/>
  <c r="O329" i="4"/>
  <c r="O317" i="4" l="1"/>
  <c r="O318" i="4"/>
  <c r="O319" i="4"/>
  <c r="O320" i="4"/>
  <c r="O321" i="4"/>
  <c r="O315" i="4"/>
  <c r="O316" i="4"/>
  <c r="O308" i="4"/>
  <c r="O309" i="4"/>
  <c r="O310" i="4"/>
  <c r="O311" i="4"/>
  <c r="O312" i="4"/>
  <c r="O313" i="4"/>
  <c r="O314" i="4"/>
  <c r="O304" i="4"/>
  <c r="O305" i="4"/>
  <c r="O306" i="4"/>
  <c r="O307" i="4"/>
  <c r="O301" i="4" l="1"/>
  <c r="O290" i="4"/>
  <c r="O291" i="4"/>
  <c r="O292" i="4"/>
  <c r="O293" i="4"/>
  <c r="O294" i="4"/>
  <c r="O295" i="4"/>
  <c r="O296" i="4"/>
  <c r="O297" i="4"/>
  <c r="O298" i="4"/>
  <c r="O299" i="4"/>
  <c r="O300" i="4"/>
  <c r="Q301" i="4"/>
  <c r="S301" i="4" s="1"/>
  <c r="W301" i="4" s="1"/>
  <c r="O285" i="4"/>
  <c r="O286" i="4"/>
  <c r="O287" i="4"/>
  <c r="O276" i="4"/>
  <c r="O277" i="4"/>
  <c r="O278" i="4"/>
  <c r="O279" i="4"/>
  <c r="O280" i="4"/>
  <c r="O281" i="4"/>
  <c r="O270" i="4"/>
  <c r="O271" i="4"/>
  <c r="O272" i="4"/>
  <c r="O273" i="4"/>
  <c r="O268" i="4"/>
  <c r="O264" i="4"/>
  <c r="O265" i="4"/>
  <c r="O266" i="4"/>
  <c r="O263" i="4"/>
  <c r="O254" i="4"/>
  <c r="O255" i="4"/>
  <c r="O256" i="4"/>
  <c r="O257" i="4"/>
  <c r="O258" i="4"/>
  <c r="O259" i="4"/>
  <c r="O260" i="4"/>
  <c r="O261" i="4"/>
  <c r="Q261" i="4" s="1"/>
  <c r="R261" i="4" s="1"/>
  <c r="O244" i="4"/>
  <c r="O245" i="4"/>
  <c r="O246" i="4"/>
  <c r="O247" i="4"/>
  <c r="O248" i="4"/>
  <c r="O249" i="4"/>
  <c r="O250" i="4"/>
  <c r="O251" i="4"/>
  <c r="O252" i="4"/>
  <c r="O253" i="4"/>
  <c r="O243" i="4"/>
  <c r="O236" i="4"/>
  <c r="O237" i="4"/>
  <c r="O238" i="4"/>
  <c r="O239" i="4"/>
  <c r="O240" i="4"/>
  <c r="O233" i="4"/>
  <c r="O234" i="4"/>
  <c r="O226" i="4"/>
  <c r="O227" i="4"/>
  <c r="O228" i="4"/>
  <c r="O229" i="4"/>
  <c r="O230" i="4"/>
  <c r="O231" i="4"/>
  <c r="O232" i="4"/>
  <c r="O214" i="4"/>
  <c r="O215" i="4"/>
  <c r="O216" i="4"/>
  <c r="O217" i="4"/>
  <c r="O218" i="4"/>
  <c r="O219" i="4"/>
  <c r="O220" i="4"/>
  <c r="O221" i="4"/>
  <c r="O222" i="4"/>
  <c r="O223" i="4"/>
  <c r="O224" i="4"/>
  <c r="Q224" i="4" s="1"/>
  <c r="R224" i="4" s="1"/>
  <c r="V224" i="4" s="1"/>
  <c r="O22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194" i="4"/>
  <c r="O195" i="4"/>
  <c r="O192" i="4"/>
  <c r="O185" i="4"/>
  <c r="O186" i="4"/>
  <c r="O187" i="4"/>
  <c r="O188" i="4"/>
  <c r="O189" i="4"/>
  <c r="O190" i="4"/>
  <c r="O182" i="4"/>
  <c r="O183" i="4"/>
  <c r="O184" i="4"/>
  <c r="O178" i="4"/>
  <c r="O17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58" i="4"/>
  <c r="O159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4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21" i="4"/>
  <c r="Q121" i="4" s="1"/>
  <c r="R121" i="4" s="1"/>
  <c r="O122" i="4"/>
  <c r="Q122" i="4" s="1"/>
  <c r="R122" i="4" s="1"/>
  <c r="V122" i="4" s="1"/>
  <c r="O123" i="4"/>
  <c r="Q123" i="4" s="1"/>
  <c r="X123" i="4" s="1"/>
  <c r="O124" i="4"/>
  <c r="O120" i="4"/>
  <c r="O116" i="4"/>
  <c r="O117" i="4"/>
  <c r="O118" i="4"/>
  <c r="O111" i="4"/>
  <c r="O112" i="4"/>
  <c r="O113" i="4"/>
  <c r="O114" i="4"/>
  <c r="O115" i="4"/>
  <c r="O107" i="4"/>
  <c r="O108" i="4"/>
  <c r="O109" i="4"/>
  <c r="O110" i="4"/>
  <c r="O105" i="4"/>
  <c r="O106" i="4"/>
  <c r="O97" i="4"/>
  <c r="Q97" i="4" s="1"/>
  <c r="R97" i="4" s="1"/>
  <c r="V97" i="4" s="1"/>
  <c r="O98" i="4"/>
  <c r="Q98" i="4" s="1"/>
  <c r="O90" i="4"/>
  <c r="O91" i="4"/>
  <c r="O92" i="4"/>
  <c r="O93" i="4"/>
  <c r="O94" i="4"/>
  <c r="O95" i="4"/>
  <c r="O96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64" i="4"/>
  <c r="O65" i="4"/>
  <c r="O66" i="4"/>
  <c r="O67" i="4"/>
  <c r="O68" i="4"/>
  <c r="O69" i="4"/>
  <c r="O70" i="4"/>
  <c r="Q70" i="4" s="1"/>
  <c r="R70" i="4" s="1"/>
  <c r="V70" i="4" s="1"/>
  <c r="O71" i="4"/>
  <c r="O58" i="4"/>
  <c r="O59" i="4"/>
  <c r="O60" i="4"/>
  <c r="O61" i="4"/>
  <c r="O62" i="4"/>
  <c r="O63" i="4"/>
  <c r="O50" i="4"/>
  <c r="O51" i="4"/>
  <c r="O52" i="4"/>
  <c r="O53" i="4"/>
  <c r="Q53" i="4" s="1"/>
  <c r="R53" i="4" s="1"/>
  <c r="V53" i="4" s="1"/>
  <c r="O54" i="4"/>
  <c r="O55" i="4"/>
  <c r="O56" i="4"/>
  <c r="O57" i="4"/>
  <c r="O44" i="4"/>
  <c r="O45" i="4"/>
  <c r="O46" i="4"/>
  <c r="O47" i="4"/>
  <c r="O48" i="4"/>
  <c r="O49" i="4"/>
  <c r="O38" i="4"/>
  <c r="O39" i="4"/>
  <c r="O40" i="4"/>
  <c r="O41" i="4"/>
  <c r="O42" i="4"/>
  <c r="O43" i="4"/>
  <c r="O27" i="4"/>
  <c r="O28" i="4"/>
  <c r="O29" i="4"/>
  <c r="O30" i="4"/>
  <c r="O31" i="4"/>
  <c r="O32" i="4"/>
  <c r="O33" i="4"/>
  <c r="O34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8" i="4"/>
  <c r="Q613" i="4"/>
  <c r="Q524" i="4"/>
  <c r="R524" i="4" s="1"/>
  <c r="Q248" i="4"/>
  <c r="R248" i="4" s="1"/>
  <c r="V248" i="4" s="1"/>
  <c r="Q264" i="4"/>
  <c r="S264" i="4" s="1"/>
  <c r="Q409" i="4"/>
  <c r="X409" i="4" s="1"/>
  <c r="Q411" i="4"/>
  <c r="Q455" i="4"/>
  <c r="Q580" i="4"/>
  <c r="X580" i="4" s="1"/>
  <c r="Q582" i="4"/>
  <c r="S582" i="4" s="1"/>
  <c r="W582" i="4" s="1"/>
  <c r="Q592" i="4"/>
  <c r="R592" i="4" s="1"/>
  <c r="V592" i="4" s="1"/>
  <c r="Q640" i="4"/>
  <c r="S640" i="4" s="1"/>
  <c r="Q643" i="4"/>
  <c r="R643" i="4" s="1"/>
  <c r="V643" i="4" s="1"/>
  <c r="Q690" i="4"/>
  <c r="S690" i="4" s="1"/>
  <c r="W690" i="4" s="1"/>
  <c r="Q722" i="4"/>
  <c r="R722" i="4" s="1"/>
  <c r="V722" i="4" s="1"/>
  <c r="Q756" i="4"/>
  <c r="S756" i="4" s="1"/>
  <c r="O536" i="4"/>
  <c r="O531" i="4"/>
  <c r="O289" i="4"/>
  <c r="X224" i="4" l="1"/>
  <c r="X524" i="4"/>
  <c r="X690" i="4"/>
  <c r="X301" i="4"/>
  <c r="R690" i="4"/>
  <c r="U690" i="4" s="1"/>
  <c r="R301" i="4"/>
  <c r="V301" i="4" s="1"/>
  <c r="X582" i="4"/>
  <c r="R582" i="4"/>
  <c r="V582" i="4" s="1"/>
  <c r="U592" i="4"/>
  <c r="S409" i="4"/>
  <c r="W409" i="4" s="1"/>
  <c r="R409" i="4"/>
  <c r="U409" i="4" s="1"/>
  <c r="X261" i="4"/>
  <c r="S121" i="4"/>
  <c r="W121" i="4" s="1"/>
  <c r="X643" i="4"/>
  <c r="S524" i="4"/>
  <c r="W524" i="4" s="1"/>
  <c r="X97" i="4"/>
  <c r="U643" i="4"/>
  <c r="S643" i="4"/>
  <c r="W643" i="4" s="1"/>
  <c r="S70" i="4"/>
  <c r="W70" i="4" s="1"/>
  <c r="S123" i="4"/>
  <c r="W123" i="4" s="1"/>
  <c r="S722" i="4"/>
  <c r="W722" i="4" s="1"/>
  <c r="R640" i="4"/>
  <c r="V640" i="4" s="1"/>
  <c r="S580" i="4"/>
  <c r="W580" i="4" s="1"/>
  <c r="S411" i="4"/>
  <c r="W411" i="4" s="1"/>
  <c r="X53" i="4"/>
  <c r="R580" i="4"/>
  <c r="V580" i="4" s="1"/>
  <c r="R411" i="4"/>
  <c r="V411" i="4" s="1"/>
  <c r="R264" i="4"/>
  <c r="V264" i="4" s="1"/>
  <c r="X121" i="4"/>
  <c r="U121" i="4"/>
  <c r="V121" i="4"/>
  <c r="V524" i="4"/>
  <c r="U524" i="4"/>
  <c r="U261" i="4"/>
  <c r="V261" i="4"/>
  <c r="S455" i="4"/>
  <c r="W455" i="4" s="1"/>
  <c r="U248" i="4"/>
  <c r="S98" i="4"/>
  <c r="W98" i="4" s="1"/>
  <c r="R756" i="4"/>
  <c r="V756" i="4" s="1"/>
  <c r="U722" i="4"/>
  <c r="S592" i="4"/>
  <c r="W592" i="4" s="1"/>
  <c r="R455" i="4"/>
  <c r="V455" i="4" s="1"/>
  <c r="S248" i="4"/>
  <c r="W248" i="4" s="1"/>
  <c r="R98" i="4"/>
  <c r="V98" i="4" s="1"/>
  <c r="U70" i="4"/>
  <c r="R123" i="4"/>
  <c r="S261" i="4"/>
  <c r="W261" i="4" s="1"/>
  <c r="X122" i="4"/>
  <c r="U97" i="4"/>
  <c r="X640" i="4"/>
  <c r="X264" i="4"/>
  <c r="U224" i="4"/>
  <c r="S97" i="4"/>
  <c r="W97" i="4" s="1"/>
  <c r="X756" i="4"/>
  <c r="W640" i="4"/>
  <c r="X455" i="4"/>
  <c r="W264" i="4"/>
  <c r="S224" i="4"/>
  <c r="W224" i="4" s="1"/>
  <c r="X98" i="4"/>
  <c r="U53" i="4"/>
  <c r="X248" i="4"/>
  <c r="U122" i="4"/>
  <c r="S53" i="4"/>
  <c r="W53" i="4" s="1"/>
  <c r="X722" i="4"/>
  <c r="S122" i="4"/>
  <c r="W122" i="4" s="1"/>
  <c r="X70" i="4"/>
  <c r="W756" i="4"/>
  <c r="X592" i="4"/>
  <c r="X411" i="4"/>
  <c r="Q744" i="4"/>
  <c r="Q745" i="4"/>
  <c r="Q746" i="4"/>
  <c r="Q747" i="4"/>
  <c r="S747" i="4" s="1"/>
  <c r="Q749" i="4"/>
  <c r="Q750" i="4"/>
  <c r="X750" i="4" s="1"/>
  <c r="Q751" i="4"/>
  <c r="S751" i="4" s="1"/>
  <c r="Q754" i="4"/>
  <c r="Q755" i="4"/>
  <c r="Q757" i="4"/>
  <c r="R757" i="4" s="1"/>
  <c r="V757" i="4" s="1"/>
  <c r="Q163" i="4"/>
  <c r="Q125" i="4"/>
  <c r="Q622" i="4"/>
  <c r="Q521" i="4"/>
  <c r="Q726" i="4"/>
  <c r="Q728" i="4"/>
  <c r="S728" i="4" s="1"/>
  <c r="Q733" i="4"/>
  <c r="Q734" i="4"/>
  <c r="X734" i="4" s="1"/>
  <c r="Q735" i="4"/>
  <c r="Q737" i="4"/>
  <c r="Q741" i="4"/>
  <c r="Q742" i="4"/>
  <c r="Q743" i="4"/>
  <c r="U743" i="4" s="1"/>
  <c r="Q696" i="4"/>
  <c r="Q697" i="4"/>
  <c r="Q698" i="4"/>
  <c r="R698" i="4" s="1"/>
  <c r="V698" i="4" s="1"/>
  <c r="Q699" i="4"/>
  <c r="Q700" i="4"/>
  <c r="Q701" i="4"/>
  <c r="Q702" i="4"/>
  <c r="R702" i="4" s="1"/>
  <c r="V702" i="4" s="1"/>
  <c r="Q703" i="4"/>
  <c r="Q704" i="4"/>
  <c r="X704" i="4" s="1"/>
  <c r="Q705" i="4"/>
  <c r="Q706" i="4"/>
  <c r="S706" i="4" s="1"/>
  <c r="Q707" i="4"/>
  <c r="Q709" i="4"/>
  <c r="Q710" i="4"/>
  <c r="S710" i="4" s="1"/>
  <c r="Q713" i="4"/>
  <c r="Q716" i="4"/>
  <c r="Q673" i="4"/>
  <c r="S673" i="4" s="1"/>
  <c r="Q674" i="4"/>
  <c r="Q675" i="4"/>
  <c r="Q676" i="4"/>
  <c r="Q677" i="4"/>
  <c r="S677" i="4" s="1"/>
  <c r="Q679" i="4"/>
  <c r="Q680" i="4"/>
  <c r="Q689" i="4"/>
  <c r="S689" i="4" s="1"/>
  <c r="Q694" i="4"/>
  <c r="S694" i="4" s="1"/>
  <c r="Q695" i="4"/>
  <c r="Q659" i="4"/>
  <c r="R659" i="4" s="1"/>
  <c r="V659" i="4" s="1"/>
  <c r="Q662" i="4"/>
  <c r="Q661" i="4"/>
  <c r="Q663" i="4"/>
  <c r="R663" i="4" s="1"/>
  <c r="V663" i="4" s="1"/>
  <c r="Q666" i="4"/>
  <c r="S666" i="4" s="1"/>
  <c r="Q619" i="4"/>
  <c r="Q620" i="4"/>
  <c r="Q621" i="4"/>
  <c r="Q627" i="4"/>
  <c r="Q628" i="4"/>
  <c r="Q633" i="4"/>
  <c r="Q634" i="4"/>
  <c r="Q639" i="4"/>
  <c r="Q641" i="4"/>
  <c r="Q644" i="4"/>
  <c r="Q650" i="4"/>
  <c r="Q605" i="4"/>
  <c r="Q609" i="4"/>
  <c r="Q611" i="4"/>
  <c r="Q615" i="4"/>
  <c r="Q575" i="4"/>
  <c r="S575" i="4" s="1"/>
  <c r="Q576" i="4"/>
  <c r="Q578" i="4"/>
  <c r="S578" i="4" s="1"/>
  <c r="Q584" i="4"/>
  <c r="S584" i="4" s="1"/>
  <c r="Q586" i="4"/>
  <c r="Q588" i="4"/>
  <c r="S588" i="4" s="1"/>
  <c r="Q589" i="4"/>
  <c r="S589" i="4" s="1"/>
  <c r="Q595" i="4"/>
  <c r="Q600" i="4"/>
  <c r="Q539" i="4"/>
  <c r="S539" i="4" s="1"/>
  <c r="Q541" i="4"/>
  <c r="Q542" i="4"/>
  <c r="S542" i="4" s="1"/>
  <c r="Q569" i="4"/>
  <c r="Q571" i="4"/>
  <c r="Q573" i="4"/>
  <c r="Q574" i="4"/>
  <c r="S574" i="4" s="1"/>
  <c r="Q514" i="4"/>
  <c r="Q515" i="4"/>
  <c r="Q517" i="4"/>
  <c r="Q518" i="4"/>
  <c r="X518" i="4" s="1"/>
  <c r="Q520" i="4"/>
  <c r="R520" i="4" s="1"/>
  <c r="V520" i="4" s="1"/>
  <c r="Q525" i="4"/>
  <c r="Q526" i="4"/>
  <c r="R526" i="4" s="1"/>
  <c r="V526" i="4" s="1"/>
  <c r="Q528" i="4"/>
  <c r="Q529" i="4"/>
  <c r="Q530" i="4"/>
  <c r="R530" i="4" s="1"/>
  <c r="V530" i="4" s="1"/>
  <c r="Q532" i="4"/>
  <c r="Q535" i="4"/>
  <c r="Q488" i="4"/>
  <c r="Q489" i="4"/>
  <c r="Q492" i="4"/>
  <c r="Q493" i="4"/>
  <c r="Q494" i="4"/>
  <c r="Q499" i="4"/>
  <c r="Q505" i="4"/>
  <c r="Q507" i="4"/>
  <c r="Q511" i="4"/>
  <c r="Q512" i="4"/>
  <c r="Q513" i="4"/>
  <c r="Q459" i="4"/>
  <c r="R459" i="4" s="1"/>
  <c r="V459" i="4" s="1"/>
  <c r="Q462" i="4"/>
  <c r="Q463" i="4"/>
  <c r="R463" i="4" s="1"/>
  <c r="V463" i="4" s="1"/>
  <c r="Q476" i="4"/>
  <c r="S476" i="4" s="1"/>
  <c r="Q482" i="4"/>
  <c r="Q485" i="4"/>
  <c r="Q486" i="4"/>
  <c r="Q487" i="4"/>
  <c r="S487" i="4" s="1"/>
  <c r="Q422" i="4"/>
  <c r="Q423" i="4"/>
  <c r="Q425" i="4"/>
  <c r="Q436" i="4"/>
  <c r="Q438" i="4"/>
  <c r="Q440" i="4"/>
  <c r="R440" i="4" s="1"/>
  <c r="V440" i="4" s="1"/>
  <c r="Q441" i="4"/>
  <c r="Q442" i="4"/>
  <c r="Q443" i="4"/>
  <c r="Q453" i="4"/>
  <c r="Q395" i="4"/>
  <c r="Q399" i="4"/>
  <c r="Q416" i="4"/>
  <c r="Q419" i="4"/>
  <c r="S419" i="4" s="1"/>
  <c r="Q421" i="4"/>
  <c r="Q361" i="4"/>
  <c r="S361" i="4" s="1"/>
  <c r="Q383" i="4"/>
  <c r="S383" i="4" s="1"/>
  <c r="Q384" i="4"/>
  <c r="Q390" i="4"/>
  <c r="Q391" i="4"/>
  <c r="S391" i="4" s="1"/>
  <c r="Q326" i="4"/>
  <c r="Q331" i="4"/>
  <c r="Q338" i="4"/>
  <c r="Q343" i="4"/>
  <c r="Q350" i="4"/>
  <c r="Q351" i="4"/>
  <c r="Q322" i="4"/>
  <c r="Q306" i="4"/>
  <c r="Q305" i="4"/>
  <c r="Q304" i="4"/>
  <c r="Q303" i="4"/>
  <c r="S303" i="4" s="1"/>
  <c r="Q302" i="4"/>
  <c r="Q294" i="4"/>
  <c r="R294" i="4" s="1"/>
  <c r="V294" i="4" s="1"/>
  <c r="Q290" i="4"/>
  <c r="R290" i="4" s="1"/>
  <c r="V290" i="4" s="1"/>
  <c r="Q288" i="4"/>
  <c r="Q283" i="4"/>
  <c r="Q282" i="4"/>
  <c r="Q276" i="4"/>
  <c r="Q252" i="4"/>
  <c r="Q260" i="4"/>
  <c r="Q262" i="4"/>
  <c r="Q263" i="4"/>
  <c r="Q267" i="4"/>
  <c r="S267" i="4" s="1"/>
  <c r="Q271" i="4"/>
  <c r="S271" i="4" s="1"/>
  <c r="Q273" i="4"/>
  <c r="R273" i="4" s="1"/>
  <c r="V273" i="4" s="1"/>
  <c r="Q274" i="4"/>
  <c r="Q217" i="4"/>
  <c r="Q221" i="4"/>
  <c r="Q222" i="4"/>
  <c r="Q223" i="4"/>
  <c r="Q225" i="4"/>
  <c r="Q226" i="4"/>
  <c r="Q231" i="4"/>
  <c r="Q233" i="4"/>
  <c r="Q236" i="4"/>
  <c r="Q238" i="4"/>
  <c r="Q239" i="4"/>
  <c r="Q240" i="4"/>
  <c r="Q241" i="4"/>
  <c r="Q243" i="4"/>
  <c r="Q244" i="4"/>
  <c r="Q212" i="4"/>
  <c r="Q197" i="4"/>
  <c r="R197" i="4" s="1"/>
  <c r="V197" i="4" s="1"/>
  <c r="Q196" i="4"/>
  <c r="R196" i="4" s="1"/>
  <c r="V196" i="4" s="1"/>
  <c r="Q192" i="4"/>
  <c r="X192" i="4" s="1"/>
  <c r="Q191" i="4"/>
  <c r="Q190" i="4"/>
  <c r="S190" i="4" s="1"/>
  <c r="Q189" i="4"/>
  <c r="Q187" i="4"/>
  <c r="S187" i="4" s="1"/>
  <c r="Q185" i="4"/>
  <c r="Q180" i="4"/>
  <c r="Q178" i="4"/>
  <c r="Q145" i="4"/>
  <c r="Q154" i="4"/>
  <c r="Q158" i="4"/>
  <c r="Q159" i="4"/>
  <c r="Q172" i="4"/>
  <c r="Q173" i="4"/>
  <c r="Q177" i="4"/>
  <c r="Q110" i="4"/>
  <c r="X110" i="4" s="1"/>
  <c r="Q115" i="4"/>
  <c r="R115" i="4" s="1"/>
  <c r="V115" i="4" s="1"/>
  <c r="Q117" i="4"/>
  <c r="Q118" i="4"/>
  <c r="Q119" i="4"/>
  <c r="R119" i="4" s="1"/>
  <c r="V119" i="4" s="1"/>
  <c r="Q120" i="4"/>
  <c r="Q124" i="4"/>
  <c r="Q130" i="4"/>
  <c r="Q132" i="4"/>
  <c r="Q134" i="4"/>
  <c r="Q135" i="4"/>
  <c r="Q136" i="4"/>
  <c r="R136" i="4" s="1"/>
  <c r="V136" i="4" s="1"/>
  <c r="Q142" i="4"/>
  <c r="Q144" i="4"/>
  <c r="Q83" i="4"/>
  <c r="R83" i="4" s="1"/>
  <c r="V83" i="4" s="1"/>
  <c r="Q88" i="4"/>
  <c r="Q100" i="4"/>
  <c r="Q101" i="4"/>
  <c r="S101" i="4" s="1"/>
  <c r="Q103" i="4"/>
  <c r="S103" i="4" s="1"/>
  <c r="Q61" i="4"/>
  <c r="Q63" i="4"/>
  <c r="R63" i="4" s="1"/>
  <c r="V63" i="4" s="1"/>
  <c r="Q64" i="4"/>
  <c r="Q68" i="4"/>
  <c r="Q71" i="4"/>
  <c r="Q72" i="4"/>
  <c r="Q44" i="4"/>
  <c r="Q45" i="4"/>
  <c r="S45" i="4" s="1"/>
  <c r="Q46" i="4"/>
  <c r="S46" i="4" s="1"/>
  <c r="Q47" i="4"/>
  <c r="Q48" i="4"/>
  <c r="Q50" i="4"/>
  <c r="Q52" i="4"/>
  <c r="Q55" i="4"/>
  <c r="Q57" i="4"/>
  <c r="Q58" i="4"/>
  <c r="R58" i="4" s="1"/>
  <c r="V58" i="4" s="1"/>
  <c r="Q35" i="4"/>
  <c r="Q36" i="4"/>
  <c r="S36" i="4" s="1"/>
  <c r="Q14" i="4"/>
  <c r="Q15" i="4"/>
  <c r="Q16" i="4"/>
  <c r="S16" i="4" s="1"/>
  <c r="Q17" i="4"/>
  <c r="Q18" i="4"/>
  <c r="Q20" i="4"/>
  <c r="S20" i="4" s="1"/>
  <c r="Q21" i="4"/>
  <c r="Q25" i="4"/>
  <c r="Q10" i="4"/>
  <c r="Q13" i="4"/>
  <c r="Q8" i="4"/>
  <c r="X8" i="4" s="1"/>
  <c r="Q133" i="4"/>
  <c r="Q321" i="4"/>
  <c r="U301" i="4" l="1"/>
  <c r="V690" i="4"/>
  <c r="U582" i="4"/>
  <c r="U640" i="4"/>
  <c r="U756" i="4"/>
  <c r="V409" i="4"/>
  <c r="U264" i="4"/>
  <c r="U411" i="4"/>
  <c r="U580" i="4"/>
  <c r="U455" i="4"/>
  <c r="U98" i="4"/>
  <c r="U123" i="4"/>
  <c r="V123" i="4"/>
  <c r="R103" i="4"/>
  <c r="V103" i="4" s="1"/>
  <c r="R710" i="4"/>
  <c r="V710" i="4" s="1"/>
  <c r="S702" i="4"/>
  <c r="W702" i="4" s="1"/>
  <c r="R192" i="4"/>
  <c r="V192" i="4" s="1"/>
  <c r="S463" i="4"/>
  <c r="W463" i="4" s="1"/>
  <c r="S600" i="4"/>
  <c r="S698" i="4"/>
  <c r="W698" i="4" s="1"/>
  <c r="S58" i="4"/>
  <c r="W58" i="4" s="1"/>
  <c r="S83" i="4"/>
  <c r="W83" i="4" s="1"/>
  <c r="R622" i="4"/>
  <c r="V622" i="4" s="1"/>
  <c r="S63" i="4"/>
  <c r="W63" i="4" s="1"/>
  <c r="S459" i="4"/>
  <c r="W459" i="4" s="1"/>
  <c r="R45" i="4"/>
  <c r="V45" i="4" s="1"/>
  <c r="R8" i="4"/>
  <c r="U8" i="4" s="1"/>
  <c r="S8" i="4"/>
  <c r="W8" i="4" s="1"/>
  <c r="R745" i="4"/>
  <c r="V745" i="4" s="1"/>
  <c r="S197" i="4"/>
  <c r="W197" i="4" s="1"/>
  <c r="W101" i="4"/>
  <c r="X757" i="4"/>
  <c r="S185" i="4"/>
  <c r="W185" i="4" s="1"/>
  <c r="R185" i="4"/>
  <c r="V185" i="4" s="1"/>
  <c r="S50" i="4"/>
  <c r="W50" i="4" s="1"/>
  <c r="X745" i="4"/>
  <c r="R706" i="4"/>
  <c r="V706" i="4" s="1"/>
  <c r="R749" i="4"/>
  <c r="V749" i="4" s="1"/>
  <c r="R321" i="4"/>
  <c r="V321" i="4" s="1"/>
  <c r="X321" i="4"/>
  <c r="R283" i="4"/>
  <c r="V283" i="4" s="1"/>
  <c r="X283" i="4"/>
  <c r="R507" i="4"/>
  <c r="V507" i="4" s="1"/>
  <c r="X507" i="4"/>
  <c r="R569" i="4"/>
  <c r="V569" i="4" s="1"/>
  <c r="X569" i="4"/>
  <c r="R118" i="4"/>
  <c r="V118" i="4" s="1"/>
  <c r="X118" i="4"/>
  <c r="R226" i="4"/>
  <c r="V226" i="4" s="1"/>
  <c r="X226" i="4"/>
  <c r="R492" i="4"/>
  <c r="V492" i="4" s="1"/>
  <c r="X492" i="4"/>
  <c r="R117" i="4"/>
  <c r="V117" i="4" s="1"/>
  <c r="X117" i="4"/>
  <c r="S196" i="4"/>
  <c r="W196" i="4" s="1"/>
  <c r="U196" i="4"/>
  <c r="X196" i="4"/>
  <c r="R239" i="4"/>
  <c r="V239" i="4" s="1"/>
  <c r="X239" i="4"/>
  <c r="S283" i="4"/>
  <c r="W283" i="4" s="1"/>
  <c r="S294" i="4"/>
  <c r="W294" i="4" s="1"/>
  <c r="X294" i="4"/>
  <c r="U294" i="4"/>
  <c r="W487" i="4"/>
  <c r="X487" i="4"/>
  <c r="R487" i="4"/>
  <c r="V487" i="4" s="1"/>
  <c r="X650" i="4"/>
  <c r="R650" i="4"/>
  <c r="V650" i="4" s="1"/>
  <c r="S650" i="4"/>
  <c r="W650" i="4" s="1"/>
  <c r="R68" i="4"/>
  <c r="V68" i="4" s="1"/>
  <c r="X68" i="4"/>
  <c r="S68" i="4"/>
  <c r="W68" i="4" s="1"/>
  <c r="W303" i="4"/>
  <c r="U303" i="4"/>
  <c r="X303" i="4"/>
  <c r="R303" i="4"/>
  <c r="V303" i="4" s="1"/>
  <c r="R142" i="4"/>
  <c r="V142" i="4" s="1"/>
  <c r="X142" i="4"/>
  <c r="X191" i="4"/>
  <c r="R238" i="4"/>
  <c r="V238" i="4" s="1"/>
  <c r="X238" i="4"/>
  <c r="R304" i="4"/>
  <c r="V304" i="4" s="1"/>
  <c r="X304" i="4"/>
  <c r="R338" i="4"/>
  <c r="V338" i="4" s="1"/>
  <c r="X338" i="4"/>
  <c r="R489" i="4"/>
  <c r="V489" i="4" s="1"/>
  <c r="X489" i="4"/>
  <c r="U489" i="4"/>
  <c r="W489" i="4"/>
  <c r="R20" i="4"/>
  <c r="V20" i="4" s="1"/>
  <c r="W20" i="4"/>
  <c r="X20" i="4"/>
  <c r="U115" i="4"/>
  <c r="S115" i="4"/>
  <c r="W115" i="4" s="1"/>
  <c r="X115" i="4"/>
  <c r="R178" i="4"/>
  <c r="V178" i="4" s="1"/>
  <c r="X178" i="4"/>
  <c r="R191" i="4"/>
  <c r="V191" i="4" s="1"/>
  <c r="R222" i="4"/>
  <c r="V222" i="4" s="1"/>
  <c r="X222" i="4"/>
  <c r="U273" i="4"/>
  <c r="X273" i="4"/>
  <c r="S273" i="4"/>
  <c r="W273" i="4" s="1"/>
  <c r="S304" i="4"/>
  <c r="W304" i="4" s="1"/>
  <c r="R326" i="4"/>
  <c r="V326" i="4" s="1"/>
  <c r="X326" i="4"/>
  <c r="S443" i="4"/>
  <c r="W443" i="4" s="1"/>
  <c r="X443" i="4"/>
  <c r="R443" i="4"/>
  <c r="V443" i="4" s="1"/>
  <c r="R485" i="4"/>
  <c r="V485" i="4" s="1"/>
  <c r="X485" i="4"/>
  <c r="R488" i="4"/>
  <c r="V488" i="4" s="1"/>
  <c r="X488" i="4"/>
  <c r="R132" i="4"/>
  <c r="V132" i="4" s="1"/>
  <c r="X132" i="4"/>
  <c r="R47" i="4"/>
  <c r="V47" i="4" s="1"/>
  <c r="X47" i="4"/>
  <c r="R221" i="4"/>
  <c r="V221" i="4" s="1"/>
  <c r="X221" i="4"/>
  <c r="S305" i="4"/>
  <c r="W305" i="4" s="1"/>
  <c r="X305" i="4"/>
  <c r="R442" i="4"/>
  <c r="V442" i="4" s="1"/>
  <c r="W442" i="4"/>
  <c r="X442" i="4"/>
  <c r="U442" i="4"/>
  <c r="R701" i="4"/>
  <c r="V701" i="4" s="1"/>
  <c r="X701" i="4"/>
  <c r="R145" i="4"/>
  <c r="V145" i="4" s="1"/>
  <c r="X145" i="4"/>
  <c r="X103" i="4"/>
  <c r="W103" i="4"/>
  <c r="R263" i="4"/>
  <c r="V263" i="4" s="1"/>
  <c r="X263" i="4"/>
  <c r="R441" i="4"/>
  <c r="V441" i="4" s="1"/>
  <c r="X441" i="4"/>
  <c r="R517" i="4"/>
  <c r="V517" i="4" s="1"/>
  <c r="X517" i="4"/>
  <c r="R709" i="4"/>
  <c r="V709" i="4" s="1"/>
  <c r="W709" i="4"/>
  <c r="U709" i="4"/>
  <c r="X709" i="4"/>
  <c r="R21" i="4"/>
  <c r="V21" i="4" s="1"/>
  <c r="X21" i="4"/>
  <c r="W144" i="4"/>
  <c r="U144" i="4"/>
  <c r="X144" i="4"/>
  <c r="S144" i="4"/>
  <c r="R240" i="4"/>
  <c r="V240" i="4" s="1"/>
  <c r="X240" i="4"/>
  <c r="R13" i="4"/>
  <c r="V13" i="4" s="1"/>
  <c r="X13" i="4"/>
  <c r="R130" i="4"/>
  <c r="V130" i="4" s="1"/>
  <c r="X130" i="4"/>
  <c r="R158" i="4"/>
  <c r="V158" i="4" s="1"/>
  <c r="X158" i="4"/>
  <c r="S178" i="4"/>
  <c r="W178" i="4" s="1"/>
  <c r="S191" i="4"/>
  <c r="W191" i="4" s="1"/>
  <c r="R46" i="4"/>
  <c r="V46" i="4" s="1"/>
  <c r="X46" i="4"/>
  <c r="W46" i="4"/>
  <c r="R180" i="4"/>
  <c r="V180" i="4" s="1"/>
  <c r="W180" i="4"/>
  <c r="U180" i="4"/>
  <c r="X180" i="4"/>
  <c r="R233" i="4"/>
  <c r="V233" i="4" s="1"/>
  <c r="X233" i="4"/>
  <c r="R271" i="4"/>
  <c r="V271" i="4" s="1"/>
  <c r="W271" i="4"/>
  <c r="X271" i="4"/>
  <c r="R262" i="4"/>
  <c r="V262" i="4" s="1"/>
  <c r="X262" i="4"/>
  <c r="W262" i="4"/>
  <c r="U262" i="4"/>
  <c r="S262" i="4"/>
  <c r="R252" i="4"/>
  <c r="V252" i="4" s="1"/>
  <c r="X252" i="4"/>
  <c r="S288" i="4"/>
  <c r="W288" i="4" s="1"/>
  <c r="X288" i="4"/>
  <c r="R453" i="4"/>
  <c r="V453" i="4" s="1"/>
  <c r="X453" i="4"/>
  <c r="R482" i="4"/>
  <c r="V482" i="4" s="1"/>
  <c r="W482" i="4"/>
  <c r="U482" i="4"/>
  <c r="X482" i="4"/>
  <c r="R513" i="4"/>
  <c r="V513" i="4" s="1"/>
  <c r="X513" i="4"/>
  <c r="R515" i="4"/>
  <c r="V515" i="4" s="1"/>
  <c r="X515" i="4"/>
  <c r="R35" i="4"/>
  <c r="V35" i="4" s="1"/>
  <c r="X35" i="4"/>
  <c r="W35" i="4"/>
  <c r="U35" i="4"/>
  <c r="R190" i="4"/>
  <c r="V190" i="4" s="1"/>
  <c r="W190" i="4"/>
  <c r="X190" i="4"/>
  <c r="U58" i="4"/>
  <c r="X58" i="4"/>
  <c r="R57" i="4"/>
  <c r="V57" i="4" s="1"/>
  <c r="X57" i="4"/>
  <c r="R173" i="4"/>
  <c r="V173" i="4" s="1"/>
  <c r="X173" i="4"/>
  <c r="R18" i="4"/>
  <c r="V18" i="4" s="1"/>
  <c r="X18" i="4"/>
  <c r="R64" i="4"/>
  <c r="V64" i="4" s="1"/>
  <c r="S64" i="4"/>
  <c r="W64" i="4" s="1"/>
  <c r="R55" i="4"/>
  <c r="V55" i="4" s="1"/>
  <c r="X55" i="4"/>
  <c r="S55" i="4"/>
  <c r="W55" i="4" s="1"/>
  <c r="R16" i="4"/>
  <c r="V16" i="4" s="1"/>
  <c r="W16" i="4"/>
  <c r="X16" i="4"/>
  <c r="U63" i="4"/>
  <c r="X63" i="4"/>
  <c r="X101" i="4"/>
  <c r="R101" i="4"/>
  <c r="V101" i="4" s="1"/>
  <c r="X83" i="4"/>
  <c r="U83" i="4"/>
  <c r="W187" i="4"/>
  <c r="X187" i="4"/>
  <c r="R187" i="4"/>
  <c r="V187" i="4" s="1"/>
  <c r="R260" i="4"/>
  <c r="V260" i="4" s="1"/>
  <c r="X260" i="4"/>
  <c r="X391" i="4"/>
  <c r="W391" i="4"/>
  <c r="R391" i="4"/>
  <c r="V391" i="4" s="1"/>
  <c r="R512" i="4"/>
  <c r="V512" i="4" s="1"/>
  <c r="U512" i="4"/>
  <c r="W512" i="4"/>
  <c r="X512" i="4"/>
  <c r="R675" i="4"/>
  <c r="V675" i="4" s="1"/>
  <c r="X675" i="4"/>
  <c r="R25" i="4"/>
  <c r="V25" i="4" s="1"/>
  <c r="X25" i="4"/>
  <c r="U25" i="4"/>
  <c r="W25" i="4"/>
  <c r="R15" i="4"/>
  <c r="V15" i="4" s="1"/>
  <c r="X15" i="4"/>
  <c r="R100" i="4"/>
  <c r="V100" i="4" s="1"/>
  <c r="X100" i="4"/>
  <c r="R124" i="4"/>
  <c r="V124" i="4" s="1"/>
  <c r="X124" i="4"/>
  <c r="R231" i="4"/>
  <c r="V231" i="4" s="1"/>
  <c r="X231" i="4"/>
  <c r="S290" i="4"/>
  <c r="W290" i="4" s="1"/>
  <c r="U290" i="4"/>
  <c r="X290" i="4"/>
  <c r="R390" i="4"/>
  <c r="V390" i="4" s="1"/>
  <c r="X390" i="4"/>
  <c r="S390" i="4"/>
  <c r="W390" i="4" s="1"/>
  <c r="R72" i="4"/>
  <c r="V72" i="4" s="1"/>
  <c r="X72" i="4"/>
  <c r="U136" i="4"/>
  <c r="S136" i="4"/>
  <c r="W136" i="4" s="1"/>
  <c r="X136" i="4"/>
  <c r="R120" i="4"/>
  <c r="V120" i="4" s="1"/>
  <c r="X120" i="4"/>
  <c r="R110" i="4"/>
  <c r="V110" i="4" s="1"/>
  <c r="R244" i="4"/>
  <c r="V244" i="4" s="1"/>
  <c r="X244" i="4"/>
  <c r="R343" i="4"/>
  <c r="V343" i="4" s="1"/>
  <c r="X343" i="4"/>
  <c r="R438" i="4"/>
  <c r="V438" i="4" s="1"/>
  <c r="X438" i="4"/>
  <c r="R425" i="4"/>
  <c r="V425" i="4" s="1"/>
  <c r="X425" i="4"/>
  <c r="R529" i="4"/>
  <c r="V529" i="4" s="1"/>
  <c r="X529" i="4"/>
  <c r="R14" i="4"/>
  <c r="V14" i="4" s="1"/>
  <c r="X14" i="4"/>
  <c r="R44" i="4"/>
  <c r="V44" i="4" s="1"/>
  <c r="X44" i="4"/>
  <c r="R71" i="4"/>
  <c r="V71" i="4" s="1"/>
  <c r="X71" i="4"/>
  <c r="S88" i="4"/>
  <c r="W88" i="4" s="1"/>
  <c r="X88" i="4"/>
  <c r="R135" i="4"/>
  <c r="V135" i="4" s="1"/>
  <c r="X135" i="4"/>
  <c r="R243" i="4"/>
  <c r="V243" i="4" s="1"/>
  <c r="X243" i="4"/>
  <c r="R302" i="4"/>
  <c r="V302" i="4" s="1"/>
  <c r="X302" i="4"/>
  <c r="U302" i="4"/>
  <c r="W302" i="4"/>
  <c r="R331" i="4"/>
  <c r="V331" i="4" s="1"/>
  <c r="X331" i="4"/>
  <c r="S423" i="4"/>
  <c r="W423" i="4" s="1"/>
  <c r="X423" i="4"/>
  <c r="R423" i="4"/>
  <c r="V423" i="4" s="1"/>
  <c r="R494" i="4"/>
  <c r="V494" i="4" s="1"/>
  <c r="U494" i="4"/>
  <c r="W494" i="4"/>
  <c r="X494" i="4"/>
  <c r="S494" i="4"/>
  <c r="R133" i="4"/>
  <c r="V133" i="4" s="1"/>
  <c r="X133" i="4"/>
  <c r="U36" i="4"/>
  <c r="W36" i="4"/>
  <c r="X36" i="4"/>
  <c r="R36" i="4"/>
  <c r="V36" i="4" s="1"/>
  <c r="R50" i="4"/>
  <c r="V50" i="4" s="1"/>
  <c r="X50" i="4"/>
  <c r="R144" i="4"/>
  <c r="V144" i="4" s="1"/>
  <c r="R134" i="4"/>
  <c r="V134" i="4" s="1"/>
  <c r="X134" i="4"/>
  <c r="X119" i="4"/>
  <c r="W119" i="4"/>
  <c r="U119" i="4"/>
  <c r="S119" i="4"/>
  <c r="R177" i="4"/>
  <c r="V177" i="4" s="1"/>
  <c r="X177" i="4"/>
  <c r="X189" i="4"/>
  <c r="S189" i="4"/>
  <c r="W189" i="4" s="1"/>
  <c r="R189" i="4"/>
  <c r="V189" i="4" s="1"/>
  <c r="R241" i="4"/>
  <c r="V241" i="4" s="1"/>
  <c r="U241" i="4"/>
  <c r="W241" i="4"/>
  <c r="X241" i="4"/>
  <c r="S282" i="4"/>
  <c r="W282" i="4" s="1"/>
  <c r="X282" i="4"/>
  <c r="S302" i="4"/>
  <c r="R322" i="4"/>
  <c r="V322" i="4" s="1"/>
  <c r="X322" i="4"/>
  <c r="R419" i="4"/>
  <c r="V419" i="4" s="1"/>
  <c r="W419" i="4"/>
  <c r="X419" i="4"/>
  <c r="R399" i="4"/>
  <c r="V399" i="4" s="1"/>
  <c r="X399" i="4"/>
  <c r="S436" i="4"/>
  <c r="W436" i="4" s="1"/>
  <c r="X436" i="4"/>
  <c r="R436" i="4"/>
  <c r="V436" i="4" s="1"/>
  <c r="R422" i="4"/>
  <c r="V422" i="4" s="1"/>
  <c r="X422" i="4"/>
  <c r="R493" i="4"/>
  <c r="V493" i="4" s="1"/>
  <c r="X493" i="4"/>
  <c r="U493" i="4"/>
  <c r="W493" i="4"/>
  <c r="W695" i="4"/>
  <c r="X695" i="4"/>
  <c r="U695" i="4"/>
  <c r="S695" i="4"/>
  <c r="R695" i="4"/>
  <c r="V695" i="4" s="1"/>
  <c r="X64" i="4"/>
  <c r="R48" i="4"/>
  <c r="V48" i="4" s="1"/>
  <c r="R61" i="4"/>
  <c r="V61" i="4" s="1"/>
  <c r="R172" i="4"/>
  <c r="V172" i="4" s="1"/>
  <c r="X172" i="4"/>
  <c r="R159" i="4"/>
  <c r="V159" i="4" s="1"/>
  <c r="S192" i="4"/>
  <c r="W192" i="4" s="1"/>
  <c r="U197" i="4"/>
  <c r="R217" i="4"/>
  <c r="V217" i="4" s="1"/>
  <c r="X217" i="4"/>
  <c r="R383" i="4"/>
  <c r="V383" i="4" s="1"/>
  <c r="W383" i="4"/>
  <c r="X383" i="4"/>
  <c r="R421" i="4"/>
  <c r="V421" i="4" s="1"/>
  <c r="X421" i="4"/>
  <c r="R486" i="4"/>
  <c r="V486" i="4" s="1"/>
  <c r="X486" i="4"/>
  <c r="U459" i="4"/>
  <c r="X459" i="4"/>
  <c r="R499" i="4"/>
  <c r="V499" i="4" s="1"/>
  <c r="X499" i="4"/>
  <c r="R528" i="4"/>
  <c r="V528" i="4" s="1"/>
  <c r="X528" i="4"/>
  <c r="R588" i="4"/>
  <c r="V588" i="4" s="1"/>
  <c r="W588" i="4"/>
  <c r="X588" i="4"/>
  <c r="R611" i="4"/>
  <c r="V611" i="4" s="1"/>
  <c r="X611" i="4"/>
  <c r="R674" i="4"/>
  <c r="V674" i="4" s="1"/>
  <c r="X674" i="4"/>
  <c r="R716" i="4"/>
  <c r="V716" i="4" s="1"/>
  <c r="R700" i="4"/>
  <c r="V700" i="4" s="1"/>
  <c r="X700" i="4"/>
  <c r="X185" i="4"/>
  <c r="X735" i="4"/>
  <c r="X716" i="4"/>
  <c r="R595" i="4"/>
  <c r="V595" i="4" s="1"/>
  <c r="X595" i="4"/>
  <c r="R634" i="4"/>
  <c r="V634" i="4" s="1"/>
  <c r="X634" i="4"/>
  <c r="R621" i="4"/>
  <c r="V621" i="4" s="1"/>
  <c r="X621" i="4"/>
  <c r="R694" i="4"/>
  <c r="V694" i="4" s="1"/>
  <c r="W694" i="4"/>
  <c r="X694" i="4"/>
  <c r="R707" i="4"/>
  <c r="V707" i="4" s="1"/>
  <c r="X707" i="4"/>
  <c r="R699" i="4"/>
  <c r="V699" i="4" s="1"/>
  <c r="X699" i="4"/>
  <c r="S755" i="4"/>
  <c r="W755" i="4" s="1"/>
  <c r="X755" i="4"/>
  <c r="R747" i="4"/>
  <c r="V747" i="4" s="1"/>
  <c r="W747" i="4"/>
  <c r="X197" i="4"/>
  <c r="X749" i="4"/>
  <c r="R578" i="4"/>
  <c r="V578" i="4" s="1"/>
  <c r="X578" i="4"/>
  <c r="W578" i="4"/>
  <c r="U578" i="4"/>
  <c r="R609" i="4"/>
  <c r="V609" i="4" s="1"/>
  <c r="X609" i="4"/>
  <c r="R633" i="4"/>
  <c r="V633" i="4" s="1"/>
  <c r="X633" i="4"/>
  <c r="R620" i="4"/>
  <c r="V620" i="4" s="1"/>
  <c r="X620" i="4"/>
  <c r="R673" i="4"/>
  <c r="V673" i="4" s="1"/>
  <c r="W673" i="4"/>
  <c r="X673" i="4"/>
  <c r="R737" i="4"/>
  <c r="X737" i="4"/>
  <c r="R728" i="4"/>
  <c r="W728" i="4"/>
  <c r="R754" i="4"/>
  <c r="V754" i="4" s="1"/>
  <c r="X754" i="4"/>
  <c r="R746" i="4"/>
  <c r="V746" i="4" s="1"/>
  <c r="X622" i="4"/>
  <c r="U757" i="4"/>
  <c r="R535" i="4"/>
  <c r="V535" i="4" s="1"/>
  <c r="X535" i="4"/>
  <c r="S526" i="4"/>
  <c r="W526" i="4" s="1"/>
  <c r="U526" i="4"/>
  <c r="X526" i="4"/>
  <c r="R514" i="4"/>
  <c r="V514" i="4" s="1"/>
  <c r="X514" i="4"/>
  <c r="R586" i="4"/>
  <c r="V586" i="4" s="1"/>
  <c r="X586" i="4"/>
  <c r="R619" i="4"/>
  <c r="V619" i="4" s="1"/>
  <c r="X619" i="4"/>
  <c r="S663" i="4"/>
  <c r="W663" i="4" s="1"/>
  <c r="X663" i="4"/>
  <c r="U663" i="4"/>
  <c r="R521" i="4"/>
  <c r="V521" i="4" s="1"/>
  <c r="X521" i="4"/>
  <c r="R395" i="4"/>
  <c r="V395" i="4" s="1"/>
  <c r="X395" i="4"/>
  <c r="R525" i="4"/>
  <c r="V525" i="4" s="1"/>
  <c r="X525" i="4"/>
  <c r="R661" i="4"/>
  <c r="V661" i="4" s="1"/>
  <c r="X661" i="4"/>
  <c r="W706" i="4"/>
  <c r="X706" i="4"/>
  <c r="U698" i="4"/>
  <c r="R726" i="4"/>
  <c r="V726" i="4" s="1"/>
  <c r="X726" i="4"/>
  <c r="X741" i="4"/>
  <c r="R154" i="4"/>
  <c r="V154" i="4" s="1"/>
  <c r="R212" i="4"/>
  <c r="V212" i="4" s="1"/>
  <c r="U212" i="4"/>
  <c r="W212" i="4"/>
  <c r="X212" i="4"/>
  <c r="R225" i="4"/>
  <c r="V225" i="4" s="1"/>
  <c r="X225" i="4"/>
  <c r="R274" i="4"/>
  <c r="V274" i="4" s="1"/>
  <c r="U274" i="4"/>
  <c r="X274" i="4"/>
  <c r="W274" i="4"/>
  <c r="S276" i="4"/>
  <c r="W276" i="4" s="1"/>
  <c r="X276" i="4"/>
  <c r="R306" i="4"/>
  <c r="V306" i="4" s="1"/>
  <c r="X306" i="4"/>
  <c r="R351" i="4"/>
  <c r="V351" i="4" s="1"/>
  <c r="W351" i="4"/>
  <c r="X351" i="4"/>
  <c r="U351" i="4"/>
  <c r="S440" i="4"/>
  <c r="W440" i="4" s="1"/>
  <c r="U440" i="4"/>
  <c r="X440" i="4"/>
  <c r="R476" i="4"/>
  <c r="V476" i="4" s="1"/>
  <c r="W476" i="4"/>
  <c r="X476" i="4"/>
  <c r="U463" i="4"/>
  <c r="X463" i="4"/>
  <c r="R574" i="4"/>
  <c r="V574" i="4" s="1"/>
  <c r="U574" i="4"/>
  <c r="W574" i="4"/>
  <c r="X574" i="4"/>
  <c r="R542" i="4"/>
  <c r="V542" i="4" s="1"/>
  <c r="X542" i="4"/>
  <c r="W542" i="4"/>
  <c r="R600" i="4"/>
  <c r="V600" i="4" s="1"/>
  <c r="W600" i="4"/>
  <c r="X600" i="4"/>
  <c r="R576" i="4"/>
  <c r="V576" i="4" s="1"/>
  <c r="U576" i="4"/>
  <c r="W576" i="4"/>
  <c r="X576" i="4"/>
  <c r="R644" i="4"/>
  <c r="V644" i="4" s="1"/>
  <c r="X644" i="4"/>
  <c r="R662" i="4"/>
  <c r="V662" i="4" s="1"/>
  <c r="X662" i="4"/>
  <c r="R680" i="4"/>
  <c r="V680" i="4" s="1"/>
  <c r="X680" i="4"/>
  <c r="R713" i="4"/>
  <c r="V713" i="4" s="1"/>
  <c r="X713" i="4"/>
  <c r="R705" i="4"/>
  <c r="V705" i="4" s="1"/>
  <c r="X705" i="4"/>
  <c r="R697" i="4"/>
  <c r="V697" i="4" s="1"/>
  <c r="X697" i="4"/>
  <c r="R735" i="4"/>
  <c r="V735" i="4" s="1"/>
  <c r="S622" i="4"/>
  <c r="W622" i="4" s="1"/>
  <c r="R744" i="4"/>
  <c r="V744" i="4" s="1"/>
  <c r="X744" i="4"/>
  <c r="X747" i="4"/>
  <c r="X698" i="4"/>
  <c r="R52" i="4"/>
  <c r="V52" i="4" s="1"/>
  <c r="X52" i="4"/>
  <c r="S10" i="4"/>
  <c r="W10" i="4" s="1"/>
  <c r="X10" i="4"/>
  <c r="R17" i="4"/>
  <c r="V17" i="4" s="1"/>
  <c r="R236" i="4"/>
  <c r="V236" i="4" s="1"/>
  <c r="X236" i="4"/>
  <c r="R223" i="4"/>
  <c r="V223" i="4" s="1"/>
  <c r="X223" i="4"/>
  <c r="R267" i="4"/>
  <c r="V267" i="4" s="1"/>
  <c r="W267" i="4"/>
  <c r="X267" i="4"/>
  <c r="S306" i="4"/>
  <c r="W306" i="4" s="1"/>
  <c r="R350" i="4"/>
  <c r="V350" i="4" s="1"/>
  <c r="X350" i="4"/>
  <c r="R361" i="4"/>
  <c r="V361" i="4" s="1"/>
  <c r="W361" i="4"/>
  <c r="X361" i="4"/>
  <c r="R416" i="4"/>
  <c r="V416" i="4" s="1"/>
  <c r="X416" i="4"/>
  <c r="R462" i="4"/>
  <c r="V462" i="4" s="1"/>
  <c r="X462" i="4"/>
  <c r="R505" i="4"/>
  <c r="V505" i="4" s="1"/>
  <c r="X505" i="4"/>
  <c r="R573" i="4"/>
  <c r="V573" i="4" s="1"/>
  <c r="W573" i="4"/>
  <c r="X573" i="4"/>
  <c r="U573" i="4"/>
  <c r="R541" i="4"/>
  <c r="V541" i="4" s="1"/>
  <c r="X541" i="4"/>
  <c r="R605" i="4"/>
  <c r="V605" i="4" s="1"/>
  <c r="X605" i="4"/>
  <c r="R689" i="4"/>
  <c r="V689" i="4" s="1"/>
  <c r="W689" i="4"/>
  <c r="X689" i="4"/>
  <c r="R679" i="4"/>
  <c r="V679" i="4" s="1"/>
  <c r="X679" i="4"/>
  <c r="R704" i="4"/>
  <c r="V704" i="4" s="1"/>
  <c r="R696" i="4"/>
  <c r="V696" i="4" s="1"/>
  <c r="X696" i="4"/>
  <c r="R734" i="4"/>
  <c r="V734" i="4" s="1"/>
  <c r="R125" i="4"/>
  <c r="V125" i="4" s="1"/>
  <c r="X125" i="4"/>
  <c r="X48" i="4"/>
  <c r="X163" i="4"/>
  <c r="R532" i="4"/>
  <c r="V532" i="4" s="1"/>
  <c r="U532" i="4"/>
  <c r="W532" i="4"/>
  <c r="X532" i="4"/>
  <c r="R584" i="4"/>
  <c r="V584" i="4" s="1"/>
  <c r="W584" i="4"/>
  <c r="X584" i="4"/>
  <c r="R575" i="4"/>
  <c r="V575" i="4" s="1"/>
  <c r="X575" i="4"/>
  <c r="W575" i="4"/>
  <c r="R641" i="4"/>
  <c r="V641" i="4" s="1"/>
  <c r="X641" i="4"/>
  <c r="R628" i="4"/>
  <c r="V628" i="4" s="1"/>
  <c r="X628" i="4"/>
  <c r="R703" i="4"/>
  <c r="V703" i="4" s="1"/>
  <c r="X703" i="4"/>
  <c r="R743" i="4"/>
  <c r="V743" i="4" s="1"/>
  <c r="W743" i="4"/>
  <c r="X743" i="4"/>
  <c r="R733" i="4"/>
  <c r="V733" i="4" s="1"/>
  <c r="X733" i="4"/>
  <c r="S163" i="4"/>
  <c r="W163" i="4" s="1"/>
  <c r="R751" i="4"/>
  <c r="V751" i="4" s="1"/>
  <c r="W751" i="4"/>
  <c r="X751" i="4"/>
  <c r="X61" i="4"/>
  <c r="X154" i="4"/>
  <c r="X746" i="4"/>
  <c r="S520" i="4"/>
  <c r="W520" i="4" s="1"/>
  <c r="X520" i="4"/>
  <c r="U520" i="4"/>
  <c r="R571" i="4"/>
  <c r="V571" i="4" s="1"/>
  <c r="X571" i="4"/>
  <c r="R615" i="4"/>
  <c r="V615" i="4" s="1"/>
  <c r="X615" i="4"/>
  <c r="R639" i="4"/>
  <c r="V639" i="4" s="1"/>
  <c r="X639" i="4"/>
  <c r="R627" i="4"/>
  <c r="V627" i="4" s="1"/>
  <c r="X627" i="4"/>
  <c r="S659" i="4"/>
  <c r="W659" i="4" s="1"/>
  <c r="X659" i="4"/>
  <c r="U659" i="4"/>
  <c r="R742" i="4"/>
  <c r="V742" i="4" s="1"/>
  <c r="X742" i="4"/>
  <c r="R163" i="4"/>
  <c r="V163" i="4" s="1"/>
  <c r="R750" i="4"/>
  <c r="V750" i="4" s="1"/>
  <c r="W45" i="4"/>
  <c r="X159" i="4"/>
  <c r="R677" i="4"/>
  <c r="V677" i="4" s="1"/>
  <c r="W677" i="4"/>
  <c r="X677" i="4"/>
  <c r="R741" i="4"/>
  <c r="V741" i="4" s="1"/>
  <c r="X17" i="4"/>
  <c r="X45" i="4"/>
  <c r="R384" i="4"/>
  <c r="V384" i="4" s="1"/>
  <c r="X384" i="4"/>
  <c r="R511" i="4"/>
  <c r="V511" i="4" s="1"/>
  <c r="X511" i="4"/>
  <c r="S530" i="4"/>
  <c r="W530" i="4" s="1"/>
  <c r="X530" i="4"/>
  <c r="U530" i="4"/>
  <c r="R518" i="4"/>
  <c r="V518" i="4" s="1"/>
  <c r="U518" i="4"/>
  <c r="W518" i="4"/>
  <c r="R539" i="4"/>
  <c r="V539" i="4" s="1"/>
  <c r="X539" i="4"/>
  <c r="W539" i="4"/>
  <c r="R589" i="4"/>
  <c r="V589" i="4" s="1"/>
  <c r="X589" i="4"/>
  <c r="W589" i="4"/>
  <c r="R613" i="4"/>
  <c r="V613" i="4" s="1"/>
  <c r="X613" i="4"/>
  <c r="R666" i="4"/>
  <c r="V666" i="4" s="1"/>
  <c r="W666" i="4"/>
  <c r="X666" i="4"/>
  <c r="R676" i="4"/>
  <c r="V676" i="4" s="1"/>
  <c r="X676" i="4"/>
  <c r="W710" i="4"/>
  <c r="X710" i="4"/>
  <c r="X702" i="4"/>
  <c r="U702" i="4"/>
  <c r="S749" i="4"/>
  <c r="W749" i="4" s="1"/>
  <c r="X728" i="4"/>
  <c r="S745" i="4"/>
  <c r="W745" i="4" s="1"/>
  <c r="S661" i="4"/>
  <c r="W661" i="4" s="1"/>
  <c r="S662" i="4"/>
  <c r="W662" i="4" s="1"/>
  <c r="R755" i="4"/>
  <c r="V755" i="4" s="1"/>
  <c r="S521" i="4"/>
  <c r="W521" i="4" s="1"/>
  <c r="S133" i="4"/>
  <c r="W133" i="4" s="1"/>
  <c r="S754" i="4"/>
  <c r="W754" i="4" s="1"/>
  <c r="S750" i="4"/>
  <c r="W750" i="4" s="1"/>
  <c r="S746" i="4"/>
  <c r="W746" i="4" s="1"/>
  <c r="S125" i="4"/>
  <c r="W125" i="4" s="1"/>
  <c r="S757" i="4"/>
  <c r="W757" i="4" s="1"/>
  <c r="S744" i="4"/>
  <c r="W744" i="4" s="1"/>
  <c r="S741" i="4"/>
  <c r="W741" i="4" s="1"/>
  <c r="S737" i="4"/>
  <c r="W737" i="4" s="1"/>
  <c r="S733" i="4"/>
  <c r="W733" i="4" s="1"/>
  <c r="S743" i="4"/>
  <c r="S735" i="4"/>
  <c r="W735" i="4" s="1"/>
  <c r="S742" i="4"/>
  <c r="W742" i="4" s="1"/>
  <c r="S734" i="4"/>
  <c r="W734" i="4" s="1"/>
  <c r="S726" i="4"/>
  <c r="W726" i="4" s="1"/>
  <c r="S707" i="4"/>
  <c r="W707" i="4" s="1"/>
  <c r="S703" i="4"/>
  <c r="W703" i="4" s="1"/>
  <c r="S699" i="4"/>
  <c r="W699" i="4" s="1"/>
  <c r="S713" i="4"/>
  <c r="W713" i="4" s="1"/>
  <c r="S709" i="4"/>
  <c r="S705" i="4"/>
  <c r="W705" i="4" s="1"/>
  <c r="S701" i="4"/>
  <c r="W701" i="4" s="1"/>
  <c r="S697" i="4"/>
  <c r="W697" i="4" s="1"/>
  <c r="S716" i="4"/>
  <c r="W716" i="4" s="1"/>
  <c r="S704" i="4"/>
  <c r="W704" i="4" s="1"/>
  <c r="S700" i="4"/>
  <c r="W700" i="4" s="1"/>
  <c r="S696" i="4"/>
  <c r="W696" i="4" s="1"/>
  <c r="S674" i="4"/>
  <c r="W674" i="4" s="1"/>
  <c r="S680" i="4"/>
  <c r="W680" i="4" s="1"/>
  <c r="S676" i="4"/>
  <c r="W676" i="4" s="1"/>
  <c r="S679" i="4"/>
  <c r="W679" i="4" s="1"/>
  <c r="S675" i="4"/>
  <c r="W675" i="4" s="1"/>
  <c r="S641" i="4"/>
  <c r="W641" i="4" s="1"/>
  <c r="S628" i="4"/>
  <c r="W628" i="4" s="1"/>
  <c r="S619" i="4"/>
  <c r="W619" i="4" s="1"/>
  <c r="S639" i="4"/>
  <c r="W639" i="4" s="1"/>
  <c r="S627" i="4"/>
  <c r="W627" i="4" s="1"/>
  <c r="S644" i="4"/>
  <c r="W644" i="4" s="1"/>
  <c r="S634" i="4"/>
  <c r="W634" i="4" s="1"/>
  <c r="S621" i="4"/>
  <c r="W621" i="4" s="1"/>
  <c r="S633" i="4"/>
  <c r="W633" i="4" s="1"/>
  <c r="S620" i="4"/>
  <c r="W620" i="4" s="1"/>
  <c r="S615" i="4"/>
  <c r="W615" i="4" s="1"/>
  <c r="S611" i="4"/>
  <c r="W611" i="4" s="1"/>
  <c r="S613" i="4"/>
  <c r="W613" i="4" s="1"/>
  <c r="S609" i="4"/>
  <c r="W609" i="4" s="1"/>
  <c r="S605" i="4"/>
  <c r="W605" i="4" s="1"/>
  <c r="S595" i="4"/>
  <c r="W595" i="4" s="1"/>
  <c r="S586" i="4"/>
  <c r="W586" i="4" s="1"/>
  <c r="S576" i="4"/>
  <c r="S571" i="4"/>
  <c r="W571" i="4" s="1"/>
  <c r="S573" i="4"/>
  <c r="S569" i="4"/>
  <c r="W569" i="4" s="1"/>
  <c r="S541" i="4"/>
  <c r="W541" i="4" s="1"/>
  <c r="S535" i="4"/>
  <c r="W535" i="4" s="1"/>
  <c r="S517" i="4"/>
  <c r="W517" i="4" s="1"/>
  <c r="S529" i="4"/>
  <c r="W529" i="4" s="1"/>
  <c r="S525" i="4"/>
  <c r="W525" i="4" s="1"/>
  <c r="S515" i="4"/>
  <c r="W515" i="4" s="1"/>
  <c r="S532" i="4"/>
  <c r="S528" i="4"/>
  <c r="W528" i="4" s="1"/>
  <c r="S518" i="4"/>
  <c r="S514" i="4"/>
  <c r="W514" i="4" s="1"/>
  <c r="S511" i="4"/>
  <c r="W511" i="4" s="1"/>
  <c r="S507" i="4"/>
  <c r="W507" i="4" s="1"/>
  <c r="S499" i="4"/>
  <c r="W499" i="4" s="1"/>
  <c r="S513" i="4"/>
  <c r="W513" i="4" s="1"/>
  <c r="S505" i="4"/>
  <c r="W505" i="4" s="1"/>
  <c r="S493" i="4"/>
  <c r="S489" i="4"/>
  <c r="S512" i="4"/>
  <c r="S492" i="4"/>
  <c r="W492" i="4" s="1"/>
  <c r="S488" i="4"/>
  <c r="W488" i="4" s="1"/>
  <c r="S486" i="4"/>
  <c r="W486" i="4" s="1"/>
  <c r="S482" i="4"/>
  <c r="S462" i="4"/>
  <c r="W462" i="4" s="1"/>
  <c r="S485" i="4"/>
  <c r="W485" i="4" s="1"/>
  <c r="S453" i="4"/>
  <c r="W453" i="4" s="1"/>
  <c r="S441" i="4"/>
  <c r="W441" i="4" s="1"/>
  <c r="S425" i="4"/>
  <c r="W425" i="4" s="1"/>
  <c r="S442" i="4"/>
  <c r="S438" i="4"/>
  <c r="W438" i="4" s="1"/>
  <c r="S422" i="4"/>
  <c r="W422" i="4" s="1"/>
  <c r="S421" i="4"/>
  <c r="W421" i="4" s="1"/>
  <c r="S399" i="4"/>
  <c r="W399" i="4" s="1"/>
  <c r="S395" i="4"/>
  <c r="W395" i="4" s="1"/>
  <c r="S416" i="4"/>
  <c r="W416" i="4" s="1"/>
  <c r="S384" i="4"/>
  <c r="W384" i="4" s="1"/>
  <c r="S350" i="4"/>
  <c r="W350" i="4" s="1"/>
  <c r="S338" i="4"/>
  <c r="W338" i="4" s="1"/>
  <c r="S326" i="4"/>
  <c r="W326" i="4" s="1"/>
  <c r="S351" i="4"/>
  <c r="S343" i="4"/>
  <c r="W343" i="4" s="1"/>
  <c r="S331" i="4"/>
  <c r="W331" i="4" s="1"/>
  <c r="S321" i="4"/>
  <c r="W321" i="4" s="1"/>
  <c r="S322" i="4"/>
  <c r="W322" i="4" s="1"/>
  <c r="R282" i="4"/>
  <c r="V282" i="4" s="1"/>
  <c r="R276" i="4"/>
  <c r="R288" i="4"/>
  <c r="V288" i="4" s="1"/>
  <c r="R305" i="4"/>
  <c r="V305" i="4" s="1"/>
  <c r="S263" i="4"/>
  <c r="W263" i="4" s="1"/>
  <c r="S274" i="4"/>
  <c r="S252" i="4"/>
  <c r="W252" i="4" s="1"/>
  <c r="S260" i="4"/>
  <c r="W260" i="4" s="1"/>
  <c r="S241" i="4"/>
  <c r="S233" i="4"/>
  <c r="W233" i="4" s="1"/>
  <c r="S225" i="4"/>
  <c r="W225" i="4" s="1"/>
  <c r="S244" i="4"/>
  <c r="W244" i="4" s="1"/>
  <c r="S240" i="4"/>
  <c r="W240" i="4" s="1"/>
  <c r="S236" i="4"/>
  <c r="W236" i="4" s="1"/>
  <c r="S223" i="4"/>
  <c r="W223" i="4" s="1"/>
  <c r="S243" i="4"/>
  <c r="W243" i="4" s="1"/>
  <c r="S239" i="4"/>
  <c r="W239" i="4" s="1"/>
  <c r="S231" i="4"/>
  <c r="W231" i="4" s="1"/>
  <c r="S222" i="4"/>
  <c r="W222" i="4" s="1"/>
  <c r="S238" i="4"/>
  <c r="W238" i="4" s="1"/>
  <c r="S226" i="4"/>
  <c r="W226" i="4" s="1"/>
  <c r="S221" i="4"/>
  <c r="W221" i="4" s="1"/>
  <c r="S217" i="4"/>
  <c r="W217" i="4" s="1"/>
  <c r="S212" i="4"/>
  <c r="S180" i="4"/>
  <c r="S177" i="4"/>
  <c r="W177" i="4" s="1"/>
  <c r="S173" i="4"/>
  <c r="W173" i="4" s="1"/>
  <c r="S172" i="4"/>
  <c r="W172" i="4" s="1"/>
  <c r="S159" i="4"/>
  <c r="W159" i="4" s="1"/>
  <c r="S158" i="4"/>
  <c r="W158" i="4" s="1"/>
  <c r="S154" i="4"/>
  <c r="W154" i="4" s="1"/>
  <c r="S145" i="4"/>
  <c r="W145" i="4" s="1"/>
  <c r="S135" i="4"/>
  <c r="W135" i="4" s="1"/>
  <c r="S130" i="4"/>
  <c r="W130" i="4" s="1"/>
  <c r="S118" i="4"/>
  <c r="W118" i="4" s="1"/>
  <c r="S110" i="4"/>
  <c r="W110" i="4" s="1"/>
  <c r="S142" i="4"/>
  <c r="W142" i="4" s="1"/>
  <c r="S134" i="4"/>
  <c r="W134" i="4" s="1"/>
  <c r="S124" i="4"/>
  <c r="W124" i="4" s="1"/>
  <c r="S117" i="4"/>
  <c r="W117" i="4" s="1"/>
  <c r="S132" i="4"/>
  <c r="W132" i="4" s="1"/>
  <c r="S120" i="4"/>
  <c r="W120" i="4" s="1"/>
  <c r="R88" i="4"/>
  <c r="V88" i="4" s="1"/>
  <c r="S100" i="4"/>
  <c r="W100" i="4" s="1"/>
  <c r="S72" i="4"/>
  <c r="W72" i="4" s="1"/>
  <c r="S71" i="4"/>
  <c r="W71" i="4" s="1"/>
  <c r="S61" i="4"/>
  <c r="W61" i="4" s="1"/>
  <c r="S57" i="4"/>
  <c r="W57" i="4" s="1"/>
  <c r="S52" i="4"/>
  <c r="W52" i="4" s="1"/>
  <c r="S48" i="4"/>
  <c r="W48" i="4" s="1"/>
  <c r="S44" i="4"/>
  <c r="W44" i="4" s="1"/>
  <c r="S47" i="4"/>
  <c r="W47" i="4" s="1"/>
  <c r="S35" i="4"/>
  <c r="S25" i="4"/>
  <c r="S21" i="4"/>
  <c r="W21" i="4" s="1"/>
  <c r="S17" i="4"/>
  <c r="W17" i="4" s="1"/>
  <c r="S15" i="4"/>
  <c r="W15" i="4" s="1"/>
  <c r="S14" i="4"/>
  <c r="W14" i="4" s="1"/>
  <c r="S18" i="4"/>
  <c r="W18" i="4" s="1"/>
  <c r="R10" i="4"/>
  <c r="V10" i="4" s="1"/>
  <c r="S13" i="4"/>
  <c r="W13" i="4" s="1"/>
  <c r="U535" i="4" l="1"/>
  <c r="U615" i="4"/>
  <c r="U513" i="4"/>
  <c r="U505" i="4"/>
  <c r="U485" i="4"/>
  <c r="U288" i="4"/>
  <c r="U283" i="4"/>
  <c r="U282" i="4"/>
  <c r="U267" i="4"/>
  <c r="U191" i="4"/>
  <c r="U650" i="4"/>
  <c r="U487" i="4"/>
  <c r="U486" i="4"/>
  <c r="U72" i="4"/>
  <c r="U391" i="4"/>
  <c r="U192" i="4"/>
  <c r="U622" i="4"/>
  <c r="U521" i="4"/>
  <c r="U125" i="4"/>
  <c r="U45" i="4"/>
  <c r="U103" i="4"/>
  <c r="U716" i="4"/>
  <c r="U666" i="4"/>
  <c r="U613" i="4"/>
  <c r="U600" i="4"/>
  <c r="U453" i="4"/>
  <c r="U421" i="4"/>
  <c r="U419" i="4"/>
  <c r="U350" i="4"/>
  <c r="U13" i="4"/>
  <c r="U159" i="4"/>
  <c r="U710" i="4"/>
  <c r="U120" i="4"/>
  <c r="U746" i="4"/>
  <c r="U154" i="4"/>
  <c r="U734" i="4"/>
  <c r="U110" i="4"/>
  <c r="U611" i="4"/>
  <c r="U130" i="4"/>
  <c r="U744" i="4"/>
  <c r="U71" i="4"/>
  <c r="U569" i="4"/>
  <c r="U507" i="4"/>
  <c r="U142" i="4"/>
  <c r="U542" i="4"/>
  <c r="U145" i="4"/>
  <c r="U178" i="4"/>
  <c r="U713" i="4"/>
  <c r="U588" i="4"/>
  <c r="U436" i="4"/>
  <c r="U46" i="4"/>
  <c r="U225" i="4"/>
  <c r="U704" i="4"/>
  <c r="U172" i="4"/>
  <c r="U14" i="4"/>
  <c r="U741" i="4"/>
  <c r="U64" i="4"/>
  <c r="U399" i="4"/>
  <c r="U322" i="4"/>
  <c r="U252" i="4"/>
  <c r="U223" i="4"/>
  <c r="U10" i="4"/>
  <c r="U21" i="4"/>
  <c r="U57" i="4"/>
  <c r="U185" i="4"/>
  <c r="U44" i="4"/>
  <c r="U61" i="4"/>
  <c r="U236" i="4"/>
  <c r="U620" i="4"/>
  <c r="U696" i="4"/>
  <c r="U754" i="4"/>
  <c r="U50" i="4"/>
  <c r="U55" i="4"/>
  <c r="U240" i="4"/>
  <c r="U662" i="4"/>
  <c r="U321" i="4"/>
  <c r="U589" i="4"/>
  <c r="U575" i="4"/>
  <c r="U644" i="4"/>
  <c r="U619" i="4"/>
  <c r="U749" i="4"/>
  <c r="U676" i="4"/>
  <c r="U679" i="4"/>
  <c r="U361" i="4"/>
  <c r="U705" i="4"/>
  <c r="U609" i="4"/>
  <c r="U217" i="4"/>
  <c r="U48" i="4"/>
  <c r="U133" i="4"/>
  <c r="U745" i="4"/>
  <c r="U673" i="4"/>
  <c r="U699" i="4"/>
  <c r="U134" i="4"/>
  <c r="U238" i="4"/>
  <c r="U706" i="4"/>
  <c r="V276" i="4"/>
  <c r="U276" i="4"/>
  <c r="U511" i="4"/>
  <c r="U539" i="4"/>
  <c r="U163" i="4"/>
  <c r="U639" i="4"/>
  <c r="U628" i="4"/>
  <c r="U697" i="4"/>
  <c r="U680" i="4"/>
  <c r="U661" i="4"/>
  <c r="U755" i="4"/>
  <c r="U528" i="4"/>
  <c r="U674" i="4"/>
  <c r="U135" i="4"/>
  <c r="U244" i="4"/>
  <c r="U675" i="4"/>
  <c r="U132" i="4"/>
  <c r="U338" i="4"/>
  <c r="U118" i="4"/>
  <c r="U101" i="4"/>
  <c r="U742" i="4"/>
  <c r="U677" i="4"/>
  <c r="U733" i="4"/>
  <c r="U584" i="4"/>
  <c r="U541" i="4"/>
  <c r="U462" i="4"/>
  <c r="U586" i="4"/>
  <c r="U621" i="4"/>
  <c r="U177" i="4"/>
  <c r="U331" i="4"/>
  <c r="U425" i="4"/>
  <c r="U100" i="4"/>
  <c r="U260" i="4"/>
  <c r="U441" i="4"/>
  <c r="U305" i="4"/>
  <c r="U443" i="4"/>
  <c r="U117" i="4"/>
  <c r="V728" i="4"/>
  <c r="U728" i="4"/>
  <c r="U633" i="4"/>
  <c r="U499" i="4"/>
  <c r="U384" i="4"/>
  <c r="U416" i="4"/>
  <c r="U422" i="4"/>
  <c r="U88" i="4"/>
  <c r="U231" i="4"/>
  <c r="U233" i="4"/>
  <c r="U158" i="4"/>
  <c r="U735" i="4"/>
  <c r="U488" i="4"/>
  <c r="U222" i="4"/>
  <c r="U304" i="4"/>
  <c r="U492" i="4"/>
  <c r="U525" i="4"/>
  <c r="U514" i="4"/>
  <c r="U52" i="4"/>
  <c r="U263" i="4"/>
  <c r="U20" i="4"/>
  <c r="U689" i="4"/>
  <c r="U627" i="4"/>
  <c r="U641" i="4"/>
  <c r="U17" i="4"/>
  <c r="U476" i="4"/>
  <c r="U306" i="4"/>
  <c r="U726" i="4"/>
  <c r="V737" i="4"/>
  <c r="U737" i="4"/>
  <c r="U707" i="4"/>
  <c r="U634" i="4"/>
  <c r="U700" i="4"/>
  <c r="U438" i="4"/>
  <c r="U15" i="4"/>
  <c r="U187" i="4"/>
  <c r="U701" i="4"/>
  <c r="U221" i="4"/>
  <c r="U326" i="4"/>
  <c r="U239" i="4"/>
  <c r="U747" i="4"/>
  <c r="U383" i="4"/>
  <c r="U16" i="4"/>
  <c r="U18" i="4"/>
  <c r="U515" i="4"/>
  <c r="U529" i="4"/>
  <c r="U390" i="4"/>
  <c r="U124" i="4"/>
  <c r="U750" i="4"/>
  <c r="U751" i="4"/>
  <c r="U703" i="4"/>
  <c r="U605" i="4"/>
  <c r="U395" i="4"/>
  <c r="U694" i="4"/>
  <c r="U423" i="4"/>
  <c r="U243" i="4"/>
  <c r="U343" i="4"/>
  <c r="U190" i="4"/>
  <c r="U571" i="4"/>
  <c r="U595" i="4"/>
  <c r="U189" i="4"/>
  <c r="U173" i="4"/>
  <c r="U271" i="4"/>
  <c r="U517" i="4"/>
  <c r="U47" i="4"/>
  <c r="U68" i="4"/>
  <c r="U226" i="4"/>
  <c r="V8" i="4"/>
  <c r="Q685" i="4" l="1"/>
  <c r="Q684" i="4"/>
  <c r="Q683" i="4"/>
  <c r="Q686" i="4"/>
  <c r="Q682" i="4"/>
  <c r="Q687" i="4"/>
  <c r="Q681" i="4"/>
  <c r="Q688" i="4"/>
  <c r="Q671" i="4"/>
  <c r="Q672" i="4"/>
  <c r="Q670" i="4"/>
  <c r="Q678" i="4"/>
  <c r="Q669" i="4"/>
  <c r="Q594" i="4"/>
  <c r="Q591" i="4"/>
  <c r="Q590" i="4"/>
  <c r="O579" i="4"/>
  <c r="Q579" i="4" s="1"/>
  <c r="Q567" i="4"/>
  <c r="Q564" i="4"/>
  <c r="Q565" i="4"/>
  <c r="Q562" i="4"/>
  <c r="Q560" i="4"/>
  <c r="Q561" i="4"/>
  <c r="Q558" i="4"/>
  <c r="Q556" i="4"/>
  <c r="Q553" i="4"/>
  <c r="Q547" i="4"/>
  <c r="Q549" i="4"/>
  <c r="Q550" i="4"/>
  <c r="Q551" i="4"/>
  <c r="Q554" i="4"/>
  <c r="Q557" i="4"/>
  <c r="Q559" i="4"/>
  <c r="Q555" i="4"/>
  <c r="Q552" i="4"/>
  <c r="Q548" i="4"/>
  <c r="Q546" i="4"/>
  <c r="Q545" i="4"/>
  <c r="Q544" i="4"/>
  <c r="Q470" i="4"/>
  <c r="Q469" i="4"/>
  <c r="Q468" i="4"/>
  <c r="Q450" i="4"/>
  <c r="Q451" i="4"/>
  <c r="Q452" i="4"/>
  <c r="Q449" i="4"/>
  <c r="Q446" i="4"/>
  <c r="Q445" i="4"/>
  <c r="Q447" i="4"/>
  <c r="O444" i="4"/>
  <c r="Q444" i="4" s="1"/>
  <c r="Q432" i="4"/>
  <c r="Q433" i="4"/>
  <c r="Q434" i="4"/>
  <c r="Q437" i="4"/>
  <c r="Q435" i="4"/>
  <c r="Q431" i="4"/>
  <c r="O404" i="4"/>
  <c r="Q404" i="4" s="1"/>
  <c r="Q366" i="4"/>
  <c r="Q365" i="4"/>
  <c r="Q364" i="4"/>
  <c r="Q329" i="4"/>
  <c r="Q320" i="4"/>
  <c r="Q319" i="4"/>
  <c r="Q318" i="4"/>
  <c r="Q313" i="4"/>
  <c r="Q297" i="4"/>
  <c r="Q291" i="4"/>
  <c r="Q201" i="4"/>
  <c r="Q169" i="4"/>
  <c r="Q168" i="4"/>
  <c r="Q167" i="4"/>
  <c r="Q113" i="4"/>
  <c r="Q108" i="4"/>
  <c r="Q86" i="4"/>
  <c r="Q39" i="4"/>
  <c r="Q38" i="4"/>
  <c r="Q77" i="4"/>
  <c r="Q11" i="4"/>
  <c r="R39" i="4" l="1"/>
  <c r="V39" i="4" s="1"/>
  <c r="X39" i="4"/>
  <c r="S39" i="4"/>
  <c r="W39" i="4" s="1"/>
  <c r="R86" i="4"/>
  <c r="V86" i="4" s="1"/>
  <c r="X86" i="4"/>
  <c r="S86" i="4"/>
  <c r="W86" i="4" s="1"/>
  <c r="R113" i="4"/>
  <c r="V113" i="4" s="1"/>
  <c r="X113" i="4"/>
  <c r="S113" i="4"/>
  <c r="W113" i="4" s="1"/>
  <c r="R364" i="4"/>
  <c r="V364" i="4" s="1"/>
  <c r="X364" i="4"/>
  <c r="S364" i="4"/>
  <c r="W364" i="4" s="1"/>
  <c r="R445" i="4"/>
  <c r="V445" i="4" s="1"/>
  <c r="X445" i="4"/>
  <c r="S445" i="4"/>
  <c r="W445" i="4" s="1"/>
  <c r="R548" i="4"/>
  <c r="V548" i="4" s="1"/>
  <c r="X548" i="4"/>
  <c r="S548" i="4"/>
  <c r="W548" i="4" s="1"/>
  <c r="R558" i="4"/>
  <c r="V558" i="4" s="1"/>
  <c r="X558" i="4"/>
  <c r="S558" i="4"/>
  <c r="W558" i="4" s="1"/>
  <c r="R678" i="4"/>
  <c r="V678" i="4" s="1"/>
  <c r="X678" i="4"/>
  <c r="S678" i="4"/>
  <c r="W678" i="4" s="1"/>
  <c r="R167" i="4"/>
  <c r="V167" i="4" s="1"/>
  <c r="X167" i="4"/>
  <c r="S167" i="4"/>
  <c r="W167" i="4" s="1"/>
  <c r="R365" i="4"/>
  <c r="V365" i="4" s="1"/>
  <c r="X365" i="4"/>
  <c r="S365" i="4"/>
  <c r="W365" i="4" s="1"/>
  <c r="R446" i="4"/>
  <c r="V446" i="4" s="1"/>
  <c r="X446" i="4"/>
  <c r="S446" i="4"/>
  <c r="W446" i="4" s="1"/>
  <c r="R552" i="4"/>
  <c r="V552" i="4" s="1"/>
  <c r="X552" i="4"/>
  <c r="S552" i="4"/>
  <c r="W552" i="4" s="1"/>
  <c r="R561" i="4"/>
  <c r="V561" i="4" s="1"/>
  <c r="X561" i="4"/>
  <c r="S561" i="4"/>
  <c r="W561" i="4" s="1"/>
  <c r="R670" i="4"/>
  <c r="V670" i="4" s="1"/>
  <c r="X670" i="4"/>
  <c r="S670" i="4"/>
  <c r="W670" i="4" s="1"/>
  <c r="R366" i="4"/>
  <c r="V366" i="4" s="1"/>
  <c r="X366" i="4"/>
  <c r="S366" i="4"/>
  <c r="W366" i="4" s="1"/>
  <c r="S452" i="4"/>
  <c r="W452" i="4" s="1"/>
  <c r="X452" i="4"/>
  <c r="R452" i="4"/>
  <c r="V452" i="4" s="1"/>
  <c r="R559" i="4"/>
  <c r="V559" i="4" s="1"/>
  <c r="X559" i="4"/>
  <c r="S559" i="4"/>
  <c r="W559" i="4" s="1"/>
  <c r="R562" i="4"/>
  <c r="V562" i="4" s="1"/>
  <c r="X562" i="4"/>
  <c r="S562" i="4"/>
  <c r="W562" i="4" s="1"/>
  <c r="R671" i="4"/>
  <c r="V671" i="4" s="1"/>
  <c r="X671" i="4"/>
  <c r="S671" i="4"/>
  <c r="W671" i="4" s="1"/>
  <c r="R560" i="4"/>
  <c r="V560" i="4" s="1"/>
  <c r="X560" i="4"/>
  <c r="S560" i="4"/>
  <c r="W560" i="4" s="1"/>
  <c r="S431" i="4"/>
  <c r="W431" i="4" s="1"/>
  <c r="X431" i="4"/>
  <c r="R431" i="4"/>
  <c r="V431" i="4" s="1"/>
  <c r="S451" i="4"/>
  <c r="W451" i="4" s="1"/>
  <c r="X451" i="4"/>
  <c r="R451" i="4"/>
  <c r="V451" i="4" s="1"/>
  <c r="R557" i="4"/>
  <c r="V557" i="4" s="1"/>
  <c r="X557" i="4"/>
  <c r="S557" i="4"/>
  <c r="W557" i="4" s="1"/>
  <c r="R565" i="4"/>
  <c r="V565" i="4" s="1"/>
  <c r="X565" i="4"/>
  <c r="S565" i="4"/>
  <c r="W565" i="4" s="1"/>
  <c r="R688" i="4"/>
  <c r="V688" i="4" s="1"/>
  <c r="X688" i="4"/>
  <c r="S688" i="4"/>
  <c r="W688" i="4" s="1"/>
  <c r="R555" i="4"/>
  <c r="V555" i="4" s="1"/>
  <c r="X555" i="4"/>
  <c r="S555" i="4"/>
  <c r="W555" i="4" s="1"/>
  <c r="R554" i="4"/>
  <c r="V554" i="4" s="1"/>
  <c r="X554" i="4"/>
  <c r="S554" i="4"/>
  <c r="W554" i="4" s="1"/>
  <c r="R564" i="4"/>
  <c r="V564" i="4" s="1"/>
  <c r="X564" i="4"/>
  <c r="S564" i="4"/>
  <c r="W564" i="4" s="1"/>
  <c r="R681" i="4"/>
  <c r="V681" i="4" s="1"/>
  <c r="X681" i="4"/>
  <c r="S681" i="4"/>
  <c r="W681" i="4" s="1"/>
  <c r="R38" i="4"/>
  <c r="V38" i="4" s="1"/>
  <c r="X38" i="4"/>
  <c r="S38" i="4"/>
  <c r="W38" i="4" s="1"/>
  <c r="R168" i="4"/>
  <c r="V168" i="4" s="1"/>
  <c r="X168" i="4"/>
  <c r="S168" i="4"/>
  <c r="W168" i="4" s="1"/>
  <c r="R672" i="4"/>
  <c r="V672" i="4" s="1"/>
  <c r="X672" i="4"/>
  <c r="S672" i="4"/>
  <c r="W672" i="4" s="1"/>
  <c r="R201" i="4"/>
  <c r="V201" i="4" s="1"/>
  <c r="X201" i="4"/>
  <c r="S201" i="4"/>
  <c r="W201" i="4" s="1"/>
  <c r="S435" i="4"/>
  <c r="W435" i="4" s="1"/>
  <c r="X435" i="4"/>
  <c r="R435" i="4"/>
  <c r="V435" i="4" s="1"/>
  <c r="R11" i="4"/>
  <c r="V11" i="4" s="1"/>
  <c r="X11" i="4"/>
  <c r="S11" i="4"/>
  <c r="W11" i="4" s="1"/>
  <c r="R437" i="4"/>
  <c r="V437" i="4" s="1"/>
  <c r="X437" i="4"/>
  <c r="S437" i="4"/>
  <c r="W437" i="4" s="1"/>
  <c r="R468" i="4"/>
  <c r="V468" i="4" s="1"/>
  <c r="X468" i="4"/>
  <c r="S468" i="4"/>
  <c r="W468" i="4" s="1"/>
  <c r="R551" i="4"/>
  <c r="V551" i="4" s="1"/>
  <c r="X551" i="4"/>
  <c r="S551" i="4"/>
  <c r="W551" i="4" s="1"/>
  <c r="R567" i="4"/>
  <c r="V567" i="4" s="1"/>
  <c r="X567" i="4"/>
  <c r="S567" i="4"/>
  <c r="W567" i="4" s="1"/>
  <c r="R687" i="4"/>
  <c r="V687" i="4" s="1"/>
  <c r="X687" i="4"/>
  <c r="S687" i="4"/>
  <c r="W687" i="4" s="1"/>
  <c r="R318" i="4"/>
  <c r="V318" i="4" s="1"/>
  <c r="X318" i="4"/>
  <c r="S318" i="4"/>
  <c r="W318" i="4" s="1"/>
  <c r="R319" i="4"/>
  <c r="V319" i="4" s="1"/>
  <c r="X319" i="4"/>
  <c r="S319" i="4"/>
  <c r="W319" i="4" s="1"/>
  <c r="R449" i="4"/>
  <c r="V449" i="4" s="1"/>
  <c r="X449" i="4"/>
  <c r="S449" i="4"/>
  <c r="W449" i="4" s="1"/>
  <c r="R169" i="4"/>
  <c r="V169" i="4" s="1"/>
  <c r="X169" i="4"/>
  <c r="S169" i="4"/>
  <c r="W169" i="4" s="1"/>
  <c r="R404" i="4"/>
  <c r="V404" i="4" s="1"/>
  <c r="X404" i="4"/>
  <c r="S404" i="4"/>
  <c r="W404" i="4" s="1"/>
  <c r="R291" i="4"/>
  <c r="V291" i="4" s="1"/>
  <c r="X291" i="4"/>
  <c r="S291" i="4"/>
  <c r="W291" i="4" s="1"/>
  <c r="R450" i="4"/>
  <c r="V450" i="4" s="1"/>
  <c r="X450" i="4"/>
  <c r="S450" i="4"/>
  <c r="W450" i="4" s="1"/>
  <c r="R297" i="4"/>
  <c r="V297" i="4" s="1"/>
  <c r="X297" i="4"/>
  <c r="S297" i="4"/>
  <c r="W297" i="4" s="1"/>
  <c r="X77" i="4"/>
  <c r="R77" i="4"/>
  <c r="V77" i="4" s="1"/>
  <c r="S77" i="4"/>
  <c r="W77" i="4" s="1"/>
  <c r="R313" i="4"/>
  <c r="V313" i="4" s="1"/>
  <c r="X313" i="4"/>
  <c r="S313" i="4"/>
  <c r="W313" i="4" s="1"/>
  <c r="R434" i="4"/>
  <c r="V434" i="4" s="1"/>
  <c r="X434" i="4"/>
  <c r="S434" i="4"/>
  <c r="W434" i="4" s="1"/>
  <c r="R469" i="4"/>
  <c r="V469" i="4" s="1"/>
  <c r="X469" i="4"/>
  <c r="S469" i="4"/>
  <c r="W469" i="4" s="1"/>
  <c r="R550" i="4"/>
  <c r="V550" i="4" s="1"/>
  <c r="X550" i="4"/>
  <c r="S550" i="4"/>
  <c r="W550" i="4" s="1"/>
  <c r="R579" i="4"/>
  <c r="V579" i="4" s="1"/>
  <c r="X579" i="4"/>
  <c r="S579" i="4"/>
  <c r="W579" i="4" s="1"/>
  <c r="R682" i="4"/>
  <c r="V682" i="4" s="1"/>
  <c r="X682" i="4"/>
  <c r="S682" i="4"/>
  <c r="W682" i="4" s="1"/>
  <c r="R433" i="4"/>
  <c r="V433" i="4" s="1"/>
  <c r="X433" i="4"/>
  <c r="S433" i="4"/>
  <c r="W433" i="4" s="1"/>
  <c r="R470" i="4"/>
  <c r="V470" i="4" s="1"/>
  <c r="X470" i="4"/>
  <c r="S470" i="4"/>
  <c r="W470" i="4" s="1"/>
  <c r="R549" i="4"/>
  <c r="V549" i="4" s="1"/>
  <c r="X549" i="4"/>
  <c r="S549" i="4"/>
  <c r="W549" i="4" s="1"/>
  <c r="R590" i="4"/>
  <c r="V590" i="4" s="1"/>
  <c r="X590" i="4"/>
  <c r="S590" i="4"/>
  <c r="W590" i="4" s="1"/>
  <c r="R686" i="4"/>
  <c r="V686" i="4" s="1"/>
  <c r="X686" i="4"/>
  <c r="S686" i="4"/>
  <c r="W686" i="4" s="1"/>
  <c r="S432" i="4"/>
  <c r="W432" i="4" s="1"/>
  <c r="X432" i="4"/>
  <c r="R432" i="4"/>
  <c r="V432" i="4" s="1"/>
  <c r="R544" i="4"/>
  <c r="V544" i="4" s="1"/>
  <c r="X544" i="4"/>
  <c r="S544" i="4"/>
  <c r="W544" i="4" s="1"/>
  <c r="R547" i="4"/>
  <c r="V547" i="4" s="1"/>
  <c r="X547" i="4"/>
  <c r="S547" i="4"/>
  <c r="W547" i="4" s="1"/>
  <c r="R591" i="4"/>
  <c r="V591" i="4" s="1"/>
  <c r="X591" i="4"/>
  <c r="S591" i="4"/>
  <c r="W591" i="4" s="1"/>
  <c r="R683" i="4"/>
  <c r="V683" i="4" s="1"/>
  <c r="X683" i="4"/>
  <c r="S683" i="4"/>
  <c r="W683" i="4" s="1"/>
  <c r="S444" i="4"/>
  <c r="W444" i="4" s="1"/>
  <c r="X444" i="4"/>
  <c r="R444" i="4"/>
  <c r="V444" i="4" s="1"/>
  <c r="R553" i="4"/>
  <c r="V553" i="4" s="1"/>
  <c r="X553" i="4"/>
  <c r="S553" i="4"/>
  <c r="W553" i="4" s="1"/>
  <c r="R594" i="4"/>
  <c r="V594" i="4" s="1"/>
  <c r="X594" i="4"/>
  <c r="S594" i="4"/>
  <c r="W594" i="4" s="1"/>
  <c r="R684" i="4"/>
  <c r="V684" i="4" s="1"/>
  <c r="X684" i="4"/>
  <c r="S684" i="4"/>
  <c r="W684" i="4" s="1"/>
  <c r="R320" i="4"/>
  <c r="V320" i="4" s="1"/>
  <c r="X320" i="4"/>
  <c r="S320" i="4"/>
  <c r="W320" i="4" s="1"/>
  <c r="R545" i="4"/>
  <c r="V545" i="4" s="1"/>
  <c r="X545" i="4"/>
  <c r="S545" i="4"/>
  <c r="W545" i="4" s="1"/>
  <c r="R108" i="4"/>
  <c r="V108" i="4" s="1"/>
  <c r="X108" i="4"/>
  <c r="S108" i="4"/>
  <c r="W108" i="4" s="1"/>
  <c r="X329" i="4"/>
  <c r="R329" i="4"/>
  <c r="V329" i="4" s="1"/>
  <c r="S329" i="4"/>
  <c r="W329" i="4" s="1"/>
  <c r="S447" i="4"/>
  <c r="W447" i="4" s="1"/>
  <c r="X447" i="4"/>
  <c r="R447" i="4"/>
  <c r="V447" i="4" s="1"/>
  <c r="R546" i="4"/>
  <c r="V546" i="4" s="1"/>
  <c r="X546" i="4"/>
  <c r="S546" i="4"/>
  <c r="W546" i="4" s="1"/>
  <c r="R556" i="4"/>
  <c r="V556" i="4" s="1"/>
  <c r="X556" i="4"/>
  <c r="S556" i="4"/>
  <c r="W556" i="4" s="1"/>
  <c r="R669" i="4"/>
  <c r="V669" i="4" s="1"/>
  <c r="X669" i="4"/>
  <c r="S669" i="4"/>
  <c r="W669" i="4" s="1"/>
  <c r="R685" i="4"/>
  <c r="V685" i="4" s="1"/>
  <c r="X685" i="4"/>
  <c r="S685" i="4"/>
  <c r="W685" i="4" s="1"/>
  <c r="Q12" i="4"/>
  <c r="U11" i="4" l="1"/>
  <c r="U553" i="4"/>
  <c r="U548" i="4"/>
  <c r="U567" i="4"/>
  <c r="U297" i="4"/>
  <c r="U444" i="4"/>
  <c r="U468" i="4"/>
  <c r="U435" i="4"/>
  <c r="U108" i="4"/>
  <c r="U683" i="4"/>
  <c r="U437" i="4"/>
  <c r="U561" i="4"/>
  <c r="U562" i="4"/>
  <c r="U549" i="4"/>
  <c r="U551" i="4"/>
  <c r="U113" i="4"/>
  <c r="U669" i="4"/>
  <c r="U591" i="4"/>
  <c r="U579" i="4"/>
  <c r="U434" i="4"/>
  <c r="U557" i="4"/>
  <c r="U86" i="4"/>
  <c r="U671" i="4"/>
  <c r="U552" i="4"/>
  <c r="U686" i="4"/>
  <c r="U450" i="4"/>
  <c r="U550" i="4"/>
  <c r="U545" i="4"/>
  <c r="U313" i="4"/>
  <c r="U682" i="4"/>
  <c r="U449" i="4"/>
  <c r="U168" i="4"/>
  <c r="U688" i="4"/>
  <c r="U451" i="4"/>
  <c r="U565" i="4"/>
  <c r="U556" i="4"/>
  <c r="U319" i="4"/>
  <c r="U38" i="4"/>
  <c r="U445" i="4"/>
  <c r="U558" i="4"/>
  <c r="U685" i="4"/>
  <c r="U681" i="4"/>
  <c r="U555" i="4"/>
  <c r="U291" i="4"/>
  <c r="U318" i="4"/>
  <c r="U559" i="4"/>
  <c r="U447" i="4"/>
  <c r="U684" i="4"/>
  <c r="U544" i="4"/>
  <c r="U470" i="4"/>
  <c r="U469" i="4"/>
  <c r="U687" i="4"/>
  <c r="U201" i="4"/>
  <c r="U564" i="4"/>
  <c r="U670" i="4"/>
  <c r="U167" i="4"/>
  <c r="U364" i="4"/>
  <c r="R12" i="4"/>
  <c r="V12" i="4" s="1"/>
  <c r="X12" i="4"/>
  <c r="S12" i="4"/>
  <c r="W12" i="4" s="1"/>
  <c r="U590" i="4"/>
  <c r="U404" i="4"/>
  <c r="U431" i="4"/>
  <c r="U452" i="4"/>
  <c r="U446" i="4"/>
  <c r="U672" i="4"/>
  <c r="U678" i="4"/>
  <c r="U329" i="4"/>
  <c r="U547" i="4"/>
  <c r="U432" i="4"/>
  <c r="U433" i="4"/>
  <c r="U77" i="4"/>
  <c r="U169" i="4"/>
  <c r="U554" i="4"/>
  <c r="U560" i="4"/>
  <c r="U39" i="4"/>
  <c r="U594" i="4"/>
  <c r="U546" i="4"/>
  <c r="U320" i="4"/>
  <c r="U366" i="4"/>
  <c r="U365" i="4"/>
  <c r="Q658" i="4"/>
  <c r="Q657" i="4"/>
  <c r="Q614" i="4"/>
  <c r="Q607" i="4"/>
  <c r="Q599" i="4"/>
  <c r="Q598" i="4"/>
  <c r="Q593" i="4"/>
  <c r="Q583" i="4"/>
  <c r="Q543" i="4"/>
  <c r="Q538" i="4"/>
  <c r="Q537" i="4"/>
  <c r="Q536" i="4"/>
  <c r="Q502" i="4"/>
  <c r="O491" i="4"/>
  <c r="Q491" i="4" s="1"/>
  <c r="Q480" i="4"/>
  <c r="Q473" i="4"/>
  <c r="Q472" i="4"/>
  <c r="Q471" i="4"/>
  <c r="Q430" i="4"/>
  <c r="Q429" i="4"/>
  <c r="Q428" i="4"/>
  <c r="Q406" i="4"/>
  <c r="Q405" i="4"/>
  <c r="O403" i="4"/>
  <c r="Q403" i="4" s="1"/>
  <c r="O402" i="4"/>
  <c r="Q402" i="4" s="1"/>
  <c r="O401" i="4"/>
  <c r="Q401" i="4" s="1"/>
  <c r="O400" i="4"/>
  <c r="Q400" i="4" s="1"/>
  <c r="Q398" i="4"/>
  <c r="Q389" i="4"/>
  <c r="Q388" i="4"/>
  <c r="Q387" i="4"/>
  <c r="Q363" i="4"/>
  <c r="Q345" i="4"/>
  <c r="Q344" i="4"/>
  <c r="Q342" i="4"/>
  <c r="Q341" i="4"/>
  <c r="Q340" i="4"/>
  <c r="Q339" i="4"/>
  <c r="Q337" i="4"/>
  <c r="Q336" i="4"/>
  <c r="Q335" i="4"/>
  <c r="Q334" i="4"/>
  <c r="Q328" i="4"/>
  <c r="Q327" i="4"/>
  <c r="Q323" i="4"/>
  <c r="Q317" i="4"/>
  <c r="Q316" i="4"/>
  <c r="Q314" i="4"/>
  <c r="Q312" i="4"/>
  <c r="Q311" i="4"/>
  <c r="Q310" i="4"/>
  <c r="Q309" i="4"/>
  <c r="Q308" i="4"/>
  <c r="Q307" i="4"/>
  <c r="Q300" i="4"/>
  <c r="Q299" i="4"/>
  <c r="Q298" i="4"/>
  <c r="Q296" i="4"/>
  <c r="Q295" i="4"/>
  <c r="Q293" i="4"/>
  <c r="Q292" i="4"/>
  <c r="Q287" i="4"/>
  <c r="Q286" i="4"/>
  <c r="Q285" i="4"/>
  <c r="O284" i="4"/>
  <c r="Q284" i="4" s="1"/>
  <c r="Q280" i="4"/>
  <c r="Q279" i="4"/>
  <c r="Q278" i="4"/>
  <c r="Q277" i="4"/>
  <c r="O275" i="4"/>
  <c r="Q275" i="4" s="1"/>
  <c r="Q270" i="4"/>
  <c r="Q266" i="4"/>
  <c r="Q258" i="4"/>
  <c r="Q251" i="4"/>
  <c r="Q250" i="4"/>
  <c r="Q229" i="4"/>
  <c r="Q228" i="4"/>
  <c r="Q227" i="4"/>
  <c r="Q220" i="4"/>
  <c r="Q218" i="4"/>
  <c r="Q204" i="4"/>
  <c r="Q203" i="4"/>
  <c r="Q202" i="4"/>
  <c r="Q200" i="4"/>
  <c r="Q199" i="4"/>
  <c r="Q198" i="4"/>
  <c r="Q194" i="4"/>
  <c r="Q188" i="4"/>
  <c r="Q182" i="4"/>
  <c r="Q171" i="4"/>
  <c r="Q170" i="4"/>
  <c r="Q166" i="4"/>
  <c r="Q165" i="4"/>
  <c r="Q164" i="4"/>
  <c r="Q162" i="4"/>
  <c r="Q160" i="4"/>
  <c r="Q151" i="4"/>
  <c r="Q143" i="4"/>
  <c r="Q141" i="4"/>
  <c r="Q140" i="4"/>
  <c r="Q138" i="4"/>
  <c r="Q131" i="4"/>
  <c r="Q127" i="4"/>
  <c r="Q116" i="4"/>
  <c r="Q114" i="4"/>
  <c r="Q111" i="4"/>
  <c r="Q94" i="4"/>
  <c r="Q93" i="4"/>
  <c r="Q92" i="4"/>
  <c r="Q91" i="4"/>
  <c r="Q82" i="4"/>
  <c r="Q81" i="4"/>
  <c r="Q80" i="4"/>
  <c r="Q79" i="4"/>
  <c r="Q78" i="4"/>
  <c r="Q76" i="4"/>
  <c r="Q75" i="4"/>
  <c r="Q74" i="4"/>
  <c r="Q69" i="4"/>
  <c r="Q60" i="4"/>
  <c r="Q28" i="4"/>
  <c r="Q27" i="4"/>
  <c r="O26" i="4"/>
  <c r="Q26" i="4" s="1"/>
  <c r="Q19" i="4"/>
  <c r="R171" i="4" l="1"/>
  <c r="V171" i="4" s="1"/>
  <c r="X171" i="4"/>
  <c r="S171" i="4"/>
  <c r="W171" i="4" s="1"/>
  <c r="R76" i="4"/>
  <c r="V76" i="4" s="1"/>
  <c r="X76" i="4"/>
  <c r="S76" i="4"/>
  <c r="W76" i="4" s="1"/>
  <c r="R116" i="4"/>
  <c r="V116" i="4" s="1"/>
  <c r="X116" i="4"/>
  <c r="S116" i="4"/>
  <c r="W116" i="4" s="1"/>
  <c r="R166" i="4"/>
  <c r="V166" i="4" s="1"/>
  <c r="X166" i="4"/>
  <c r="S166" i="4"/>
  <c r="W166" i="4" s="1"/>
  <c r="R218" i="4"/>
  <c r="V218" i="4" s="1"/>
  <c r="X218" i="4"/>
  <c r="S218" i="4"/>
  <c r="W218" i="4" s="1"/>
  <c r="S278" i="4"/>
  <c r="W278" i="4" s="1"/>
  <c r="X278" i="4"/>
  <c r="R278" i="4"/>
  <c r="V278" i="4" s="1"/>
  <c r="R299" i="4"/>
  <c r="V299" i="4" s="1"/>
  <c r="X299" i="4"/>
  <c r="S299" i="4"/>
  <c r="W299" i="4" s="1"/>
  <c r="R327" i="4"/>
  <c r="V327" i="4" s="1"/>
  <c r="X327" i="4"/>
  <c r="S327" i="4"/>
  <c r="W327" i="4" s="1"/>
  <c r="X363" i="4"/>
  <c r="S363" i="4"/>
  <c r="W363" i="4" s="1"/>
  <c r="R363" i="4"/>
  <c r="V363" i="4" s="1"/>
  <c r="R429" i="4"/>
  <c r="V429" i="4" s="1"/>
  <c r="X429" i="4"/>
  <c r="S429" i="4"/>
  <c r="W429" i="4" s="1"/>
  <c r="R583" i="4"/>
  <c r="V583" i="4" s="1"/>
  <c r="X583" i="4"/>
  <c r="S583" i="4"/>
  <c r="W583" i="4" s="1"/>
  <c r="R170" i="4"/>
  <c r="V170" i="4" s="1"/>
  <c r="X170" i="4"/>
  <c r="S170" i="4"/>
  <c r="W170" i="4" s="1"/>
  <c r="R279" i="4"/>
  <c r="V279" i="4" s="1"/>
  <c r="X279" i="4"/>
  <c r="S279" i="4"/>
  <c r="W279" i="4" s="1"/>
  <c r="S300" i="4"/>
  <c r="W300" i="4" s="1"/>
  <c r="X300" i="4"/>
  <c r="R300" i="4"/>
  <c r="V300" i="4" s="1"/>
  <c r="R328" i="4"/>
  <c r="V328" i="4" s="1"/>
  <c r="X328" i="4"/>
  <c r="S328" i="4"/>
  <c r="W328" i="4" s="1"/>
  <c r="S387" i="4"/>
  <c r="W387" i="4" s="1"/>
  <c r="X387" i="4"/>
  <c r="R387" i="4"/>
  <c r="V387" i="4" s="1"/>
  <c r="R430" i="4"/>
  <c r="V430" i="4" s="1"/>
  <c r="X430" i="4"/>
  <c r="S430" i="4"/>
  <c r="W430" i="4" s="1"/>
  <c r="R593" i="4"/>
  <c r="V593" i="4" s="1"/>
  <c r="X593" i="4"/>
  <c r="S593" i="4"/>
  <c r="W593" i="4" s="1"/>
  <c r="R598" i="4"/>
  <c r="V598" i="4" s="1"/>
  <c r="X598" i="4"/>
  <c r="S598" i="4"/>
  <c r="W598" i="4" s="1"/>
  <c r="R182" i="4"/>
  <c r="V182" i="4" s="1"/>
  <c r="X182" i="4"/>
  <c r="S182" i="4"/>
  <c r="W182" i="4" s="1"/>
  <c r="R228" i="4"/>
  <c r="V228" i="4" s="1"/>
  <c r="X228" i="4"/>
  <c r="S228" i="4"/>
  <c r="W228" i="4" s="1"/>
  <c r="S284" i="4"/>
  <c r="W284" i="4" s="1"/>
  <c r="X284" i="4"/>
  <c r="R284" i="4"/>
  <c r="V284" i="4" s="1"/>
  <c r="R308" i="4"/>
  <c r="V308" i="4" s="1"/>
  <c r="X308" i="4"/>
  <c r="S308" i="4"/>
  <c r="W308" i="4" s="1"/>
  <c r="R335" i="4"/>
  <c r="V335" i="4" s="1"/>
  <c r="X335" i="4"/>
  <c r="S335" i="4"/>
  <c r="W335" i="4" s="1"/>
  <c r="R389" i="4"/>
  <c r="V389" i="4" s="1"/>
  <c r="X389" i="4"/>
  <c r="S389" i="4"/>
  <c r="W389" i="4" s="1"/>
  <c r="R472" i="4"/>
  <c r="V472" i="4" s="1"/>
  <c r="X472" i="4"/>
  <c r="S472" i="4"/>
  <c r="W472" i="4" s="1"/>
  <c r="R599" i="4"/>
  <c r="V599" i="4" s="1"/>
  <c r="X599" i="4"/>
  <c r="S599" i="4"/>
  <c r="W599" i="4" s="1"/>
  <c r="X131" i="4"/>
  <c r="S131" i="4"/>
  <c r="W131" i="4" s="1"/>
  <c r="R131" i="4"/>
  <c r="V131" i="4" s="1"/>
  <c r="X140" i="4"/>
  <c r="S140" i="4"/>
  <c r="W140" i="4" s="1"/>
  <c r="R140" i="4"/>
  <c r="V140" i="4" s="1"/>
  <c r="S188" i="4"/>
  <c r="W188" i="4" s="1"/>
  <c r="X188" i="4"/>
  <c r="R188" i="4"/>
  <c r="V188" i="4" s="1"/>
  <c r="R229" i="4"/>
  <c r="V229" i="4" s="1"/>
  <c r="X229" i="4"/>
  <c r="S229" i="4"/>
  <c r="W229" i="4" s="1"/>
  <c r="R285" i="4"/>
  <c r="V285" i="4" s="1"/>
  <c r="X285" i="4"/>
  <c r="S285" i="4"/>
  <c r="W285" i="4" s="1"/>
  <c r="S309" i="4"/>
  <c r="W309" i="4" s="1"/>
  <c r="X309" i="4"/>
  <c r="R309" i="4"/>
  <c r="V309" i="4" s="1"/>
  <c r="R336" i="4"/>
  <c r="V336" i="4" s="1"/>
  <c r="X336" i="4"/>
  <c r="S336" i="4"/>
  <c r="W336" i="4" s="1"/>
  <c r="R398" i="4"/>
  <c r="V398" i="4" s="1"/>
  <c r="X398" i="4"/>
  <c r="S398" i="4"/>
  <c r="W398" i="4" s="1"/>
  <c r="R473" i="4"/>
  <c r="V473" i="4" s="1"/>
  <c r="X473" i="4"/>
  <c r="S473" i="4"/>
  <c r="W473" i="4" s="1"/>
  <c r="R607" i="4"/>
  <c r="V607" i="4" s="1"/>
  <c r="X607" i="4"/>
  <c r="S607" i="4"/>
  <c r="W607" i="4" s="1"/>
  <c r="R79" i="4"/>
  <c r="V79" i="4" s="1"/>
  <c r="X79" i="4"/>
  <c r="S79" i="4"/>
  <c r="W79" i="4" s="1"/>
  <c r="X471" i="4"/>
  <c r="R471" i="4"/>
  <c r="V471" i="4" s="1"/>
  <c r="S471" i="4"/>
  <c r="W471" i="4" s="1"/>
  <c r="R19" i="4"/>
  <c r="V19" i="4" s="1"/>
  <c r="X19" i="4"/>
  <c r="S19" i="4"/>
  <c r="W19" i="4" s="1"/>
  <c r="R26" i="4"/>
  <c r="V26" i="4" s="1"/>
  <c r="X26" i="4"/>
  <c r="S26" i="4"/>
  <c r="W26" i="4" s="1"/>
  <c r="R82" i="4"/>
  <c r="V82" i="4" s="1"/>
  <c r="X82" i="4"/>
  <c r="S82" i="4"/>
  <c r="W82" i="4" s="1"/>
  <c r="R141" i="4"/>
  <c r="V141" i="4" s="1"/>
  <c r="X141" i="4"/>
  <c r="S141" i="4"/>
  <c r="W141" i="4" s="1"/>
  <c r="R194" i="4"/>
  <c r="V194" i="4" s="1"/>
  <c r="X194" i="4"/>
  <c r="S194" i="4"/>
  <c r="W194" i="4" s="1"/>
  <c r="R250" i="4"/>
  <c r="V250" i="4" s="1"/>
  <c r="X250" i="4"/>
  <c r="S250" i="4"/>
  <c r="W250" i="4" s="1"/>
  <c r="R286" i="4"/>
  <c r="V286" i="4" s="1"/>
  <c r="X286" i="4"/>
  <c r="S286" i="4"/>
  <c r="W286" i="4" s="1"/>
  <c r="R310" i="4"/>
  <c r="V310" i="4" s="1"/>
  <c r="X310" i="4"/>
  <c r="S310" i="4"/>
  <c r="W310" i="4" s="1"/>
  <c r="X337" i="4"/>
  <c r="R337" i="4"/>
  <c r="V337" i="4" s="1"/>
  <c r="S337" i="4"/>
  <c r="W337" i="4" s="1"/>
  <c r="R400" i="4"/>
  <c r="V400" i="4" s="1"/>
  <c r="X400" i="4"/>
  <c r="S400" i="4"/>
  <c r="W400" i="4" s="1"/>
  <c r="R480" i="4"/>
  <c r="V480" i="4" s="1"/>
  <c r="X480" i="4"/>
  <c r="S480" i="4"/>
  <c r="W480" i="4" s="1"/>
  <c r="R614" i="4"/>
  <c r="V614" i="4" s="1"/>
  <c r="X614" i="4"/>
  <c r="S614" i="4"/>
  <c r="W614" i="4" s="1"/>
  <c r="R220" i="4"/>
  <c r="V220" i="4" s="1"/>
  <c r="X220" i="4"/>
  <c r="S220" i="4"/>
  <c r="W220" i="4" s="1"/>
  <c r="X307" i="4"/>
  <c r="S307" i="4"/>
  <c r="W307" i="4" s="1"/>
  <c r="R307" i="4"/>
  <c r="V307" i="4" s="1"/>
  <c r="X91" i="4"/>
  <c r="R91" i="4"/>
  <c r="V91" i="4" s="1"/>
  <c r="S91" i="4"/>
  <c r="W91" i="4" s="1"/>
  <c r="R198" i="4"/>
  <c r="V198" i="4" s="1"/>
  <c r="X198" i="4"/>
  <c r="S198" i="4"/>
  <c r="W198" i="4" s="1"/>
  <c r="R287" i="4"/>
  <c r="V287" i="4" s="1"/>
  <c r="X287" i="4"/>
  <c r="S287" i="4"/>
  <c r="W287" i="4" s="1"/>
  <c r="R311" i="4"/>
  <c r="V311" i="4" s="1"/>
  <c r="X311" i="4"/>
  <c r="S311" i="4"/>
  <c r="W311" i="4" s="1"/>
  <c r="R339" i="4"/>
  <c r="V339" i="4" s="1"/>
  <c r="X339" i="4"/>
  <c r="S339" i="4"/>
  <c r="W339" i="4" s="1"/>
  <c r="R401" i="4"/>
  <c r="V401" i="4" s="1"/>
  <c r="X401" i="4"/>
  <c r="S401" i="4"/>
  <c r="W401" i="4" s="1"/>
  <c r="R491" i="4"/>
  <c r="V491" i="4" s="1"/>
  <c r="X491" i="4"/>
  <c r="S491" i="4"/>
  <c r="W491" i="4" s="1"/>
  <c r="R657" i="4"/>
  <c r="V657" i="4" s="1"/>
  <c r="X657" i="4"/>
  <c r="S657" i="4"/>
  <c r="W657" i="4" s="1"/>
  <c r="R388" i="4"/>
  <c r="V388" i="4" s="1"/>
  <c r="X388" i="4"/>
  <c r="S388" i="4"/>
  <c r="W388" i="4" s="1"/>
  <c r="R27" i="4"/>
  <c r="V27" i="4" s="1"/>
  <c r="X27" i="4"/>
  <c r="S27" i="4"/>
  <c r="W27" i="4" s="1"/>
  <c r="X251" i="4"/>
  <c r="R251" i="4"/>
  <c r="V251" i="4" s="1"/>
  <c r="S251" i="4"/>
  <c r="W251" i="4" s="1"/>
  <c r="X28" i="4"/>
  <c r="R28" i="4"/>
  <c r="V28" i="4" s="1"/>
  <c r="S28" i="4"/>
  <c r="W28" i="4" s="1"/>
  <c r="R92" i="4"/>
  <c r="V92" i="4" s="1"/>
  <c r="X92" i="4"/>
  <c r="S92" i="4"/>
  <c r="W92" i="4" s="1"/>
  <c r="R151" i="4"/>
  <c r="V151" i="4" s="1"/>
  <c r="X151" i="4"/>
  <c r="S151" i="4"/>
  <c r="W151" i="4" s="1"/>
  <c r="R199" i="4"/>
  <c r="V199" i="4" s="1"/>
  <c r="X199" i="4"/>
  <c r="S199" i="4"/>
  <c r="W199" i="4" s="1"/>
  <c r="R258" i="4"/>
  <c r="V258" i="4" s="1"/>
  <c r="X258" i="4"/>
  <c r="S258" i="4"/>
  <c r="W258" i="4" s="1"/>
  <c r="S292" i="4"/>
  <c r="W292" i="4" s="1"/>
  <c r="X292" i="4"/>
  <c r="R292" i="4"/>
  <c r="V292" i="4" s="1"/>
  <c r="R312" i="4"/>
  <c r="V312" i="4" s="1"/>
  <c r="X312" i="4"/>
  <c r="S312" i="4"/>
  <c r="W312" i="4" s="1"/>
  <c r="R340" i="4"/>
  <c r="V340" i="4" s="1"/>
  <c r="X340" i="4"/>
  <c r="S340" i="4"/>
  <c r="W340" i="4" s="1"/>
  <c r="R402" i="4"/>
  <c r="V402" i="4" s="1"/>
  <c r="X402" i="4"/>
  <c r="S402" i="4"/>
  <c r="W402" i="4" s="1"/>
  <c r="S502" i="4"/>
  <c r="W502" i="4" s="1"/>
  <c r="X502" i="4"/>
  <c r="R502" i="4"/>
  <c r="V502" i="4" s="1"/>
  <c r="R658" i="4"/>
  <c r="V658" i="4" s="1"/>
  <c r="X658" i="4"/>
  <c r="S658" i="4"/>
  <c r="W658" i="4" s="1"/>
  <c r="S280" i="4"/>
  <c r="W280" i="4" s="1"/>
  <c r="X280" i="4"/>
  <c r="R280" i="4"/>
  <c r="V280" i="4" s="1"/>
  <c r="R80" i="4"/>
  <c r="V80" i="4" s="1"/>
  <c r="X80" i="4"/>
  <c r="S80" i="4"/>
  <c r="W80" i="4" s="1"/>
  <c r="R60" i="4"/>
  <c r="V60" i="4" s="1"/>
  <c r="X60" i="4"/>
  <c r="S60" i="4"/>
  <c r="W60" i="4" s="1"/>
  <c r="X93" i="4"/>
  <c r="R93" i="4"/>
  <c r="V93" i="4" s="1"/>
  <c r="S93" i="4"/>
  <c r="W93" i="4" s="1"/>
  <c r="R160" i="4"/>
  <c r="V160" i="4" s="1"/>
  <c r="X160" i="4"/>
  <c r="S160" i="4"/>
  <c r="W160" i="4" s="1"/>
  <c r="R200" i="4"/>
  <c r="V200" i="4" s="1"/>
  <c r="X200" i="4"/>
  <c r="S200" i="4"/>
  <c r="W200" i="4" s="1"/>
  <c r="R266" i="4"/>
  <c r="V266" i="4" s="1"/>
  <c r="X266" i="4"/>
  <c r="S266" i="4"/>
  <c r="W266" i="4" s="1"/>
  <c r="R293" i="4"/>
  <c r="V293" i="4" s="1"/>
  <c r="X293" i="4"/>
  <c r="S293" i="4"/>
  <c r="W293" i="4" s="1"/>
  <c r="R314" i="4"/>
  <c r="V314" i="4" s="1"/>
  <c r="X314" i="4"/>
  <c r="S314" i="4"/>
  <c r="W314" i="4" s="1"/>
  <c r="X341" i="4"/>
  <c r="R341" i="4"/>
  <c r="V341" i="4" s="1"/>
  <c r="S341" i="4"/>
  <c r="W341" i="4" s="1"/>
  <c r="R403" i="4"/>
  <c r="V403" i="4" s="1"/>
  <c r="X403" i="4"/>
  <c r="S403" i="4"/>
  <c r="W403" i="4" s="1"/>
  <c r="R536" i="4"/>
  <c r="V536" i="4" s="1"/>
  <c r="X536" i="4"/>
  <c r="S536" i="4"/>
  <c r="W536" i="4" s="1"/>
  <c r="U12" i="4"/>
  <c r="R227" i="4"/>
  <c r="V227" i="4" s="1"/>
  <c r="X227" i="4"/>
  <c r="S227" i="4"/>
  <c r="W227" i="4" s="1"/>
  <c r="R138" i="4"/>
  <c r="V138" i="4" s="1"/>
  <c r="X138" i="4"/>
  <c r="S138" i="4"/>
  <c r="W138" i="4" s="1"/>
  <c r="R94" i="4"/>
  <c r="V94" i="4" s="1"/>
  <c r="X94" i="4"/>
  <c r="S94" i="4"/>
  <c r="W94" i="4" s="1"/>
  <c r="R162" i="4"/>
  <c r="V162" i="4" s="1"/>
  <c r="X162" i="4"/>
  <c r="S162" i="4"/>
  <c r="W162" i="4" s="1"/>
  <c r="R202" i="4"/>
  <c r="V202" i="4" s="1"/>
  <c r="X202" i="4"/>
  <c r="S202" i="4"/>
  <c r="W202" i="4" s="1"/>
  <c r="R270" i="4"/>
  <c r="V270" i="4" s="1"/>
  <c r="X270" i="4"/>
  <c r="S270" i="4"/>
  <c r="W270" i="4" s="1"/>
  <c r="R295" i="4"/>
  <c r="V295" i="4" s="1"/>
  <c r="X295" i="4"/>
  <c r="S295" i="4"/>
  <c r="W295" i="4" s="1"/>
  <c r="R316" i="4"/>
  <c r="V316" i="4" s="1"/>
  <c r="X316" i="4"/>
  <c r="S316" i="4"/>
  <c r="W316" i="4" s="1"/>
  <c r="R342" i="4"/>
  <c r="V342" i="4" s="1"/>
  <c r="X342" i="4"/>
  <c r="S342" i="4"/>
  <c r="W342" i="4" s="1"/>
  <c r="R405" i="4"/>
  <c r="V405" i="4" s="1"/>
  <c r="X405" i="4"/>
  <c r="S405" i="4"/>
  <c r="W405" i="4" s="1"/>
  <c r="R537" i="4"/>
  <c r="V537" i="4" s="1"/>
  <c r="X537" i="4"/>
  <c r="S537" i="4"/>
  <c r="W537" i="4" s="1"/>
  <c r="R78" i="4"/>
  <c r="V78" i="4" s="1"/>
  <c r="X78" i="4"/>
  <c r="S78" i="4"/>
  <c r="W78" i="4" s="1"/>
  <c r="R143" i="4"/>
  <c r="V143" i="4" s="1"/>
  <c r="X143" i="4"/>
  <c r="S143" i="4"/>
  <c r="W143" i="4" s="1"/>
  <c r="R74" i="4"/>
  <c r="V74" i="4" s="1"/>
  <c r="X74" i="4"/>
  <c r="S74" i="4"/>
  <c r="W74" i="4" s="1"/>
  <c r="R164" i="4"/>
  <c r="V164" i="4" s="1"/>
  <c r="X164" i="4"/>
  <c r="S164" i="4"/>
  <c r="W164" i="4" s="1"/>
  <c r="R203" i="4"/>
  <c r="V203" i="4" s="1"/>
  <c r="X203" i="4"/>
  <c r="S203" i="4"/>
  <c r="W203" i="4" s="1"/>
  <c r="R275" i="4"/>
  <c r="V275" i="4" s="1"/>
  <c r="X275" i="4"/>
  <c r="S275" i="4"/>
  <c r="W275" i="4" s="1"/>
  <c r="S296" i="4"/>
  <c r="W296" i="4" s="1"/>
  <c r="X296" i="4"/>
  <c r="R296" i="4"/>
  <c r="V296" i="4" s="1"/>
  <c r="R317" i="4"/>
  <c r="V317" i="4" s="1"/>
  <c r="X317" i="4"/>
  <c r="S317" i="4"/>
  <c r="W317" i="4" s="1"/>
  <c r="R344" i="4"/>
  <c r="V344" i="4" s="1"/>
  <c r="X344" i="4"/>
  <c r="S344" i="4"/>
  <c r="W344" i="4" s="1"/>
  <c r="R406" i="4"/>
  <c r="V406" i="4" s="1"/>
  <c r="X406" i="4"/>
  <c r="S406" i="4"/>
  <c r="W406" i="4" s="1"/>
  <c r="R538" i="4"/>
  <c r="V538" i="4" s="1"/>
  <c r="X538" i="4"/>
  <c r="S538" i="4"/>
  <c r="W538" i="4" s="1"/>
  <c r="X127" i="4"/>
  <c r="S127" i="4"/>
  <c r="W127" i="4" s="1"/>
  <c r="R127" i="4"/>
  <c r="V127" i="4" s="1"/>
  <c r="R334" i="4"/>
  <c r="V334" i="4" s="1"/>
  <c r="X334" i="4"/>
  <c r="S334" i="4"/>
  <c r="W334" i="4" s="1"/>
  <c r="X81" i="4"/>
  <c r="R81" i="4"/>
  <c r="V81" i="4" s="1"/>
  <c r="S81" i="4"/>
  <c r="W81" i="4" s="1"/>
  <c r="R69" i="4"/>
  <c r="V69" i="4" s="1"/>
  <c r="X69" i="4"/>
  <c r="S69" i="4"/>
  <c r="W69" i="4" s="1"/>
  <c r="X111" i="4"/>
  <c r="S111" i="4"/>
  <c r="W111" i="4" s="1"/>
  <c r="R111" i="4"/>
  <c r="V111" i="4" s="1"/>
  <c r="X75" i="4"/>
  <c r="R75" i="4"/>
  <c r="V75" i="4" s="1"/>
  <c r="S75" i="4"/>
  <c r="W75" i="4" s="1"/>
  <c r="R114" i="4"/>
  <c r="V114" i="4" s="1"/>
  <c r="X114" i="4"/>
  <c r="S114" i="4"/>
  <c r="W114" i="4" s="1"/>
  <c r="R165" i="4"/>
  <c r="V165" i="4" s="1"/>
  <c r="X165" i="4"/>
  <c r="S165" i="4"/>
  <c r="W165" i="4" s="1"/>
  <c r="R204" i="4"/>
  <c r="V204" i="4" s="1"/>
  <c r="X204" i="4"/>
  <c r="S204" i="4"/>
  <c r="W204" i="4" s="1"/>
  <c r="R277" i="4"/>
  <c r="V277" i="4" s="1"/>
  <c r="X277" i="4"/>
  <c r="S277" i="4"/>
  <c r="W277" i="4" s="1"/>
  <c r="S298" i="4"/>
  <c r="W298" i="4" s="1"/>
  <c r="X298" i="4"/>
  <c r="R298" i="4"/>
  <c r="V298" i="4" s="1"/>
  <c r="R323" i="4"/>
  <c r="V323" i="4" s="1"/>
  <c r="X323" i="4"/>
  <c r="S323" i="4"/>
  <c r="W323" i="4" s="1"/>
  <c r="R345" i="4"/>
  <c r="V345" i="4" s="1"/>
  <c r="X345" i="4"/>
  <c r="S345" i="4"/>
  <c r="W345" i="4" s="1"/>
  <c r="S428" i="4"/>
  <c r="W428" i="4" s="1"/>
  <c r="X428" i="4"/>
  <c r="R428" i="4"/>
  <c r="V428" i="4" s="1"/>
  <c r="R543" i="4"/>
  <c r="V543" i="4" s="1"/>
  <c r="X543" i="4"/>
  <c r="S543" i="4"/>
  <c r="W543" i="4" s="1"/>
  <c r="Q531" i="4"/>
  <c r="Q460" i="4"/>
  <c r="Q255" i="4"/>
  <c r="U583" i="4" l="1"/>
  <c r="U162" i="4"/>
  <c r="U328" i="4"/>
  <c r="U143" i="4"/>
  <c r="U342" i="4"/>
  <c r="U80" i="4"/>
  <c r="U398" i="4"/>
  <c r="U311" i="4"/>
  <c r="U473" i="4"/>
  <c r="U335" i="4"/>
  <c r="U406" i="4"/>
  <c r="U295" i="4"/>
  <c r="U308" i="4"/>
  <c r="U312" i="4"/>
  <c r="U151" i="4"/>
  <c r="U220" i="4"/>
  <c r="U140" i="4"/>
  <c r="U657" i="4"/>
  <c r="U277" i="4"/>
  <c r="U81" i="4"/>
  <c r="U74" i="4"/>
  <c r="U27" i="4"/>
  <c r="U79" i="4"/>
  <c r="U430" i="4"/>
  <c r="U344" i="4"/>
  <c r="U293" i="4"/>
  <c r="U310" i="4"/>
  <c r="U472" i="4"/>
  <c r="U543" i="4"/>
  <c r="U317" i="4"/>
  <c r="U316" i="4"/>
  <c r="U202" i="4"/>
  <c r="U307" i="4"/>
  <c r="U387" i="4"/>
  <c r="U401" i="4"/>
  <c r="U131" i="4"/>
  <c r="U284" i="4"/>
  <c r="U323" i="4"/>
  <c r="U538" i="4"/>
  <c r="U203" i="4"/>
  <c r="U405" i="4"/>
  <c r="U286" i="4"/>
  <c r="U607" i="4"/>
  <c r="U593" i="4"/>
  <c r="U170" i="4"/>
  <c r="U93" i="4"/>
  <c r="U292" i="4"/>
  <c r="U82" i="4"/>
  <c r="U164" i="4"/>
  <c r="U280" i="4"/>
  <c r="U218" i="4"/>
  <c r="U298" i="4"/>
  <c r="U314" i="4"/>
  <c r="U60" i="4"/>
  <c r="U340" i="4"/>
  <c r="U471" i="4"/>
  <c r="U94" i="4"/>
  <c r="U92" i="4"/>
  <c r="U491" i="4"/>
  <c r="U26" i="4"/>
  <c r="U299" i="4"/>
  <c r="R531" i="4"/>
  <c r="V531" i="4" s="1"/>
  <c r="X531" i="4"/>
  <c r="S531" i="4"/>
  <c r="W531" i="4" s="1"/>
  <c r="U345" i="4"/>
  <c r="U127" i="4"/>
  <c r="U75" i="4"/>
  <c r="U537" i="4"/>
  <c r="U502" i="4"/>
  <c r="U28" i="4"/>
  <c r="U198" i="4"/>
  <c r="U480" i="4"/>
  <c r="U141" i="4"/>
  <c r="X255" i="4"/>
  <c r="R255" i="4"/>
  <c r="V255" i="4" s="1"/>
  <c r="S255" i="4"/>
  <c r="W255" i="4" s="1"/>
  <c r="U165" i="4"/>
  <c r="U296" i="4"/>
  <c r="U270" i="4"/>
  <c r="U227" i="4"/>
  <c r="U388" i="4"/>
  <c r="U337" i="4"/>
  <c r="U229" i="4"/>
  <c r="U598" i="4"/>
  <c r="R460" i="4"/>
  <c r="V460" i="4" s="1"/>
  <c r="X460" i="4"/>
  <c r="S460" i="4"/>
  <c r="W460" i="4" s="1"/>
  <c r="U403" i="4"/>
  <c r="U200" i="4"/>
  <c r="U258" i="4"/>
  <c r="U300" i="4"/>
  <c r="U166" i="4"/>
  <c r="U76" i="4"/>
  <c r="U250" i="4"/>
  <c r="U19" i="4"/>
  <c r="U309" i="4"/>
  <c r="U228" i="4"/>
  <c r="U251" i="4"/>
  <c r="U363" i="4"/>
  <c r="U428" i="4"/>
  <c r="U402" i="4"/>
  <c r="U188" i="4"/>
  <c r="U279" i="4"/>
  <c r="U278" i="4"/>
  <c r="U111" i="4"/>
  <c r="U114" i="4"/>
  <c r="U204" i="4"/>
  <c r="U275" i="4"/>
  <c r="U536" i="4"/>
  <c r="U341" i="4"/>
  <c r="U160" i="4"/>
  <c r="U658" i="4"/>
  <c r="U199" i="4"/>
  <c r="U287" i="4"/>
  <c r="U91" i="4"/>
  <c r="U614" i="4"/>
  <c r="U400" i="4"/>
  <c r="U389" i="4"/>
  <c r="U182" i="4"/>
  <c r="U116" i="4"/>
  <c r="U171" i="4"/>
  <c r="U69" i="4"/>
  <c r="U334" i="4"/>
  <c r="U78" i="4"/>
  <c r="U138" i="4"/>
  <c r="U266" i="4"/>
  <c r="U339" i="4"/>
  <c r="U194" i="4"/>
  <c r="U336" i="4"/>
  <c r="U285" i="4"/>
  <c r="U599" i="4"/>
  <c r="U429" i="4"/>
  <c r="U327" i="4"/>
  <c r="Q645" i="4"/>
  <c r="Q510" i="4"/>
  <c r="Q234" i="4"/>
  <c r="Q597" i="4"/>
  <c r="Q730" i="4"/>
  <c r="U531" i="4" l="1"/>
  <c r="U460" i="4"/>
  <c r="R234" i="4"/>
  <c r="V234" i="4" s="1"/>
  <c r="X234" i="4"/>
  <c r="S234" i="4"/>
  <c r="W234" i="4" s="1"/>
  <c r="R645" i="4"/>
  <c r="V645" i="4" s="1"/>
  <c r="X645" i="4"/>
  <c r="S645" i="4"/>
  <c r="W645" i="4" s="1"/>
  <c r="R730" i="4"/>
  <c r="V730" i="4" s="1"/>
  <c r="X730" i="4"/>
  <c r="S730" i="4"/>
  <c r="W730" i="4" s="1"/>
  <c r="R597" i="4"/>
  <c r="V597" i="4" s="1"/>
  <c r="X597" i="4"/>
  <c r="S597" i="4"/>
  <c r="W597" i="4" s="1"/>
  <c r="U255" i="4"/>
  <c r="R510" i="4"/>
  <c r="V510" i="4" s="1"/>
  <c r="X510" i="4"/>
  <c r="S510" i="4"/>
  <c r="W510" i="4" s="1"/>
  <c r="O213" i="4"/>
  <c r="Q213" i="4" s="1"/>
  <c r="Q332" i="4"/>
  <c r="Q649" i="4"/>
  <c r="Q454" i="4"/>
  <c r="Q51" i="4"/>
  <c r="Q723" i="4"/>
  <c r="Q475" i="4"/>
  <c r="Q408" i="4"/>
  <c r="Q34" i="4"/>
  <c r="Q740" i="4"/>
  <c r="Q272" i="4"/>
  <c r="Q752" i="4"/>
  <c r="Q33" i="4"/>
  <c r="Q417" i="4"/>
  <c r="Q509" i="4"/>
  <c r="Q104" i="4"/>
  <c r="Q257" i="4"/>
  <c r="O516" i="4"/>
  <c r="Q516" i="4" s="1"/>
  <c r="Q22" i="4"/>
  <c r="Q413" i="4"/>
  <c r="Q692" i="4"/>
  <c r="Q654" i="4"/>
  <c r="O522" i="4"/>
  <c r="Q522" i="4" s="1"/>
  <c r="Q281" i="4"/>
  <c r="O519" i="4"/>
  <c r="Q519" i="4" s="1"/>
  <c r="O616" i="4"/>
  <c r="Q616" i="4" s="1"/>
  <c r="Q254" i="4"/>
  <c r="Q412" i="4"/>
  <c r="Q90" i="4"/>
  <c r="Q625" i="4"/>
  <c r="O652" i="4"/>
  <c r="Q652" i="4" s="1"/>
  <c r="O484" i="4"/>
  <c r="Q484" i="4" s="1"/>
  <c r="Q500" i="4"/>
  <c r="O533" i="4"/>
  <c r="Q533" i="4" s="1"/>
  <c r="O242" i="4"/>
  <c r="Q242" i="4" s="1"/>
  <c r="Q642" i="4"/>
  <c r="Q49" i="4"/>
  <c r="Q219" i="4"/>
  <c r="Q43" i="4"/>
  <c r="Q503" i="4"/>
  <c r="Q711" i="4"/>
  <c r="Q727" i="4"/>
  <c r="Q725" i="4"/>
  <c r="O193" i="4"/>
  <c r="Q193" i="4" s="1"/>
  <c r="O534" i="4"/>
  <c r="Q534" i="4" s="1"/>
  <c r="Q635" i="4"/>
  <c r="Q508" i="4"/>
  <c r="Q653" i="4"/>
  <c r="Q748" i="4"/>
  <c r="Q407" i="4"/>
  <c r="Q109" i="4"/>
  <c r="Q721" i="4"/>
  <c r="Q720" i="4"/>
  <c r="Q715" i="4"/>
  <c r="Q714" i="4"/>
  <c r="Q585" i="4"/>
  <c r="Q570" i="4"/>
  <c r="Q568" i="4"/>
  <c r="Q481" i="4"/>
  <c r="Q458" i="4"/>
  <c r="Q456" i="4"/>
  <c r="Q457" i="4"/>
  <c r="Q215" i="4"/>
  <c r="Q214" i="4"/>
  <c r="Q176" i="4"/>
  <c r="Q153" i="4"/>
  <c r="Q129" i="4"/>
  <c r="Q85" i="4"/>
  <c r="O37" i="4"/>
  <c r="Q37" i="4" s="1"/>
  <c r="Q739" i="4"/>
  <c r="Q738" i="4"/>
  <c r="Q731" i="4"/>
  <c r="O461" i="4"/>
  <c r="Q461" i="4" s="1"/>
  <c r="Q146" i="4"/>
  <c r="O506" i="4"/>
  <c r="Q506" i="4" s="1"/>
  <c r="Q105" i="4"/>
  <c r="Q691" i="4"/>
  <c r="Q325" i="4"/>
  <c r="O587" i="4"/>
  <c r="Q587" i="4" s="1"/>
  <c r="Q265" i="4"/>
  <c r="Q186" i="4"/>
  <c r="O181" i="4"/>
  <c r="Q181" i="4" s="1"/>
  <c r="Q96" i="4"/>
  <c r="Q42" i="4"/>
  <c r="Q612" i="4"/>
  <c r="Q646" i="4"/>
  <c r="Q636" i="4"/>
  <c r="Q632" i="4"/>
  <c r="Q631" i="4"/>
  <c r="Q630" i="4"/>
  <c r="Q626" i="4"/>
  <c r="Q624" i="4"/>
  <c r="Q623" i="4"/>
  <c r="Q618" i="4"/>
  <c r="Q617" i="4"/>
  <c r="Q527" i="4"/>
  <c r="Q523" i="4"/>
  <c r="Q426" i="4"/>
  <c r="Q386" i="4"/>
  <c r="Q385" i="4"/>
  <c r="Q382" i="4"/>
  <c r="Q381" i="4"/>
  <c r="Q211" i="4"/>
  <c r="Q210" i="4"/>
  <c r="Q209" i="4"/>
  <c r="Q208" i="4"/>
  <c r="Q206" i="4"/>
  <c r="Q205" i="4"/>
  <c r="Q128" i="4"/>
  <c r="Q126" i="4"/>
  <c r="Q66" i="4"/>
  <c r="Q65" i="4"/>
  <c r="Q62" i="4"/>
  <c r="Q41" i="4"/>
  <c r="Q137" i="4"/>
  <c r="Q179" i="4"/>
  <c r="Q717" i="4"/>
  <c r="Q479" i="4"/>
  <c r="Q478" i="4"/>
  <c r="Q439" i="4"/>
  <c r="Q415" i="4"/>
  <c r="Q360" i="4"/>
  <c r="O359" i="4"/>
  <c r="Q359" i="4" s="1"/>
  <c r="Q84" i="4"/>
  <c r="Q30" i="4"/>
  <c r="Q31" i="4"/>
  <c r="Q638" i="4"/>
  <c r="Q736" i="4"/>
  <c r="Q664" i="4"/>
  <c r="Q660" i="4"/>
  <c r="Q606" i="4"/>
  <c r="O577" i="4"/>
  <c r="Q577" i="4" s="1"/>
  <c r="Q572" i="4"/>
  <c r="Q466" i="4"/>
  <c r="Q465" i="4"/>
  <c r="Q604" i="4"/>
  <c r="Q603" i="4"/>
  <c r="Q602" i="4"/>
  <c r="Q601" i="4"/>
  <c r="Q259" i="4"/>
  <c r="Q256" i="4"/>
  <c r="Q147" i="4"/>
  <c r="Q207" i="4"/>
  <c r="Q139" i="4"/>
  <c r="Q353" i="4"/>
  <c r="Q380" i="4"/>
  <c r="Q379" i="4"/>
  <c r="O378" i="4"/>
  <c r="Q378" i="4" s="1"/>
  <c r="Q376" i="4"/>
  <c r="Q375" i="4"/>
  <c r="Q374" i="4"/>
  <c r="Q373" i="4"/>
  <c r="Q370" i="4"/>
  <c r="Q369" i="4"/>
  <c r="Q368" i="4"/>
  <c r="Q367" i="4"/>
  <c r="Q362" i="4"/>
  <c r="Q357" i="4"/>
  <c r="Q356" i="4"/>
  <c r="Q354" i="4"/>
  <c r="Q348" i="4"/>
  <c r="Q346" i="4"/>
  <c r="Q347" i="4"/>
  <c r="Q349" i="4"/>
  <c r="Q355" i="4"/>
  <c r="O352" i="4"/>
  <c r="Q352" i="4" s="1"/>
  <c r="Q107" i="4"/>
  <c r="Q753" i="4"/>
  <c r="Q656" i="4"/>
  <c r="Q540" i="4"/>
  <c r="Q397" i="4"/>
  <c r="Q324" i="4"/>
  <c r="O269" i="4"/>
  <c r="Q269" i="4" s="1"/>
  <c r="Q732" i="4"/>
  <c r="Q501" i="4"/>
  <c r="Q156" i="4"/>
  <c r="Q155" i="4"/>
  <c r="Q148" i="4"/>
  <c r="Q40" i="4"/>
  <c r="Q67" i="4"/>
  <c r="Q29" i="4"/>
  <c r="Q693" i="4"/>
  <c r="Q54" i="4"/>
  <c r="Q724" i="4"/>
  <c r="Q667" i="4"/>
  <c r="Q608" i="4"/>
  <c r="O708" i="4"/>
  <c r="Q708" i="4" s="1"/>
  <c r="Q427" i="4"/>
  <c r="Q106" i="4"/>
  <c r="Q330" i="4"/>
  <c r="Q95" i="4"/>
  <c r="Q183" i="4"/>
  <c r="Q24" i="4"/>
  <c r="Q420" i="4"/>
  <c r="Q418" i="4"/>
  <c r="Q496" i="4"/>
  <c r="Q150" i="4"/>
  <c r="Q655" i="4"/>
  <c r="Q581" i="4"/>
  <c r="O483" i="4"/>
  <c r="Q483" i="4" s="1"/>
  <c r="O392" i="4"/>
  <c r="Q392" i="4" s="1"/>
  <c r="Q414" i="4"/>
  <c r="Q149" i="4"/>
  <c r="Q232" i="4"/>
  <c r="Q161" i="4"/>
  <c r="Q289" i="4"/>
  <c r="Q464" i="4"/>
  <c r="Q184" i="4"/>
  <c r="Q393" i="4"/>
  <c r="Q712" i="4"/>
  <c r="Q32" i="4"/>
  <c r="Q729" i="4"/>
  <c r="Q474" i="4"/>
  <c r="Q102" i="4"/>
  <c r="Q23" i="4"/>
  <c r="Q563" i="4"/>
  <c r="O490" i="4"/>
  <c r="Q490" i="4" s="1"/>
  <c r="Q358" i="4"/>
  <c r="Q610" i="4"/>
  <c r="Q648" i="4"/>
  <c r="Q758" i="4"/>
  <c r="Q477" i="4"/>
  <c r="Q216" i="4"/>
  <c r="Q87" i="4"/>
  <c r="Q629" i="4"/>
  <c r="Q596" i="4"/>
  <c r="O73" i="4"/>
  <c r="Q73" i="4" s="1"/>
  <c r="Q647" i="4"/>
  <c r="Q651" i="4"/>
  <c r="O9" i="4"/>
  <c r="Q9" i="4" s="1"/>
  <c r="Q249" i="4"/>
  <c r="O99" i="4"/>
  <c r="Q99" i="4" s="1"/>
  <c r="Q396" i="4"/>
  <c r="Q394" i="4"/>
  <c r="Q247" i="4"/>
  <c r="Q246" i="4"/>
  <c r="Q245" i="4"/>
  <c r="Q175" i="4"/>
  <c r="Q174" i="4"/>
  <c r="Q157" i="4"/>
  <c r="Q59" i="4"/>
  <c r="Q668" i="4"/>
  <c r="Q665" i="4"/>
  <c r="Q467" i="4"/>
  <c r="Q195" i="4"/>
  <c r="Q152" i="4"/>
  <c r="Q497" i="4"/>
  <c r="Q237" i="4"/>
  <c r="Q89" i="4"/>
  <c r="Q448" i="4"/>
  <c r="Q719" i="4"/>
  <c r="Q377" i="4"/>
  <c r="Q371" i="4"/>
  <c r="Q372" i="4"/>
  <c r="Q333" i="4"/>
  <c r="Q315" i="4"/>
  <c r="Q566" i="4"/>
  <c r="Q504" i="4"/>
  <c r="Q268" i="4"/>
  <c r="Q253" i="4"/>
  <c r="Q498" i="4"/>
  <c r="Q424" i="4"/>
  <c r="Q410" i="4"/>
  <c r="O495" i="4"/>
  <c r="Q495" i="4" s="1"/>
  <c r="Q112" i="4"/>
  <c r="O235" i="4"/>
  <c r="Q235" i="4" s="1"/>
  <c r="Q230" i="4"/>
  <c r="Q718" i="4"/>
  <c r="Q56" i="4"/>
  <c r="Q637" i="4"/>
  <c r="U730" i="4" l="1"/>
  <c r="U597" i="4"/>
  <c r="R414" i="4"/>
  <c r="V414" i="4" s="1"/>
  <c r="X414" i="4"/>
  <c r="S414" i="4"/>
  <c r="W414" i="4" s="1"/>
  <c r="R352" i="4"/>
  <c r="V352" i="4" s="1"/>
  <c r="X352" i="4"/>
  <c r="S352" i="4"/>
  <c r="W352" i="4" s="1"/>
  <c r="S369" i="4"/>
  <c r="W369" i="4" s="1"/>
  <c r="X369" i="4"/>
  <c r="R369" i="4"/>
  <c r="V369" i="4" s="1"/>
  <c r="R147" i="4"/>
  <c r="V147" i="4" s="1"/>
  <c r="X147" i="4"/>
  <c r="S147" i="4"/>
  <c r="W147" i="4" s="1"/>
  <c r="R660" i="4"/>
  <c r="V660" i="4" s="1"/>
  <c r="X660" i="4"/>
  <c r="S660" i="4"/>
  <c r="W660" i="4" s="1"/>
  <c r="X479" i="4"/>
  <c r="R479" i="4"/>
  <c r="V479" i="4" s="1"/>
  <c r="S479" i="4"/>
  <c r="W479" i="4" s="1"/>
  <c r="R208" i="4"/>
  <c r="V208" i="4" s="1"/>
  <c r="X208" i="4"/>
  <c r="S208" i="4"/>
  <c r="W208" i="4" s="1"/>
  <c r="R618" i="4"/>
  <c r="V618" i="4" s="1"/>
  <c r="X618" i="4"/>
  <c r="S618" i="4"/>
  <c r="W618" i="4" s="1"/>
  <c r="X181" i="4"/>
  <c r="S181" i="4"/>
  <c r="W181" i="4" s="1"/>
  <c r="R181" i="4"/>
  <c r="V181" i="4" s="1"/>
  <c r="R739" i="4"/>
  <c r="V739" i="4" s="1"/>
  <c r="X739" i="4"/>
  <c r="S739" i="4"/>
  <c r="W739" i="4" s="1"/>
  <c r="R568" i="4"/>
  <c r="V568" i="4" s="1"/>
  <c r="X568" i="4"/>
  <c r="S568" i="4"/>
  <c r="W568" i="4" s="1"/>
  <c r="R635" i="4"/>
  <c r="V635" i="4" s="1"/>
  <c r="X635" i="4"/>
  <c r="S635" i="4"/>
  <c r="W635" i="4" s="1"/>
  <c r="R533" i="4"/>
  <c r="V533" i="4" s="1"/>
  <c r="X533" i="4"/>
  <c r="S533" i="4"/>
  <c r="W533" i="4" s="1"/>
  <c r="R654" i="4"/>
  <c r="V654" i="4" s="1"/>
  <c r="X654" i="4"/>
  <c r="S654" i="4"/>
  <c r="W654" i="4" s="1"/>
  <c r="R740" i="4"/>
  <c r="V740" i="4" s="1"/>
  <c r="S740" i="4"/>
  <c r="W740" i="4" s="1"/>
  <c r="X740" i="4"/>
  <c r="U510" i="4"/>
  <c r="R498" i="4"/>
  <c r="V498" i="4" s="1"/>
  <c r="X498" i="4"/>
  <c r="S498" i="4"/>
  <c r="W498" i="4" s="1"/>
  <c r="X89" i="4"/>
  <c r="S89" i="4"/>
  <c r="W89" i="4" s="1"/>
  <c r="R89" i="4"/>
  <c r="V89" i="4" s="1"/>
  <c r="R245" i="4"/>
  <c r="V245" i="4" s="1"/>
  <c r="X245" i="4"/>
  <c r="S245" i="4"/>
  <c r="W245" i="4" s="1"/>
  <c r="R629" i="4"/>
  <c r="V629" i="4" s="1"/>
  <c r="X629" i="4"/>
  <c r="S629" i="4"/>
  <c r="W629" i="4" s="1"/>
  <c r="R474" i="4"/>
  <c r="V474" i="4" s="1"/>
  <c r="X474" i="4"/>
  <c r="S474" i="4"/>
  <c r="W474" i="4" s="1"/>
  <c r="R392" i="4"/>
  <c r="V392" i="4" s="1"/>
  <c r="X392" i="4"/>
  <c r="S392" i="4"/>
  <c r="W392" i="4" s="1"/>
  <c r="R106" i="4"/>
  <c r="V106" i="4" s="1"/>
  <c r="X106" i="4"/>
  <c r="S106" i="4"/>
  <c r="W106" i="4" s="1"/>
  <c r="R155" i="4"/>
  <c r="V155" i="4" s="1"/>
  <c r="X155" i="4"/>
  <c r="S155" i="4"/>
  <c r="W155" i="4" s="1"/>
  <c r="X355" i="4"/>
  <c r="R355" i="4"/>
  <c r="V355" i="4" s="1"/>
  <c r="S355" i="4"/>
  <c r="W355" i="4" s="1"/>
  <c r="R370" i="4"/>
  <c r="V370" i="4" s="1"/>
  <c r="X370" i="4"/>
  <c r="S370" i="4"/>
  <c r="W370" i="4" s="1"/>
  <c r="R256" i="4"/>
  <c r="V256" i="4" s="1"/>
  <c r="X256" i="4"/>
  <c r="S256" i="4"/>
  <c r="W256" i="4" s="1"/>
  <c r="R664" i="4"/>
  <c r="V664" i="4" s="1"/>
  <c r="X664" i="4"/>
  <c r="S664" i="4"/>
  <c r="W664" i="4" s="1"/>
  <c r="R717" i="4"/>
  <c r="V717" i="4" s="1"/>
  <c r="X717" i="4"/>
  <c r="S717" i="4"/>
  <c r="W717" i="4" s="1"/>
  <c r="S209" i="4"/>
  <c r="W209" i="4" s="1"/>
  <c r="X209" i="4"/>
  <c r="R209" i="4"/>
  <c r="V209" i="4" s="1"/>
  <c r="R623" i="4"/>
  <c r="V623" i="4" s="1"/>
  <c r="X623" i="4"/>
  <c r="S623" i="4"/>
  <c r="W623" i="4" s="1"/>
  <c r="R186" i="4"/>
  <c r="V186" i="4" s="1"/>
  <c r="X186" i="4"/>
  <c r="S186" i="4"/>
  <c r="W186" i="4" s="1"/>
  <c r="X37" i="4"/>
  <c r="S37" i="4"/>
  <c r="W37" i="4" s="1"/>
  <c r="R37" i="4"/>
  <c r="V37" i="4" s="1"/>
  <c r="R570" i="4"/>
  <c r="V570" i="4" s="1"/>
  <c r="S570" i="4"/>
  <c r="W570" i="4" s="1"/>
  <c r="X570" i="4"/>
  <c r="S534" i="4"/>
  <c r="W534" i="4" s="1"/>
  <c r="X534" i="4"/>
  <c r="R534" i="4"/>
  <c r="V534" i="4" s="1"/>
  <c r="R500" i="4"/>
  <c r="V500" i="4" s="1"/>
  <c r="X500" i="4"/>
  <c r="S500" i="4"/>
  <c r="W500" i="4" s="1"/>
  <c r="R692" i="4"/>
  <c r="V692" i="4" s="1"/>
  <c r="X692" i="4"/>
  <c r="S692" i="4"/>
  <c r="W692" i="4" s="1"/>
  <c r="R34" i="4"/>
  <c r="V34" i="4" s="1"/>
  <c r="X34" i="4"/>
  <c r="S34" i="4"/>
  <c r="W34" i="4" s="1"/>
  <c r="S448" i="4"/>
  <c r="W448" i="4" s="1"/>
  <c r="X448" i="4"/>
  <c r="R448" i="4"/>
  <c r="V448" i="4" s="1"/>
  <c r="R237" i="4"/>
  <c r="V237" i="4" s="1"/>
  <c r="X237" i="4"/>
  <c r="S237" i="4"/>
  <c r="W237" i="4" s="1"/>
  <c r="R179" i="4"/>
  <c r="V179" i="4" s="1"/>
  <c r="X179" i="4"/>
  <c r="S179" i="4"/>
  <c r="W179" i="4" s="1"/>
  <c r="R247" i="4"/>
  <c r="V247" i="4" s="1"/>
  <c r="X247" i="4"/>
  <c r="S247" i="4"/>
  <c r="W247" i="4" s="1"/>
  <c r="R216" i="4"/>
  <c r="V216" i="4" s="1"/>
  <c r="X216" i="4"/>
  <c r="S216" i="4"/>
  <c r="W216" i="4" s="1"/>
  <c r="X32" i="4"/>
  <c r="R32" i="4"/>
  <c r="V32" i="4" s="1"/>
  <c r="S32" i="4"/>
  <c r="W32" i="4" s="1"/>
  <c r="R581" i="4"/>
  <c r="V581" i="4" s="1"/>
  <c r="X581" i="4"/>
  <c r="S581" i="4"/>
  <c r="W581" i="4" s="1"/>
  <c r="R708" i="4"/>
  <c r="V708" i="4" s="1"/>
  <c r="X708" i="4"/>
  <c r="S708" i="4"/>
  <c r="W708" i="4" s="1"/>
  <c r="R501" i="4"/>
  <c r="V501" i="4" s="1"/>
  <c r="X501" i="4"/>
  <c r="S501" i="4"/>
  <c r="W501" i="4" s="1"/>
  <c r="R347" i="4"/>
  <c r="V347" i="4" s="1"/>
  <c r="X347" i="4"/>
  <c r="S347" i="4"/>
  <c r="W347" i="4" s="1"/>
  <c r="R374" i="4"/>
  <c r="V374" i="4" s="1"/>
  <c r="X374" i="4"/>
  <c r="S374" i="4"/>
  <c r="W374" i="4" s="1"/>
  <c r="R601" i="4"/>
  <c r="V601" i="4" s="1"/>
  <c r="X601" i="4"/>
  <c r="S601" i="4"/>
  <c r="W601" i="4" s="1"/>
  <c r="R638" i="4"/>
  <c r="V638" i="4" s="1"/>
  <c r="X638" i="4"/>
  <c r="S638" i="4"/>
  <c r="W638" i="4" s="1"/>
  <c r="R137" i="4"/>
  <c r="V137" i="4" s="1"/>
  <c r="X137" i="4"/>
  <c r="S137" i="4"/>
  <c r="W137" i="4" s="1"/>
  <c r="R211" i="4"/>
  <c r="V211" i="4" s="1"/>
  <c r="X211" i="4"/>
  <c r="S211" i="4"/>
  <c r="W211" i="4" s="1"/>
  <c r="R626" i="4"/>
  <c r="V626" i="4" s="1"/>
  <c r="X626" i="4"/>
  <c r="S626" i="4"/>
  <c r="W626" i="4" s="1"/>
  <c r="R587" i="4"/>
  <c r="V587" i="4" s="1"/>
  <c r="X587" i="4"/>
  <c r="S587" i="4"/>
  <c r="W587" i="4" s="1"/>
  <c r="R129" i="4"/>
  <c r="V129" i="4" s="1"/>
  <c r="X129" i="4"/>
  <c r="S129" i="4"/>
  <c r="W129" i="4" s="1"/>
  <c r="X714" i="4"/>
  <c r="R714" i="4"/>
  <c r="V714" i="4" s="1"/>
  <c r="S714" i="4"/>
  <c r="W714" i="4" s="1"/>
  <c r="R725" i="4"/>
  <c r="V725" i="4" s="1"/>
  <c r="X725" i="4"/>
  <c r="S725" i="4"/>
  <c r="W725" i="4" s="1"/>
  <c r="R652" i="4"/>
  <c r="V652" i="4" s="1"/>
  <c r="X652" i="4"/>
  <c r="S652" i="4"/>
  <c r="W652" i="4" s="1"/>
  <c r="R22" i="4"/>
  <c r="V22" i="4" s="1"/>
  <c r="X22" i="4"/>
  <c r="S22" i="4"/>
  <c r="W22" i="4" s="1"/>
  <c r="X475" i="4"/>
  <c r="S475" i="4"/>
  <c r="W475" i="4" s="1"/>
  <c r="R475" i="4"/>
  <c r="V475" i="4" s="1"/>
  <c r="R253" i="4"/>
  <c r="V253" i="4" s="1"/>
  <c r="X253" i="4"/>
  <c r="S253" i="4"/>
  <c r="W253" i="4" s="1"/>
  <c r="R373" i="4"/>
  <c r="V373" i="4" s="1"/>
  <c r="X373" i="4"/>
  <c r="S373" i="4"/>
  <c r="W373" i="4" s="1"/>
  <c r="X85" i="4"/>
  <c r="S85" i="4"/>
  <c r="W85" i="4" s="1"/>
  <c r="R85" i="4"/>
  <c r="V85" i="4" s="1"/>
  <c r="R504" i="4"/>
  <c r="V504" i="4" s="1"/>
  <c r="X504" i="4"/>
  <c r="S504" i="4"/>
  <c r="W504" i="4" s="1"/>
  <c r="R712" i="4"/>
  <c r="V712" i="4" s="1"/>
  <c r="X712" i="4"/>
  <c r="S712" i="4"/>
  <c r="W712" i="4" s="1"/>
  <c r="S655" i="4"/>
  <c r="W655" i="4" s="1"/>
  <c r="X655" i="4"/>
  <c r="R655" i="4"/>
  <c r="V655" i="4" s="1"/>
  <c r="R608" i="4"/>
  <c r="V608" i="4" s="1"/>
  <c r="X608" i="4"/>
  <c r="S608" i="4"/>
  <c r="W608" i="4" s="1"/>
  <c r="R732" i="4"/>
  <c r="V732" i="4" s="1"/>
  <c r="X732" i="4"/>
  <c r="S732" i="4"/>
  <c r="W732" i="4" s="1"/>
  <c r="R346" i="4"/>
  <c r="V346" i="4" s="1"/>
  <c r="X346" i="4"/>
  <c r="S346" i="4"/>
  <c r="W346" i="4" s="1"/>
  <c r="X375" i="4"/>
  <c r="R375" i="4"/>
  <c r="V375" i="4" s="1"/>
  <c r="S375" i="4"/>
  <c r="W375" i="4" s="1"/>
  <c r="R602" i="4"/>
  <c r="V602" i="4" s="1"/>
  <c r="X602" i="4"/>
  <c r="S602" i="4"/>
  <c r="W602" i="4" s="1"/>
  <c r="R31" i="4"/>
  <c r="V31" i="4" s="1"/>
  <c r="X31" i="4"/>
  <c r="S31" i="4"/>
  <c r="W31" i="4" s="1"/>
  <c r="X41" i="4"/>
  <c r="R41" i="4"/>
  <c r="V41" i="4" s="1"/>
  <c r="S41" i="4"/>
  <c r="W41" i="4" s="1"/>
  <c r="R381" i="4"/>
  <c r="V381" i="4" s="1"/>
  <c r="X381" i="4"/>
  <c r="S381" i="4"/>
  <c r="W381" i="4" s="1"/>
  <c r="R630" i="4"/>
  <c r="V630" i="4" s="1"/>
  <c r="X630" i="4"/>
  <c r="S630" i="4"/>
  <c r="W630" i="4" s="1"/>
  <c r="S325" i="4"/>
  <c r="W325" i="4" s="1"/>
  <c r="X325" i="4"/>
  <c r="R325" i="4"/>
  <c r="V325" i="4" s="1"/>
  <c r="R153" i="4"/>
  <c r="V153" i="4" s="1"/>
  <c r="X153" i="4"/>
  <c r="S153" i="4"/>
  <c r="W153" i="4" s="1"/>
  <c r="R715" i="4"/>
  <c r="V715" i="4" s="1"/>
  <c r="X715" i="4"/>
  <c r="S715" i="4"/>
  <c r="W715" i="4" s="1"/>
  <c r="R727" i="4"/>
  <c r="V727" i="4" s="1"/>
  <c r="X727" i="4"/>
  <c r="S727" i="4"/>
  <c r="W727" i="4" s="1"/>
  <c r="R625" i="4"/>
  <c r="V625" i="4" s="1"/>
  <c r="X625" i="4"/>
  <c r="S625" i="4"/>
  <c r="W625" i="4" s="1"/>
  <c r="S516" i="4"/>
  <c r="W516" i="4" s="1"/>
  <c r="X516" i="4"/>
  <c r="R516" i="4"/>
  <c r="V516" i="4" s="1"/>
  <c r="R723" i="4"/>
  <c r="V723" i="4" s="1"/>
  <c r="X723" i="4"/>
  <c r="S723" i="4"/>
  <c r="W723" i="4" s="1"/>
  <c r="S424" i="4"/>
  <c r="W424" i="4" s="1"/>
  <c r="X424" i="4"/>
  <c r="R424" i="4"/>
  <c r="V424" i="4" s="1"/>
  <c r="X483" i="4"/>
  <c r="R483" i="4"/>
  <c r="V483" i="4" s="1"/>
  <c r="S483" i="4"/>
  <c r="W483" i="4" s="1"/>
  <c r="R408" i="4"/>
  <c r="V408" i="4" s="1"/>
  <c r="X408" i="4"/>
  <c r="S408" i="4"/>
  <c r="W408" i="4" s="1"/>
  <c r="R637" i="4"/>
  <c r="V637" i="4" s="1"/>
  <c r="X637" i="4"/>
  <c r="S637" i="4"/>
  <c r="W637" i="4" s="1"/>
  <c r="R56" i="4"/>
  <c r="V56" i="4" s="1"/>
  <c r="X56" i="4"/>
  <c r="S56" i="4"/>
  <c r="W56" i="4" s="1"/>
  <c r="R566" i="4"/>
  <c r="V566" i="4" s="1"/>
  <c r="X566" i="4"/>
  <c r="S566" i="4"/>
  <c r="W566" i="4" s="1"/>
  <c r="X195" i="4"/>
  <c r="R195" i="4"/>
  <c r="V195" i="4" s="1"/>
  <c r="S195" i="4"/>
  <c r="W195" i="4" s="1"/>
  <c r="R396" i="4"/>
  <c r="V396" i="4" s="1"/>
  <c r="X396" i="4"/>
  <c r="S396" i="4"/>
  <c r="W396" i="4" s="1"/>
  <c r="S758" i="4"/>
  <c r="W758" i="4" s="1"/>
  <c r="X758" i="4"/>
  <c r="R758" i="4"/>
  <c r="V758" i="4" s="1"/>
  <c r="R393" i="4"/>
  <c r="V393" i="4" s="1"/>
  <c r="X393" i="4"/>
  <c r="S393" i="4"/>
  <c r="W393" i="4" s="1"/>
  <c r="R150" i="4"/>
  <c r="V150" i="4" s="1"/>
  <c r="X150" i="4"/>
  <c r="S150" i="4"/>
  <c r="W150" i="4" s="1"/>
  <c r="R667" i="4"/>
  <c r="V667" i="4" s="1"/>
  <c r="X667" i="4"/>
  <c r="S667" i="4"/>
  <c r="W667" i="4" s="1"/>
  <c r="X269" i="4"/>
  <c r="R269" i="4"/>
  <c r="V269" i="4" s="1"/>
  <c r="S269" i="4"/>
  <c r="W269" i="4" s="1"/>
  <c r="R348" i="4"/>
  <c r="V348" i="4" s="1"/>
  <c r="X348" i="4"/>
  <c r="S348" i="4"/>
  <c r="W348" i="4" s="1"/>
  <c r="R376" i="4"/>
  <c r="V376" i="4" s="1"/>
  <c r="X376" i="4"/>
  <c r="S376" i="4"/>
  <c r="W376" i="4" s="1"/>
  <c r="R603" i="4"/>
  <c r="V603" i="4" s="1"/>
  <c r="X603" i="4"/>
  <c r="S603" i="4"/>
  <c r="W603" i="4" s="1"/>
  <c r="R30" i="4"/>
  <c r="V30" i="4" s="1"/>
  <c r="X30" i="4"/>
  <c r="S30" i="4"/>
  <c r="W30" i="4" s="1"/>
  <c r="R62" i="4"/>
  <c r="V62" i="4" s="1"/>
  <c r="X62" i="4"/>
  <c r="S62" i="4"/>
  <c r="W62" i="4" s="1"/>
  <c r="R382" i="4"/>
  <c r="V382" i="4" s="1"/>
  <c r="X382" i="4"/>
  <c r="S382" i="4"/>
  <c r="W382" i="4" s="1"/>
  <c r="R631" i="4"/>
  <c r="V631" i="4" s="1"/>
  <c r="X631" i="4"/>
  <c r="S631" i="4"/>
  <c r="W631" i="4" s="1"/>
  <c r="R691" i="4"/>
  <c r="V691" i="4" s="1"/>
  <c r="X691" i="4"/>
  <c r="S691" i="4"/>
  <c r="W691" i="4" s="1"/>
  <c r="R176" i="4"/>
  <c r="V176" i="4" s="1"/>
  <c r="X176" i="4"/>
  <c r="S176" i="4"/>
  <c r="W176" i="4" s="1"/>
  <c r="R720" i="4"/>
  <c r="V720" i="4" s="1"/>
  <c r="X720" i="4"/>
  <c r="S720" i="4"/>
  <c r="W720" i="4" s="1"/>
  <c r="R711" i="4"/>
  <c r="V711" i="4" s="1"/>
  <c r="X711" i="4"/>
  <c r="S711" i="4"/>
  <c r="W711" i="4" s="1"/>
  <c r="R90" i="4"/>
  <c r="V90" i="4" s="1"/>
  <c r="X90" i="4"/>
  <c r="S90" i="4"/>
  <c r="W90" i="4" s="1"/>
  <c r="R257" i="4"/>
  <c r="V257" i="4" s="1"/>
  <c r="X257" i="4"/>
  <c r="S257" i="4"/>
  <c r="W257" i="4" s="1"/>
  <c r="R51" i="4"/>
  <c r="V51" i="4" s="1"/>
  <c r="X51" i="4"/>
  <c r="S51" i="4"/>
  <c r="W51" i="4" s="1"/>
  <c r="U645" i="4"/>
  <c r="R148" i="4"/>
  <c r="V148" i="4" s="1"/>
  <c r="X148" i="4"/>
  <c r="S148" i="4"/>
  <c r="W148" i="4" s="1"/>
  <c r="R156" i="4"/>
  <c r="V156" i="4" s="1"/>
  <c r="X156" i="4"/>
  <c r="S156" i="4"/>
  <c r="W156" i="4" s="1"/>
  <c r="R585" i="4"/>
  <c r="V585" i="4" s="1"/>
  <c r="X585" i="4"/>
  <c r="S585" i="4"/>
  <c r="W585" i="4" s="1"/>
  <c r="R268" i="4"/>
  <c r="V268" i="4" s="1"/>
  <c r="X268" i="4"/>
  <c r="S268" i="4"/>
  <c r="W268" i="4" s="1"/>
  <c r="R477" i="4"/>
  <c r="V477" i="4" s="1"/>
  <c r="X477" i="4"/>
  <c r="S477" i="4"/>
  <c r="W477" i="4" s="1"/>
  <c r="X467" i="4"/>
  <c r="S467" i="4"/>
  <c r="W467" i="4" s="1"/>
  <c r="R467" i="4"/>
  <c r="V467" i="4" s="1"/>
  <c r="R648" i="4"/>
  <c r="V648" i="4" s="1"/>
  <c r="X648" i="4"/>
  <c r="S648" i="4"/>
  <c r="W648" i="4" s="1"/>
  <c r="S184" i="4"/>
  <c r="W184" i="4" s="1"/>
  <c r="X184" i="4"/>
  <c r="R184" i="4"/>
  <c r="V184" i="4" s="1"/>
  <c r="R496" i="4"/>
  <c r="V496" i="4" s="1"/>
  <c r="X496" i="4"/>
  <c r="S496" i="4"/>
  <c r="W496" i="4" s="1"/>
  <c r="R724" i="4"/>
  <c r="V724" i="4" s="1"/>
  <c r="X724" i="4"/>
  <c r="S724" i="4"/>
  <c r="W724" i="4" s="1"/>
  <c r="R324" i="4"/>
  <c r="V324" i="4" s="1"/>
  <c r="X324" i="4"/>
  <c r="S324" i="4"/>
  <c r="W324" i="4" s="1"/>
  <c r="R354" i="4"/>
  <c r="V354" i="4" s="1"/>
  <c r="X354" i="4"/>
  <c r="S354" i="4"/>
  <c r="W354" i="4" s="1"/>
  <c r="R378" i="4"/>
  <c r="V378" i="4" s="1"/>
  <c r="X378" i="4"/>
  <c r="S378" i="4"/>
  <c r="W378" i="4" s="1"/>
  <c r="R604" i="4"/>
  <c r="V604" i="4" s="1"/>
  <c r="X604" i="4"/>
  <c r="S604" i="4"/>
  <c r="W604" i="4" s="1"/>
  <c r="R84" i="4"/>
  <c r="V84" i="4" s="1"/>
  <c r="X84" i="4"/>
  <c r="S84" i="4"/>
  <c r="W84" i="4" s="1"/>
  <c r="R65" i="4"/>
  <c r="V65" i="4" s="1"/>
  <c r="X65" i="4"/>
  <c r="S65" i="4"/>
  <c r="W65" i="4" s="1"/>
  <c r="R385" i="4"/>
  <c r="V385" i="4" s="1"/>
  <c r="X385" i="4"/>
  <c r="S385" i="4"/>
  <c r="W385" i="4" s="1"/>
  <c r="R632" i="4"/>
  <c r="V632" i="4" s="1"/>
  <c r="X632" i="4"/>
  <c r="S632" i="4"/>
  <c r="W632" i="4" s="1"/>
  <c r="X105" i="4"/>
  <c r="S105" i="4"/>
  <c r="W105" i="4" s="1"/>
  <c r="R105" i="4"/>
  <c r="V105" i="4" s="1"/>
  <c r="R214" i="4"/>
  <c r="V214" i="4" s="1"/>
  <c r="X214" i="4"/>
  <c r="S214" i="4"/>
  <c r="W214" i="4" s="1"/>
  <c r="R721" i="4"/>
  <c r="V721" i="4" s="1"/>
  <c r="X721" i="4"/>
  <c r="S721" i="4"/>
  <c r="W721" i="4" s="1"/>
  <c r="R503" i="4"/>
  <c r="V503" i="4" s="1"/>
  <c r="X503" i="4"/>
  <c r="S503" i="4"/>
  <c r="W503" i="4" s="1"/>
  <c r="R412" i="4"/>
  <c r="V412" i="4" s="1"/>
  <c r="X412" i="4"/>
  <c r="S412" i="4"/>
  <c r="W412" i="4" s="1"/>
  <c r="R104" i="4"/>
  <c r="V104" i="4" s="1"/>
  <c r="X104" i="4"/>
  <c r="S104" i="4"/>
  <c r="W104" i="4" s="1"/>
  <c r="X454" i="4"/>
  <c r="R454" i="4"/>
  <c r="V454" i="4" s="1"/>
  <c r="S454" i="4"/>
  <c r="W454" i="4" s="1"/>
  <c r="R596" i="4"/>
  <c r="V596" i="4" s="1"/>
  <c r="X596" i="4"/>
  <c r="S596" i="4"/>
  <c r="W596" i="4" s="1"/>
  <c r="X246" i="4"/>
  <c r="S246" i="4"/>
  <c r="W246" i="4" s="1"/>
  <c r="R246" i="4"/>
  <c r="V246" i="4" s="1"/>
  <c r="X259" i="4"/>
  <c r="R259" i="4"/>
  <c r="V259" i="4" s="1"/>
  <c r="S259" i="4"/>
  <c r="W259" i="4" s="1"/>
  <c r="X265" i="4"/>
  <c r="R265" i="4"/>
  <c r="V265" i="4" s="1"/>
  <c r="S265" i="4"/>
  <c r="W265" i="4" s="1"/>
  <c r="R497" i="4"/>
  <c r="V497" i="4" s="1"/>
  <c r="X497" i="4"/>
  <c r="S497" i="4"/>
  <c r="W497" i="4" s="1"/>
  <c r="R394" i="4"/>
  <c r="V394" i="4" s="1"/>
  <c r="X394" i="4"/>
  <c r="S394" i="4"/>
  <c r="W394" i="4" s="1"/>
  <c r="R315" i="4"/>
  <c r="V315" i="4" s="1"/>
  <c r="X315" i="4"/>
  <c r="S315" i="4"/>
  <c r="W315" i="4" s="1"/>
  <c r="X333" i="4"/>
  <c r="R333" i="4"/>
  <c r="V333" i="4" s="1"/>
  <c r="S333" i="4"/>
  <c r="W333" i="4" s="1"/>
  <c r="R610" i="4"/>
  <c r="V610" i="4" s="1"/>
  <c r="X610" i="4"/>
  <c r="S610" i="4"/>
  <c r="W610" i="4" s="1"/>
  <c r="X54" i="4"/>
  <c r="R54" i="4"/>
  <c r="V54" i="4" s="1"/>
  <c r="S54" i="4"/>
  <c r="W54" i="4" s="1"/>
  <c r="R397" i="4"/>
  <c r="V397" i="4" s="1"/>
  <c r="X397" i="4"/>
  <c r="S397" i="4"/>
  <c r="W397" i="4" s="1"/>
  <c r="R356" i="4"/>
  <c r="V356" i="4" s="1"/>
  <c r="X356" i="4"/>
  <c r="S356" i="4"/>
  <c r="W356" i="4" s="1"/>
  <c r="X379" i="4"/>
  <c r="S379" i="4"/>
  <c r="W379" i="4" s="1"/>
  <c r="R379" i="4"/>
  <c r="V379" i="4" s="1"/>
  <c r="R465" i="4"/>
  <c r="V465" i="4" s="1"/>
  <c r="X465" i="4"/>
  <c r="S465" i="4"/>
  <c r="W465" i="4" s="1"/>
  <c r="X359" i="4"/>
  <c r="R359" i="4"/>
  <c r="V359" i="4" s="1"/>
  <c r="S359" i="4"/>
  <c r="W359" i="4" s="1"/>
  <c r="R66" i="4"/>
  <c r="V66" i="4" s="1"/>
  <c r="X66" i="4"/>
  <c r="S66" i="4"/>
  <c r="W66" i="4" s="1"/>
  <c r="R386" i="4"/>
  <c r="V386" i="4" s="1"/>
  <c r="X386" i="4"/>
  <c r="S386" i="4"/>
  <c r="W386" i="4" s="1"/>
  <c r="R636" i="4"/>
  <c r="V636" i="4" s="1"/>
  <c r="X636" i="4"/>
  <c r="S636" i="4"/>
  <c r="W636" i="4" s="1"/>
  <c r="R506" i="4"/>
  <c r="V506" i="4" s="1"/>
  <c r="X506" i="4"/>
  <c r="S506" i="4"/>
  <c r="W506" i="4" s="1"/>
  <c r="R215" i="4"/>
  <c r="V215" i="4" s="1"/>
  <c r="X215" i="4"/>
  <c r="S215" i="4"/>
  <c r="W215" i="4" s="1"/>
  <c r="R109" i="4"/>
  <c r="V109" i="4" s="1"/>
  <c r="X109" i="4"/>
  <c r="S109" i="4"/>
  <c r="W109" i="4" s="1"/>
  <c r="R43" i="4"/>
  <c r="V43" i="4" s="1"/>
  <c r="X43" i="4"/>
  <c r="S43" i="4"/>
  <c r="W43" i="4" s="1"/>
  <c r="R254" i="4"/>
  <c r="V254" i="4" s="1"/>
  <c r="X254" i="4"/>
  <c r="S254" i="4"/>
  <c r="W254" i="4" s="1"/>
  <c r="R509" i="4"/>
  <c r="V509" i="4" s="1"/>
  <c r="X509" i="4"/>
  <c r="S509" i="4"/>
  <c r="W509" i="4" s="1"/>
  <c r="R649" i="4"/>
  <c r="V649" i="4" s="1"/>
  <c r="X649" i="4"/>
  <c r="S649" i="4"/>
  <c r="W649" i="4" s="1"/>
  <c r="R330" i="4"/>
  <c r="V330" i="4" s="1"/>
  <c r="X330" i="4"/>
  <c r="S330" i="4"/>
  <c r="W330" i="4" s="1"/>
  <c r="R729" i="4"/>
  <c r="V729" i="4" s="1"/>
  <c r="X729" i="4"/>
  <c r="S729" i="4"/>
  <c r="W729" i="4" s="1"/>
  <c r="R349" i="4"/>
  <c r="V349" i="4" s="1"/>
  <c r="X349" i="4"/>
  <c r="S349" i="4"/>
  <c r="W349" i="4" s="1"/>
  <c r="R210" i="4"/>
  <c r="V210" i="4" s="1"/>
  <c r="X210" i="4"/>
  <c r="S210" i="4"/>
  <c r="W210" i="4" s="1"/>
  <c r="R624" i="4"/>
  <c r="V624" i="4" s="1"/>
  <c r="X624" i="4"/>
  <c r="S624" i="4"/>
  <c r="W624" i="4" s="1"/>
  <c r="R152" i="4"/>
  <c r="V152" i="4" s="1"/>
  <c r="X152" i="4"/>
  <c r="S152" i="4"/>
  <c r="W152" i="4" s="1"/>
  <c r="R718" i="4"/>
  <c r="V718" i="4" s="1"/>
  <c r="X718" i="4"/>
  <c r="S718" i="4"/>
  <c r="W718" i="4" s="1"/>
  <c r="X99" i="4"/>
  <c r="R99" i="4"/>
  <c r="V99" i="4" s="1"/>
  <c r="S99" i="4"/>
  <c r="W99" i="4" s="1"/>
  <c r="R230" i="4"/>
  <c r="V230" i="4" s="1"/>
  <c r="X230" i="4"/>
  <c r="S230" i="4"/>
  <c r="W230" i="4" s="1"/>
  <c r="R665" i="4"/>
  <c r="V665" i="4" s="1"/>
  <c r="X665" i="4"/>
  <c r="S665" i="4"/>
  <c r="W665" i="4" s="1"/>
  <c r="R249" i="4"/>
  <c r="V249" i="4" s="1"/>
  <c r="X249" i="4"/>
  <c r="S249" i="4"/>
  <c r="W249" i="4" s="1"/>
  <c r="R464" i="4"/>
  <c r="V464" i="4" s="1"/>
  <c r="X464" i="4"/>
  <c r="S464" i="4"/>
  <c r="W464" i="4" s="1"/>
  <c r="R418" i="4"/>
  <c r="V418" i="4" s="1"/>
  <c r="X418" i="4"/>
  <c r="S418" i="4"/>
  <c r="W418" i="4" s="1"/>
  <c r="R235" i="4"/>
  <c r="V235" i="4" s="1"/>
  <c r="X235" i="4"/>
  <c r="S235" i="4"/>
  <c r="W235" i="4" s="1"/>
  <c r="R372" i="4"/>
  <c r="V372" i="4" s="1"/>
  <c r="X372" i="4"/>
  <c r="S372" i="4"/>
  <c r="W372" i="4" s="1"/>
  <c r="R668" i="4"/>
  <c r="V668" i="4" s="1"/>
  <c r="X668" i="4"/>
  <c r="S668" i="4"/>
  <c r="W668" i="4" s="1"/>
  <c r="R9" i="4"/>
  <c r="V9" i="4" s="1"/>
  <c r="X9" i="4"/>
  <c r="S9" i="4"/>
  <c r="W9" i="4" s="1"/>
  <c r="R358" i="4"/>
  <c r="V358" i="4" s="1"/>
  <c r="X358" i="4"/>
  <c r="S358" i="4"/>
  <c r="W358" i="4" s="1"/>
  <c r="R289" i="4"/>
  <c r="V289" i="4" s="1"/>
  <c r="X289" i="4"/>
  <c r="S289" i="4"/>
  <c r="W289" i="4" s="1"/>
  <c r="R420" i="4"/>
  <c r="V420" i="4" s="1"/>
  <c r="X420" i="4"/>
  <c r="S420" i="4"/>
  <c r="W420" i="4" s="1"/>
  <c r="R693" i="4"/>
  <c r="V693" i="4" s="1"/>
  <c r="X693" i="4"/>
  <c r="S693" i="4"/>
  <c r="W693" i="4" s="1"/>
  <c r="R540" i="4"/>
  <c r="V540" i="4" s="1"/>
  <c r="X540" i="4"/>
  <c r="S540" i="4"/>
  <c r="W540" i="4" s="1"/>
  <c r="R357" i="4"/>
  <c r="V357" i="4" s="1"/>
  <c r="X357" i="4"/>
  <c r="S357" i="4"/>
  <c r="W357" i="4" s="1"/>
  <c r="R380" i="4"/>
  <c r="V380" i="4" s="1"/>
  <c r="X380" i="4"/>
  <c r="S380" i="4"/>
  <c r="W380" i="4" s="1"/>
  <c r="R466" i="4"/>
  <c r="V466" i="4" s="1"/>
  <c r="X466" i="4"/>
  <c r="S466" i="4"/>
  <c r="W466" i="4" s="1"/>
  <c r="R360" i="4"/>
  <c r="V360" i="4" s="1"/>
  <c r="X360" i="4"/>
  <c r="S360" i="4"/>
  <c r="W360" i="4" s="1"/>
  <c r="R126" i="4"/>
  <c r="V126" i="4" s="1"/>
  <c r="X126" i="4"/>
  <c r="S126" i="4"/>
  <c r="W126" i="4" s="1"/>
  <c r="R426" i="4"/>
  <c r="V426" i="4" s="1"/>
  <c r="X426" i="4"/>
  <c r="S426" i="4"/>
  <c r="W426" i="4" s="1"/>
  <c r="R646" i="4"/>
  <c r="V646" i="4" s="1"/>
  <c r="X646" i="4"/>
  <c r="S646" i="4"/>
  <c r="W646" i="4" s="1"/>
  <c r="R146" i="4"/>
  <c r="V146" i="4" s="1"/>
  <c r="X146" i="4"/>
  <c r="S146" i="4"/>
  <c r="W146" i="4" s="1"/>
  <c r="R457" i="4"/>
  <c r="V457" i="4" s="1"/>
  <c r="X457" i="4"/>
  <c r="S457" i="4"/>
  <c r="W457" i="4" s="1"/>
  <c r="R407" i="4"/>
  <c r="V407" i="4" s="1"/>
  <c r="X407" i="4"/>
  <c r="S407" i="4"/>
  <c r="W407" i="4" s="1"/>
  <c r="R219" i="4"/>
  <c r="V219" i="4" s="1"/>
  <c r="X219" i="4"/>
  <c r="S219" i="4"/>
  <c r="W219" i="4" s="1"/>
  <c r="R616" i="4"/>
  <c r="V616" i="4" s="1"/>
  <c r="X616" i="4"/>
  <c r="S616" i="4"/>
  <c r="W616" i="4" s="1"/>
  <c r="R417" i="4"/>
  <c r="V417" i="4" s="1"/>
  <c r="X417" i="4"/>
  <c r="S417" i="4"/>
  <c r="W417" i="4" s="1"/>
  <c r="R332" i="4"/>
  <c r="V332" i="4" s="1"/>
  <c r="X332" i="4"/>
  <c r="S332" i="4"/>
  <c r="W332" i="4" s="1"/>
  <c r="U234" i="4"/>
  <c r="X193" i="4"/>
  <c r="S193" i="4"/>
  <c r="W193" i="4" s="1"/>
  <c r="R193" i="4"/>
  <c r="V193" i="4" s="1"/>
  <c r="R112" i="4"/>
  <c r="V112" i="4" s="1"/>
  <c r="X112" i="4"/>
  <c r="S112" i="4"/>
  <c r="W112" i="4" s="1"/>
  <c r="X371" i="4"/>
  <c r="R371" i="4"/>
  <c r="V371" i="4" s="1"/>
  <c r="S371" i="4"/>
  <c r="W371" i="4" s="1"/>
  <c r="R59" i="4"/>
  <c r="V59" i="4" s="1"/>
  <c r="X59" i="4"/>
  <c r="S59" i="4"/>
  <c r="W59" i="4" s="1"/>
  <c r="S651" i="4"/>
  <c r="W651" i="4" s="1"/>
  <c r="X651" i="4"/>
  <c r="R651" i="4"/>
  <c r="V651" i="4" s="1"/>
  <c r="R490" i="4"/>
  <c r="V490" i="4" s="1"/>
  <c r="X490" i="4"/>
  <c r="S490" i="4"/>
  <c r="W490" i="4" s="1"/>
  <c r="R161" i="4"/>
  <c r="V161" i="4" s="1"/>
  <c r="X161" i="4"/>
  <c r="S161" i="4"/>
  <c r="W161" i="4" s="1"/>
  <c r="R24" i="4"/>
  <c r="V24" i="4" s="1"/>
  <c r="X24" i="4"/>
  <c r="S24" i="4"/>
  <c r="W24" i="4" s="1"/>
  <c r="R29" i="4"/>
  <c r="V29" i="4" s="1"/>
  <c r="X29" i="4"/>
  <c r="S29" i="4"/>
  <c r="W29" i="4" s="1"/>
  <c r="R656" i="4"/>
  <c r="V656" i="4" s="1"/>
  <c r="X656" i="4"/>
  <c r="S656" i="4"/>
  <c r="W656" i="4" s="1"/>
  <c r="R362" i="4"/>
  <c r="V362" i="4" s="1"/>
  <c r="X362" i="4"/>
  <c r="S362" i="4"/>
  <c r="W362" i="4" s="1"/>
  <c r="R353" i="4"/>
  <c r="V353" i="4" s="1"/>
  <c r="X353" i="4"/>
  <c r="S353" i="4"/>
  <c r="W353" i="4" s="1"/>
  <c r="R572" i="4"/>
  <c r="V572" i="4" s="1"/>
  <c r="X572" i="4"/>
  <c r="S572" i="4"/>
  <c r="W572" i="4" s="1"/>
  <c r="R415" i="4"/>
  <c r="V415" i="4" s="1"/>
  <c r="X415" i="4"/>
  <c r="S415" i="4"/>
  <c r="W415" i="4" s="1"/>
  <c r="R128" i="4"/>
  <c r="V128" i="4" s="1"/>
  <c r="X128" i="4"/>
  <c r="S128" i="4"/>
  <c r="W128" i="4" s="1"/>
  <c r="R523" i="4"/>
  <c r="V523" i="4" s="1"/>
  <c r="X523" i="4"/>
  <c r="S523" i="4"/>
  <c r="W523" i="4" s="1"/>
  <c r="R612" i="4"/>
  <c r="V612" i="4" s="1"/>
  <c r="X612" i="4"/>
  <c r="S612" i="4"/>
  <c r="W612" i="4" s="1"/>
  <c r="R461" i="4"/>
  <c r="V461" i="4" s="1"/>
  <c r="X461" i="4"/>
  <c r="S461" i="4"/>
  <c r="W461" i="4" s="1"/>
  <c r="R456" i="4"/>
  <c r="V456" i="4" s="1"/>
  <c r="X456" i="4"/>
  <c r="S456" i="4"/>
  <c r="W456" i="4" s="1"/>
  <c r="R748" i="4"/>
  <c r="V748" i="4" s="1"/>
  <c r="X748" i="4"/>
  <c r="S748" i="4"/>
  <c r="W748" i="4" s="1"/>
  <c r="X49" i="4"/>
  <c r="S49" i="4"/>
  <c r="W49" i="4" s="1"/>
  <c r="R49" i="4"/>
  <c r="V49" i="4" s="1"/>
  <c r="R519" i="4"/>
  <c r="V519" i="4" s="1"/>
  <c r="X519" i="4"/>
  <c r="S519" i="4"/>
  <c r="W519" i="4" s="1"/>
  <c r="R33" i="4"/>
  <c r="V33" i="4" s="1"/>
  <c r="X33" i="4"/>
  <c r="S33" i="4"/>
  <c r="W33" i="4" s="1"/>
  <c r="R213" i="4"/>
  <c r="V213" i="4" s="1"/>
  <c r="X213" i="4"/>
  <c r="S213" i="4"/>
  <c r="W213" i="4" s="1"/>
  <c r="R175" i="4"/>
  <c r="V175" i="4" s="1"/>
  <c r="X175" i="4"/>
  <c r="S175" i="4"/>
  <c r="W175" i="4" s="1"/>
  <c r="X87" i="4"/>
  <c r="S87" i="4"/>
  <c r="W87" i="4" s="1"/>
  <c r="R87" i="4"/>
  <c r="V87" i="4" s="1"/>
  <c r="R736" i="4"/>
  <c r="V736" i="4" s="1"/>
  <c r="X736" i="4"/>
  <c r="S736" i="4"/>
  <c r="W736" i="4" s="1"/>
  <c r="R413" i="4"/>
  <c r="V413" i="4" s="1"/>
  <c r="X413" i="4"/>
  <c r="S413" i="4"/>
  <c r="W413" i="4" s="1"/>
  <c r="R377" i="4"/>
  <c r="V377" i="4" s="1"/>
  <c r="X377" i="4"/>
  <c r="S377" i="4"/>
  <c r="W377" i="4" s="1"/>
  <c r="R647" i="4"/>
  <c r="V647" i="4" s="1"/>
  <c r="X647" i="4"/>
  <c r="S647" i="4"/>
  <c r="W647" i="4" s="1"/>
  <c r="R563" i="4"/>
  <c r="V563" i="4" s="1"/>
  <c r="X563" i="4"/>
  <c r="S563" i="4"/>
  <c r="W563" i="4" s="1"/>
  <c r="R232" i="4"/>
  <c r="V232" i="4" s="1"/>
  <c r="X232" i="4"/>
  <c r="S232" i="4"/>
  <c r="W232" i="4" s="1"/>
  <c r="X183" i="4"/>
  <c r="S183" i="4"/>
  <c r="W183" i="4" s="1"/>
  <c r="R183" i="4"/>
  <c r="V183" i="4" s="1"/>
  <c r="R67" i="4"/>
  <c r="V67" i="4" s="1"/>
  <c r="X67" i="4"/>
  <c r="S67" i="4"/>
  <c r="W67" i="4" s="1"/>
  <c r="S753" i="4"/>
  <c r="W753" i="4" s="1"/>
  <c r="X753" i="4"/>
  <c r="R753" i="4"/>
  <c r="V753" i="4" s="1"/>
  <c r="X367" i="4"/>
  <c r="R367" i="4"/>
  <c r="V367" i="4" s="1"/>
  <c r="S367" i="4"/>
  <c r="W367" i="4" s="1"/>
  <c r="R139" i="4"/>
  <c r="V139" i="4" s="1"/>
  <c r="X139" i="4"/>
  <c r="S139" i="4"/>
  <c r="W139" i="4" s="1"/>
  <c r="R577" i="4"/>
  <c r="V577" i="4" s="1"/>
  <c r="X577" i="4"/>
  <c r="S577" i="4"/>
  <c r="W577" i="4" s="1"/>
  <c r="S439" i="4"/>
  <c r="W439" i="4" s="1"/>
  <c r="X439" i="4"/>
  <c r="R439" i="4"/>
  <c r="V439" i="4" s="1"/>
  <c r="R205" i="4"/>
  <c r="V205" i="4" s="1"/>
  <c r="X205" i="4"/>
  <c r="S205" i="4"/>
  <c r="W205" i="4" s="1"/>
  <c r="R527" i="4"/>
  <c r="V527" i="4" s="1"/>
  <c r="X527" i="4"/>
  <c r="S527" i="4"/>
  <c r="W527" i="4" s="1"/>
  <c r="R42" i="4"/>
  <c r="V42" i="4" s="1"/>
  <c r="X42" i="4"/>
  <c r="S42" i="4"/>
  <c r="W42" i="4" s="1"/>
  <c r="R731" i="4"/>
  <c r="V731" i="4" s="1"/>
  <c r="X731" i="4"/>
  <c r="S731" i="4"/>
  <c r="W731" i="4" s="1"/>
  <c r="R458" i="4"/>
  <c r="V458" i="4" s="1"/>
  <c r="X458" i="4"/>
  <c r="S458" i="4"/>
  <c r="W458" i="4" s="1"/>
  <c r="R653" i="4"/>
  <c r="V653" i="4" s="1"/>
  <c r="X653" i="4"/>
  <c r="S653" i="4"/>
  <c r="W653" i="4" s="1"/>
  <c r="R642" i="4"/>
  <c r="V642" i="4" s="1"/>
  <c r="X642" i="4"/>
  <c r="S642" i="4"/>
  <c r="W642" i="4" s="1"/>
  <c r="R281" i="4"/>
  <c r="V281" i="4" s="1"/>
  <c r="X281" i="4"/>
  <c r="S281" i="4"/>
  <c r="W281" i="4" s="1"/>
  <c r="R752" i="4"/>
  <c r="V752" i="4" s="1"/>
  <c r="X752" i="4"/>
  <c r="S752" i="4"/>
  <c r="W752" i="4" s="1"/>
  <c r="R102" i="4"/>
  <c r="V102" i="4" s="1"/>
  <c r="X102" i="4"/>
  <c r="S102" i="4"/>
  <c r="W102" i="4" s="1"/>
  <c r="S427" i="4"/>
  <c r="W427" i="4" s="1"/>
  <c r="X427" i="4"/>
  <c r="R427" i="4"/>
  <c r="V427" i="4" s="1"/>
  <c r="R484" i="4"/>
  <c r="V484" i="4" s="1"/>
  <c r="X484" i="4"/>
  <c r="S484" i="4"/>
  <c r="W484" i="4" s="1"/>
  <c r="R495" i="4"/>
  <c r="V495" i="4" s="1"/>
  <c r="X495" i="4"/>
  <c r="S495" i="4"/>
  <c r="W495" i="4" s="1"/>
  <c r="R157" i="4"/>
  <c r="V157" i="4" s="1"/>
  <c r="X157" i="4"/>
  <c r="S157" i="4"/>
  <c r="W157" i="4" s="1"/>
  <c r="R410" i="4"/>
  <c r="V410" i="4" s="1"/>
  <c r="X410" i="4"/>
  <c r="S410" i="4"/>
  <c r="W410" i="4" s="1"/>
  <c r="R719" i="4"/>
  <c r="V719" i="4" s="1"/>
  <c r="X719" i="4"/>
  <c r="S719" i="4"/>
  <c r="W719" i="4" s="1"/>
  <c r="R174" i="4"/>
  <c r="V174" i="4" s="1"/>
  <c r="X174" i="4"/>
  <c r="S174" i="4"/>
  <c r="W174" i="4" s="1"/>
  <c r="X73" i="4"/>
  <c r="R73" i="4"/>
  <c r="V73" i="4" s="1"/>
  <c r="S73" i="4"/>
  <c r="W73" i="4" s="1"/>
  <c r="R23" i="4"/>
  <c r="V23" i="4" s="1"/>
  <c r="X23" i="4"/>
  <c r="S23" i="4"/>
  <c r="W23" i="4" s="1"/>
  <c r="R149" i="4"/>
  <c r="V149" i="4" s="1"/>
  <c r="X149" i="4"/>
  <c r="S149" i="4"/>
  <c r="W149" i="4" s="1"/>
  <c r="R95" i="4"/>
  <c r="V95" i="4" s="1"/>
  <c r="X95" i="4"/>
  <c r="S95" i="4"/>
  <c r="W95" i="4" s="1"/>
  <c r="R40" i="4"/>
  <c r="V40" i="4" s="1"/>
  <c r="X40" i="4"/>
  <c r="S40" i="4"/>
  <c r="W40" i="4" s="1"/>
  <c r="R107" i="4"/>
  <c r="V107" i="4" s="1"/>
  <c r="X107" i="4"/>
  <c r="S107" i="4"/>
  <c r="W107" i="4" s="1"/>
  <c r="R368" i="4"/>
  <c r="V368" i="4" s="1"/>
  <c r="X368" i="4"/>
  <c r="S368" i="4"/>
  <c r="W368" i="4" s="1"/>
  <c r="R207" i="4"/>
  <c r="V207" i="4" s="1"/>
  <c r="X207" i="4"/>
  <c r="S207" i="4"/>
  <c r="W207" i="4" s="1"/>
  <c r="R606" i="4"/>
  <c r="V606" i="4" s="1"/>
  <c r="X606" i="4"/>
  <c r="S606" i="4"/>
  <c r="W606" i="4" s="1"/>
  <c r="R478" i="4"/>
  <c r="V478" i="4" s="1"/>
  <c r="X478" i="4"/>
  <c r="S478" i="4"/>
  <c r="W478" i="4" s="1"/>
  <c r="R206" i="4"/>
  <c r="V206" i="4" s="1"/>
  <c r="X206" i="4"/>
  <c r="S206" i="4"/>
  <c r="W206" i="4" s="1"/>
  <c r="R617" i="4"/>
  <c r="V617" i="4" s="1"/>
  <c r="X617" i="4"/>
  <c r="S617" i="4"/>
  <c r="W617" i="4" s="1"/>
  <c r="S96" i="4"/>
  <c r="W96" i="4" s="1"/>
  <c r="X96" i="4"/>
  <c r="R96" i="4"/>
  <c r="V96" i="4" s="1"/>
  <c r="R738" i="4"/>
  <c r="V738" i="4" s="1"/>
  <c r="X738" i="4"/>
  <c r="S738" i="4"/>
  <c r="W738" i="4" s="1"/>
  <c r="R481" i="4"/>
  <c r="V481" i="4" s="1"/>
  <c r="X481" i="4"/>
  <c r="S481" i="4"/>
  <c r="W481" i="4" s="1"/>
  <c r="R508" i="4"/>
  <c r="V508" i="4" s="1"/>
  <c r="X508" i="4"/>
  <c r="S508" i="4"/>
  <c r="W508" i="4" s="1"/>
  <c r="R242" i="4"/>
  <c r="V242" i="4" s="1"/>
  <c r="X242" i="4"/>
  <c r="S242" i="4"/>
  <c r="W242" i="4" s="1"/>
  <c r="R522" i="4"/>
  <c r="V522" i="4" s="1"/>
  <c r="X522" i="4"/>
  <c r="S522" i="4"/>
  <c r="W522" i="4" s="1"/>
  <c r="R272" i="4"/>
  <c r="V272" i="4" s="1"/>
  <c r="X272" i="4"/>
  <c r="S272" i="4"/>
  <c r="W272" i="4" s="1"/>
  <c r="U373" i="4" l="1"/>
  <c r="U87" i="4"/>
  <c r="U386" i="4"/>
  <c r="U646" i="4"/>
  <c r="U632" i="4"/>
  <c r="U604" i="4"/>
  <c r="U257" i="4"/>
  <c r="U466" i="4"/>
  <c r="U660" i="4"/>
  <c r="U738" i="4"/>
  <c r="U624" i="4"/>
  <c r="U608" i="4"/>
  <c r="U647" i="4"/>
  <c r="U723" i="4"/>
  <c r="U186" i="4"/>
  <c r="U152" i="4"/>
  <c r="U458" i="4"/>
  <c r="U490" i="4"/>
  <c r="U359" i="4"/>
  <c r="U397" i="4"/>
  <c r="U129" i="4"/>
  <c r="U566" i="4"/>
  <c r="U360" i="4"/>
  <c r="U249" i="4"/>
  <c r="U717" i="4"/>
  <c r="U59" i="4"/>
  <c r="U691" i="4"/>
  <c r="U732" i="4"/>
  <c r="U65" i="4"/>
  <c r="U736" i="4"/>
  <c r="U213" i="4"/>
  <c r="U371" i="4"/>
  <c r="U40" i="4"/>
  <c r="U281" i="4"/>
  <c r="U748" i="4"/>
  <c r="U109" i="4"/>
  <c r="U465" i="4"/>
  <c r="U333" i="4"/>
  <c r="U408" i="4"/>
  <c r="U216" i="4"/>
  <c r="U380" i="4"/>
  <c r="U509" i="4"/>
  <c r="U207" i="4"/>
  <c r="U427" i="4"/>
  <c r="U439" i="4"/>
  <c r="U128" i="4"/>
  <c r="U418" i="4"/>
  <c r="U315" i="4"/>
  <c r="U475" i="4"/>
  <c r="U534" i="4"/>
  <c r="U375" i="4"/>
  <c r="U73" i="4"/>
  <c r="U54" i="4"/>
  <c r="U413" i="4"/>
  <c r="U585" i="4"/>
  <c r="U623" i="4"/>
  <c r="U495" i="4"/>
  <c r="U753" i="4"/>
  <c r="U242" i="4"/>
  <c r="U467" i="4"/>
  <c r="U637" i="4"/>
  <c r="U504" i="4"/>
  <c r="U474" i="4"/>
  <c r="U581" i="4"/>
  <c r="U330" i="4"/>
  <c r="U102" i="4"/>
  <c r="U126" i="4"/>
  <c r="U497" i="4"/>
  <c r="U214" i="4"/>
  <c r="U720" i="4"/>
  <c r="U150" i="4"/>
  <c r="U381" i="4"/>
  <c r="U725" i="4"/>
  <c r="U247" i="4"/>
  <c r="U498" i="4"/>
  <c r="U208" i="4"/>
  <c r="U183" i="4"/>
  <c r="U49" i="4"/>
  <c r="U636" i="4"/>
  <c r="U195" i="4"/>
  <c r="U712" i="4"/>
  <c r="U527" i="4"/>
  <c r="U362" i="4"/>
  <c r="U420" i="4"/>
  <c r="U235" i="4"/>
  <c r="U729" i="4"/>
  <c r="U356" i="4"/>
  <c r="U105" i="4"/>
  <c r="U268" i="4"/>
  <c r="U148" i="4"/>
  <c r="U382" i="4"/>
  <c r="U603" i="4"/>
  <c r="U626" i="4"/>
  <c r="U392" i="4"/>
  <c r="U245" i="4"/>
  <c r="U368" i="4"/>
  <c r="U95" i="4"/>
  <c r="U232" i="4"/>
  <c r="U668" i="4"/>
  <c r="U610" i="4"/>
  <c r="U378" i="4"/>
  <c r="U272" i="4"/>
  <c r="U96" i="4"/>
  <c r="U33" i="4"/>
  <c r="U612" i="4"/>
  <c r="U24" i="4"/>
  <c r="U426" i="4"/>
  <c r="U210" i="4"/>
  <c r="U254" i="4"/>
  <c r="U394" i="4"/>
  <c r="U727" i="4"/>
  <c r="U692" i="4"/>
  <c r="U570" i="4"/>
  <c r="U606" i="4"/>
  <c r="U157" i="4"/>
  <c r="U523" i="4"/>
  <c r="U656" i="4"/>
  <c r="U259" i="4"/>
  <c r="U354" i="4"/>
  <c r="U652" i="4"/>
  <c r="U374" i="4"/>
  <c r="U89" i="4"/>
  <c r="U568" i="4"/>
  <c r="U481" i="4"/>
  <c r="U617" i="4"/>
  <c r="U149" i="4"/>
  <c r="U174" i="4"/>
  <c r="U456" i="4"/>
  <c r="U230" i="4"/>
  <c r="U349" i="4"/>
  <c r="U84" i="4"/>
  <c r="U396" i="4"/>
  <c r="U31" i="4"/>
  <c r="U346" i="4"/>
  <c r="U708" i="4"/>
  <c r="U654" i="4"/>
  <c r="U642" i="4"/>
  <c r="U219" i="4"/>
  <c r="U693" i="4"/>
  <c r="U506" i="4"/>
  <c r="U156" i="4"/>
  <c r="U631" i="4"/>
  <c r="U348" i="4"/>
  <c r="U715" i="4"/>
  <c r="U655" i="4"/>
  <c r="U587" i="4"/>
  <c r="U209" i="4"/>
  <c r="U629" i="4"/>
  <c r="U184" i="4"/>
  <c r="U478" i="4"/>
  <c r="U410" i="4"/>
  <c r="U42" i="4"/>
  <c r="U139" i="4"/>
  <c r="U175" i="4"/>
  <c r="U461" i="4"/>
  <c r="U572" i="4"/>
  <c r="U417" i="4"/>
  <c r="U146" i="4"/>
  <c r="U357" i="4"/>
  <c r="U358" i="4"/>
  <c r="U454" i="4"/>
  <c r="U724" i="4"/>
  <c r="U483" i="4"/>
  <c r="U516" i="4"/>
  <c r="U638" i="4"/>
  <c r="U32" i="4"/>
  <c r="U256" i="4"/>
  <c r="U635" i="4"/>
  <c r="U352" i="4"/>
  <c r="U193" i="4"/>
  <c r="U448" i="4"/>
  <c r="U355" i="4"/>
  <c r="U424" i="4"/>
  <c r="U602" i="4"/>
  <c r="U147" i="4"/>
  <c r="U758" i="4"/>
  <c r="U23" i="4"/>
  <c r="U484" i="4"/>
  <c r="U67" i="4"/>
  <c r="U377" i="4"/>
  <c r="U519" i="4"/>
  <c r="U616" i="4"/>
  <c r="U407" i="4"/>
  <c r="U540" i="4"/>
  <c r="U372" i="4"/>
  <c r="U665" i="4"/>
  <c r="U66" i="4"/>
  <c r="U246" i="4"/>
  <c r="U104" i="4"/>
  <c r="U503" i="4"/>
  <c r="U385" i="4"/>
  <c r="U90" i="4"/>
  <c r="U62" i="4"/>
  <c r="U325" i="4"/>
  <c r="U22" i="4"/>
  <c r="U211" i="4"/>
  <c r="U179" i="4"/>
  <c r="U181" i="4"/>
  <c r="U651" i="4"/>
  <c r="U99" i="4"/>
  <c r="U477" i="4"/>
  <c r="U269" i="4"/>
  <c r="U601" i="4"/>
  <c r="U347" i="4"/>
  <c r="U500" i="4"/>
  <c r="U155" i="4"/>
  <c r="U752" i="4"/>
  <c r="U265" i="4"/>
  <c r="U508" i="4"/>
  <c r="U107" i="4"/>
  <c r="U653" i="4"/>
  <c r="U731" i="4"/>
  <c r="U367" i="4"/>
  <c r="U563" i="4"/>
  <c r="U415" i="4"/>
  <c r="U353" i="4"/>
  <c r="U332" i="4"/>
  <c r="U9" i="4"/>
  <c r="U596" i="4"/>
  <c r="U496" i="4"/>
  <c r="U648" i="4"/>
  <c r="U51" i="4"/>
  <c r="U376" i="4"/>
  <c r="U56" i="4"/>
  <c r="U625" i="4"/>
  <c r="U253" i="4"/>
  <c r="U137" i="4"/>
  <c r="U34" i="4"/>
  <c r="U37" i="4"/>
  <c r="U370" i="4"/>
  <c r="U106" i="4"/>
  <c r="U533" i="4"/>
  <c r="U479" i="4"/>
  <c r="U206" i="4"/>
  <c r="U719" i="4"/>
  <c r="U205" i="4"/>
  <c r="U161" i="4"/>
  <c r="U457" i="4"/>
  <c r="U289" i="4"/>
  <c r="U464" i="4"/>
  <c r="U718" i="4"/>
  <c r="U649" i="4"/>
  <c r="U379" i="4"/>
  <c r="U721" i="4"/>
  <c r="U176" i="4"/>
  <c r="U667" i="4"/>
  <c r="U393" i="4"/>
  <c r="U630" i="4"/>
  <c r="U41" i="4"/>
  <c r="U714" i="4"/>
  <c r="U237" i="4"/>
  <c r="U414" i="4"/>
  <c r="U522" i="4"/>
  <c r="U577" i="4"/>
  <c r="U29" i="4"/>
  <c r="U112" i="4"/>
  <c r="U43" i="4"/>
  <c r="U215" i="4"/>
  <c r="U412" i="4"/>
  <c r="U324" i="4"/>
  <c r="U711" i="4"/>
  <c r="U30" i="4"/>
  <c r="U153" i="4"/>
  <c r="U85" i="4"/>
  <c r="U501" i="4"/>
  <c r="U664" i="4"/>
  <c r="U740" i="4"/>
  <c r="U739" i="4"/>
  <c r="U618" i="4"/>
  <c r="U369" i="4"/>
</calcChain>
</file>

<file path=xl/sharedStrings.xml><?xml version="1.0" encoding="utf-8"?>
<sst xmlns="http://schemas.openxmlformats.org/spreadsheetml/2006/main" count="12333" uniqueCount="2400">
  <si>
    <t>Compounds / Ingredients</t>
  </si>
  <si>
    <t>CAS N°</t>
  </si>
  <si>
    <t>Sodium hydroxide</t>
  </si>
  <si>
    <t>1310-73-2</t>
  </si>
  <si>
    <t>Formaldehyde</t>
  </si>
  <si>
    <t>50-00-0</t>
  </si>
  <si>
    <t>L-Tryptophan</t>
  </si>
  <si>
    <t>73-22-3</t>
  </si>
  <si>
    <t xml:space="preserve">Neomycin sulfate </t>
  </si>
  <si>
    <t>1405-10-3</t>
  </si>
  <si>
    <t>143-74-8</t>
  </si>
  <si>
    <t xml:space="preserve">Folic Acid </t>
  </si>
  <si>
    <t>59-30-3</t>
  </si>
  <si>
    <t xml:space="preserve">PABA (4-Aminobenzoic acid-vit B) </t>
  </si>
  <si>
    <t>150-13-0</t>
  </si>
  <si>
    <t>Chlorhydric acid / Hydrochloric acid</t>
  </si>
  <si>
    <t>7647-01-0</t>
  </si>
  <si>
    <t>Tromethamine/Trometamol (TRIS)</t>
  </si>
  <si>
    <t>77-86-1</t>
  </si>
  <si>
    <t>52-89-1</t>
  </si>
  <si>
    <t>Glycine</t>
  </si>
  <si>
    <t>56-40-6</t>
  </si>
  <si>
    <t>L-Cystine</t>
  </si>
  <si>
    <t>56-89-3</t>
  </si>
  <si>
    <t>L-Arginine</t>
  </si>
  <si>
    <t>74-79-3</t>
  </si>
  <si>
    <t>L-Glutamine</t>
  </si>
  <si>
    <t>56-85-9</t>
  </si>
  <si>
    <t>L-Histidine</t>
  </si>
  <si>
    <t>71-00-1</t>
  </si>
  <si>
    <t>L-Isoleucine</t>
  </si>
  <si>
    <t>73-32-5</t>
  </si>
  <si>
    <t>L-Leucine</t>
  </si>
  <si>
    <t>61-90-5</t>
  </si>
  <si>
    <t>L-Lysine dihydrochloride</t>
  </si>
  <si>
    <t>657-26-1</t>
  </si>
  <si>
    <t>L-Phenylalanine</t>
  </si>
  <si>
    <t>63-91-2</t>
  </si>
  <si>
    <t>L-Serine</t>
  </si>
  <si>
    <t>56-45-1</t>
  </si>
  <si>
    <t>L-Threonine</t>
  </si>
  <si>
    <t>72-19-5</t>
  </si>
  <si>
    <t>L-Tyrosine</t>
  </si>
  <si>
    <t>60-18-4</t>
  </si>
  <si>
    <t>L-Valine</t>
  </si>
  <si>
    <t>72-18-4</t>
  </si>
  <si>
    <t>6381-92-6</t>
  </si>
  <si>
    <t>GEL Sepharose 4B CL FF</t>
  </si>
  <si>
    <t xml:space="preserve">Calcium Chloride dihydrate </t>
  </si>
  <si>
    <t>10035-04-8</t>
  </si>
  <si>
    <t>7558-79-4</t>
  </si>
  <si>
    <t xml:space="preserve">Magnesium chloride hexahydrate </t>
  </si>
  <si>
    <t>7791-18-6</t>
  </si>
  <si>
    <t xml:space="preserve">Magnesium sulfate heptahydrate </t>
  </si>
  <si>
    <t>10034-99-8</t>
  </si>
  <si>
    <t>7778-77-0</t>
  </si>
  <si>
    <t xml:space="preserve">Potassium chloride </t>
  </si>
  <si>
    <t>7447-40-7</t>
  </si>
  <si>
    <t xml:space="preserve">Sodium chloride </t>
  </si>
  <si>
    <t>7647-14-5</t>
  </si>
  <si>
    <t>144-55-8</t>
  </si>
  <si>
    <t xml:space="preserve">Bactogalactose (D-Galactose) </t>
  </si>
  <si>
    <t>59-23-4</t>
  </si>
  <si>
    <t>50-99-7</t>
  </si>
  <si>
    <t xml:space="preserve">Tween 20 (polysorbate) </t>
  </si>
  <si>
    <t>9005-64-5</t>
  </si>
  <si>
    <t xml:space="preserve">Calcium pantothenate </t>
  </si>
  <si>
    <t>137-08-6</t>
  </si>
  <si>
    <t>Choline Chloride</t>
  </si>
  <si>
    <t>67-48-1</t>
  </si>
  <si>
    <t xml:space="preserve">Inositol </t>
  </si>
  <si>
    <t>87-89-8</t>
  </si>
  <si>
    <t xml:space="preserve">Nicotinamide </t>
  </si>
  <si>
    <t>98-92-0</t>
  </si>
  <si>
    <t xml:space="preserve">Pantothenol </t>
  </si>
  <si>
    <t>81-13-0</t>
  </si>
  <si>
    <t>Pyridoxine hydrochloride</t>
  </si>
  <si>
    <t>58-56-0</t>
  </si>
  <si>
    <t xml:space="preserve">Riboflavin </t>
  </si>
  <si>
    <t>83-88-5</t>
  </si>
  <si>
    <t xml:space="preserve">Thiamine hydrochloride </t>
  </si>
  <si>
    <t>67-03-8</t>
  </si>
  <si>
    <t xml:space="preserve">Thymidine </t>
  </si>
  <si>
    <t>50-89-5</t>
  </si>
  <si>
    <t>Biotin</t>
  </si>
  <si>
    <t>58-85-5</t>
  </si>
  <si>
    <t xml:space="preserve">Adenine </t>
  </si>
  <si>
    <t>73-24-5</t>
  </si>
  <si>
    <t xml:space="preserve">Aluminium hydroxide </t>
  </si>
  <si>
    <t>21645-51-2</t>
  </si>
  <si>
    <t>Potassium hydroxide</t>
  </si>
  <si>
    <t>1310-58-3</t>
  </si>
  <si>
    <t>Ethanol / Ethyl alcohol</t>
  </si>
  <si>
    <t xml:space="preserve">64-17-5 </t>
  </si>
  <si>
    <t>B-Mercaptoethanol</t>
  </si>
  <si>
    <t>60-24-2</t>
  </si>
  <si>
    <t>Monoethanolamine</t>
  </si>
  <si>
    <t>141-43-5</t>
  </si>
  <si>
    <t>Piperazine anhydrous</t>
  </si>
  <si>
    <t>110-85-0</t>
  </si>
  <si>
    <t>Insuline (NOVO)</t>
  </si>
  <si>
    <t>9004-10-8; 11061-68-0 (human)</t>
  </si>
  <si>
    <t>L-methionine sulfoximine</t>
  </si>
  <si>
    <t>15985-39-4</t>
  </si>
  <si>
    <t xml:space="preserve">Trypan blue </t>
  </si>
  <si>
    <t xml:space="preserve">72-57-1 </t>
  </si>
  <si>
    <t xml:space="preserve">Cholesterol </t>
  </si>
  <si>
    <t>57-88-5</t>
  </si>
  <si>
    <t xml:space="preserve">Stearic acid </t>
  </si>
  <si>
    <t>57-11-4</t>
  </si>
  <si>
    <t>7695-91-2 / 58-95-7</t>
  </si>
  <si>
    <t xml:space="preserve">Glycerol / Glycerine </t>
  </si>
  <si>
    <t>56-81-5</t>
  </si>
  <si>
    <t>Fractogel DMAE 650</t>
  </si>
  <si>
    <t>Hydroxyapatite type I (40microns)</t>
  </si>
  <si>
    <t>related to 1306-06-5</t>
  </si>
  <si>
    <t>Hydroxyapatite type II (40microns)</t>
  </si>
  <si>
    <t>Octyl Sepharose FF</t>
  </si>
  <si>
    <t>9012-36-6</t>
  </si>
  <si>
    <t xml:space="preserve">Arachidonic acid </t>
  </si>
  <si>
    <t>506-32-1</t>
  </si>
  <si>
    <t xml:space="preserve">Linoleic acid </t>
  </si>
  <si>
    <t xml:space="preserve">60-33-3 </t>
  </si>
  <si>
    <t xml:space="preserve">Linolenic acid </t>
  </si>
  <si>
    <t xml:space="preserve">463-40-1 </t>
  </si>
  <si>
    <t xml:space="preserve">Myristic acid </t>
  </si>
  <si>
    <t>544-63-8</t>
  </si>
  <si>
    <t xml:space="preserve">Palmitic acid </t>
  </si>
  <si>
    <t xml:space="preserve">57-10-3 </t>
  </si>
  <si>
    <t xml:space="preserve">Palmitoleic acid </t>
  </si>
  <si>
    <t xml:space="preserve">373-49-9 </t>
  </si>
  <si>
    <t>7758-11-4</t>
  </si>
  <si>
    <t xml:space="preserve">Sodium acetate trihydrate (NaOAc.3H20) </t>
  </si>
  <si>
    <t>6131-90-4</t>
  </si>
  <si>
    <t xml:space="preserve">Sodium dihydrogen phosphate dihydrate </t>
  </si>
  <si>
    <t>13472-35-0</t>
  </si>
  <si>
    <t xml:space="preserve">D fructose </t>
  </si>
  <si>
    <t xml:space="preserve">57-48-7 </t>
  </si>
  <si>
    <t xml:space="preserve"> 9003-11-6 </t>
  </si>
  <si>
    <t xml:space="preserve">Tween 80 (polysorbate) </t>
  </si>
  <si>
    <t>9005-65-6</t>
  </si>
  <si>
    <t>10025-77-1</t>
  </si>
  <si>
    <t>Q-sepharose XL</t>
  </si>
  <si>
    <t>100-51-6</t>
  </si>
  <si>
    <t>Fractogel DEAE 650</t>
  </si>
  <si>
    <t xml:space="preserve">Cobalt chloride hexahydrate </t>
  </si>
  <si>
    <t xml:space="preserve">7791-13-1 </t>
  </si>
  <si>
    <t xml:space="preserve">Ferric chloride hexahydrate </t>
  </si>
  <si>
    <t>8050-81-5</t>
  </si>
  <si>
    <t>Acetic acid / Glacial acetic acid</t>
  </si>
  <si>
    <t>64-19-7</t>
  </si>
  <si>
    <t>67-63-0</t>
  </si>
  <si>
    <t>L-Asparagine</t>
  </si>
  <si>
    <t xml:space="preserve">70-47-3  </t>
  </si>
  <si>
    <t xml:space="preserve">Chelating sepharose Fast Flow </t>
  </si>
  <si>
    <t>Q Sepharose Fast Flow</t>
  </si>
  <si>
    <t>SP Sepharose Big Beads</t>
  </si>
  <si>
    <t>Calcium chloride anhydrous</t>
  </si>
  <si>
    <t xml:space="preserve">10043-52-4 </t>
  </si>
  <si>
    <t xml:space="preserve">10028-24-7 </t>
  </si>
  <si>
    <t xml:space="preserve">Sodium citrate dihydrate </t>
  </si>
  <si>
    <t xml:space="preserve">6132-04-3 </t>
  </si>
  <si>
    <t>9002-93-1</t>
  </si>
  <si>
    <t>Monothioglycerol</t>
  </si>
  <si>
    <t>96-27-5</t>
  </si>
  <si>
    <t>56-86-0</t>
  </si>
  <si>
    <t>1119-34-2</t>
  </si>
  <si>
    <t>L-Lysine</t>
  </si>
  <si>
    <t>L-Proline</t>
  </si>
  <si>
    <t>Phenol</t>
  </si>
  <si>
    <t xml:space="preserve">108-95-2 </t>
  </si>
  <si>
    <t xml:space="preserve">Dioleoyl phosphatidylcholine (DOPC) </t>
  </si>
  <si>
    <t>4235-95-4</t>
  </si>
  <si>
    <t xml:space="preserve">Aluminium phosphate </t>
  </si>
  <si>
    <t>7784-30-7</t>
  </si>
  <si>
    <t xml:space="preserve">Ferric nitrate nonahydrate </t>
  </si>
  <si>
    <t>7782-61-8</t>
  </si>
  <si>
    <t>50-14-6</t>
  </si>
  <si>
    <t xml:space="preserve">α-Tocopherol phosphate disodium  </t>
  </si>
  <si>
    <t>60934-46-5</t>
  </si>
  <si>
    <t>Ethanesulfonic acid (Hepes)</t>
  </si>
  <si>
    <t>7365-45-9</t>
  </si>
  <si>
    <t>1196-43-6</t>
  </si>
  <si>
    <t>L-Glutathione</t>
  </si>
  <si>
    <t>70-18-8</t>
  </si>
  <si>
    <t>Hydroxy-L-Proline</t>
  </si>
  <si>
    <t>51-35-4</t>
  </si>
  <si>
    <t>L-Alanine</t>
  </si>
  <si>
    <t>56-41-7</t>
  </si>
  <si>
    <t>L-Arginine hydrochloride</t>
  </si>
  <si>
    <t>L-Aspartic acid</t>
  </si>
  <si>
    <t>56-84-8</t>
  </si>
  <si>
    <t>L-Cysteine hydrochloride anhydrous</t>
  </si>
  <si>
    <t>L-Cystine dihydrochloride</t>
  </si>
  <si>
    <t>30925-07-6</t>
  </si>
  <si>
    <t>L-Histidine hydrochloride monohydrate</t>
  </si>
  <si>
    <t>5934-29-2</t>
  </si>
  <si>
    <t>147-85-3</t>
  </si>
  <si>
    <t>L-Tyrosine disodium dihydrate</t>
  </si>
  <si>
    <t>122666-87-9</t>
  </si>
  <si>
    <t>L-Glutamic acid, monopotassium salt, monohydrate</t>
  </si>
  <si>
    <t>6382-01-0</t>
  </si>
  <si>
    <t>7782-85-6</t>
  </si>
  <si>
    <t xml:space="preserve">Magnesium sulfate anhydrous </t>
  </si>
  <si>
    <t xml:space="preserve">7487-88-9 </t>
  </si>
  <si>
    <t>127-09-3</t>
  </si>
  <si>
    <t xml:space="preserve">Lactose </t>
  </si>
  <si>
    <t>63-42-3</t>
  </si>
  <si>
    <t xml:space="preserve">Ribose </t>
  </si>
  <si>
    <t xml:space="preserve">50-69-1 </t>
  </si>
  <si>
    <t>57-50-1</t>
  </si>
  <si>
    <t xml:space="preserve">Adenosine-5-phosphate </t>
  </si>
  <si>
    <t>61-19-8</t>
  </si>
  <si>
    <t xml:space="preserve">Ascorbic Acid </t>
  </si>
  <si>
    <t>50-81-7</t>
  </si>
  <si>
    <t xml:space="preserve">DL-α-tocopherol </t>
  </si>
  <si>
    <t xml:space="preserve">Hypoxanthine sodium salt </t>
  </si>
  <si>
    <t>45738-97-4</t>
  </si>
  <si>
    <t>Nicotinic acid / Niacin / Vitamin B3</t>
  </si>
  <si>
    <t>59-67-6</t>
  </si>
  <si>
    <t xml:space="preserve">Pyridoxal hydrochloride </t>
  </si>
  <si>
    <t>65-22-5</t>
  </si>
  <si>
    <t xml:space="preserve">Thymine </t>
  </si>
  <si>
    <t>65-71-4</t>
  </si>
  <si>
    <t xml:space="preserve">Menadione </t>
  </si>
  <si>
    <t>58-27-5</t>
  </si>
  <si>
    <t>127-47-9</t>
  </si>
  <si>
    <t xml:space="preserve">QS-21 </t>
  </si>
  <si>
    <t>141256-04-4</t>
  </si>
  <si>
    <t>1246298-63-4</t>
  </si>
  <si>
    <t>Uracil</t>
  </si>
  <si>
    <t>66-22-8</t>
  </si>
  <si>
    <t>Adenine sulfate</t>
  </si>
  <si>
    <t>321-30-2</t>
  </si>
  <si>
    <t>Trehalose</t>
  </si>
  <si>
    <t>ALC-0159 (Pegylated Lipid)</t>
  </si>
  <si>
    <t>1849616-42-7</t>
  </si>
  <si>
    <t>2036272-55-4</t>
  </si>
  <si>
    <t>816-94-4</t>
  </si>
  <si>
    <t>A/Brisbane/10/2007 (H3N2)-like strain:  A/Uruguay/716/2007 NYMC X-175C</t>
  </si>
  <si>
    <t xml:space="preserve">A/Brisbane/59/2007 (H1N1)-like strain:  A/Brisbane/59/2007 IVR-148 </t>
  </si>
  <si>
    <t>A/Uruguay/716/2007 (NYMC X-175C)</t>
  </si>
  <si>
    <t>Adipic acid</t>
  </si>
  <si>
    <t>124-04-9</t>
  </si>
  <si>
    <t>ALC-0315 (Cationic Lipid)</t>
  </si>
  <si>
    <t>Antigen FHA (AFHABA) antigen</t>
  </si>
  <si>
    <t xml:space="preserve">a-tocopheryl hydrogen succinate </t>
  </si>
  <si>
    <t xml:space="preserve">4345-03-3 </t>
  </si>
  <si>
    <t>B/Brisbane/3/2007</t>
  </si>
  <si>
    <t>Bordetella pertussis. killed (Pw antigen)</t>
  </si>
  <si>
    <t xml:space="preserve">Dextran 10 </t>
  </si>
  <si>
    <t xml:space="preserve">9004-54-0 </t>
  </si>
  <si>
    <t xml:space="preserve">10039-32-4 </t>
  </si>
  <si>
    <t>D-Lactose monohydrate</t>
  </si>
  <si>
    <t>64044-51-6</t>
  </si>
  <si>
    <t xml:space="preserve">DL-α-tocopheryl hydrogen succinate </t>
  </si>
  <si>
    <t>17407-37-3   / 4345-03-3</t>
  </si>
  <si>
    <t>Hep A (AHAV (A/B)A) antigen</t>
  </si>
  <si>
    <t>Hep A (AHAV (A/B)D) antigen</t>
  </si>
  <si>
    <t>HepB (AHBVBA) antigen</t>
  </si>
  <si>
    <t>HepB (AHBVBP) antigen</t>
  </si>
  <si>
    <t>HPV 16 antigen</t>
  </si>
  <si>
    <t>HPV 18 antigen</t>
  </si>
  <si>
    <t>ISV/AIP1 antigen</t>
  </si>
  <si>
    <t>ISV/AIP2 antigen</t>
  </si>
  <si>
    <t>ISV/AIP3 antigen</t>
  </si>
  <si>
    <t>L-Cystine sodium salt</t>
  </si>
  <si>
    <t>64704-23-0</t>
  </si>
  <si>
    <t>Live attenuated varicella virus (OKA strain)</t>
  </si>
  <si>
    <t xml:space="preserve">Magnesium chloride anhydrous </t>
  </si>
  <si>
    <t xml:space="preserve">7786-30-3 </t>
  </si>
  <si>
    <t>Mannitol</t>
  </si>
  <si>
    <t xml:space="preserve">69-65-8 </t>
  </si>
  <si>
    <t xml:space="preserve">Menadione sodium bisulfite </t>
  </si>
  <si>
    <t>130-37-0</t>
  </si>
  <si>
    <t>PRN (APRNBA) antigen</t>
  </si>
  <si>
    <t>Purified diphtheria toxoid concentrate</t>
  </si>
  <si>
    <t>Purified tetanus toxoid concentrate</t>
  </si>
  <si>
    <t>r-DNA hepatitis B virus surface antigen</t>
  </si>
  <si>
    <t>Rotavirus RX4414 strain</t>
  </si>
  <si>
    <t>RSV PreF3</t>
  </si>
  <si>
    <t>S. Typhi polysaccharide</t>
  </si>
  <si>
    <t xml:space="preserve">Sodium carbonate anhydrous </t>
  </si>
  <si>
    <t xml:space="preserve">497-19-8 </t>
  </si>
  <si>
    <t>6834-92-0</t>
  </si>
  <si>
    <t>Sorbitol sorbitex S38</t>
  </si>
  <si>
    <t xml:space="preserve">50-70-4 </t>
  </si>
  <si>
    <t>7601-54-9</t>
  </si>
  <si>
    <t>Virus Polio Type 1, strain LSc, 2ab</t>
  </si>
  <si>
    <t>Virus Polio Type 2, strain P 712, 2ab</t>
  </si>
  <si>
    <t>Virus Polio Type 3, strain Leon 12a, 1b</t>
  </si>
  <si>
    <t>VZV protein gE</t>
  </si>
  <si>
    <t xml:space="preserve">Sodium pyruvate  </t>
  </si>
  <si>
    <t xml:space="preserve">113-24-6 </t>
  </si>
  <si>
    <t>Lactalbumin</t>
  </si>
  <si>
    <t>9051-29-0</t>
  </si>
  <si>
    <t xml:space="preserve">Polymyxin B sulfate </t>
  </si>
  <si>
    <t>1405-20-5</t>
  </si>
  <si>
    <t>L-Glutamic acid</t>
  </si>
  <si>
    <t>56-87-1</t>
  </si>
  <si>
    <t>Cytodex 1</t>
  </si>
  <si>
    <t>79920-52-8</t>
  </si>
  <si>
    <t xml:space="preserve">Glucose monohydrate </t>
  </si>
  <si>
    <t>77938-63-7 / 14431-43-7</t>
  </si>
  <si>
    <t>2-Deoxy-D-ribose</t>
  </si>
  <si>
    <t>Ethylene Glycol</t>
  </si>
  <si>
    <t>107-21-1</t>
  </si>
  <si>
    <t>Glutaraldehyde 25%</t>
  </si>
  <si>
    <t>111-30-8</t>
  </si>
  <si>
    <t xml:space="preserve">Barium chloride dihydrate </t>
  </si>
  <si>
    <t>10326-27-9</t>
  </si>
  <si>
    <t xml:space="preserve">Ferrous sulfate heptahydrate </t>
  </si>
  <si>
    <t>7782-63-0</t>
  </si>
  <si>
    <t xml:space="preserve">(Mono)Sodium Glutamate </t>
  </si>
  <si>
    <t>142-47-2</t>
  </si>
  <si>
    <t xml:space="preserve">Blue trisacryl gel </t>
  </si>
  <si>
    <t xml:space="preserve">Hydroxyapatite </t>
  </si>
  <si>
    <t>1306-06-5</t>
  </si>
  <si>
    <t xml:space="preserve">Sephacryl S100-HR gel </t>
  </si>
  <si>
    <t>65546-95-4</t>
  </si>
  <si>
    <t xml:space="preserve">Sephacryl S200-HR gel </t>
  </si>
  <si>
    <t>Octyl Sepharose CL4B gel</t>
  </si>
  <si>
    <t>68652-09-5</t>
  </si>
  <si>
    <t xml:space="preserve">TSK Butyl-650M  gel </t>
  </si>
  <si>
    <t xml:space="preserve">Ammonium sulfate </t>
  </si>
  <si>
    <t>7783-20-2</t>
  </si>
  <si>
    <t xml:space="preserve">Dimethyl-β-Cyclodextrine </t>
  </si>
  <si>
    <t>51166-71-3</t>
  </si>
  <si>
    <t>Berol 185 (C10 - C16)</t>
  </si>
  <si>
    <t>62253-63-8</t>
  </si>
  <si>
    <t>Fetal bovine serum (FBS)</t>
  </si>
  <si>
    <t>Trypsin</t>
  </si>
  <si>
    <t>Hydrocortisone / Cortisol</t>
  </si>
  <si>
    <t xml:space="preserve">50-23-7 </t>
  </si>
  <si>
    <t>1405-41-0</t>
  </si>
  <si>
    <t>Thiomersal</t>
  </si>
  <si>
    <t>54-64-8</t>
  </si>
  <si>
    <t xml:space="preserve">Sodium deoxycholate (DOC) </t>
  </si>
  <si>
    <t>302-95-4</t>
  </si>
  <si>
    <t xml:space="preserve">Ovalbumine </t>
  </si>
  <si>
    <t>9006-50-2</t>
  </si>
  <si>
    <t xml:space="preserve">Glucose / Dextrose </t>
  </si>
  <si>
    <t>L-Lysine monohydrochloride</t>
  </si>
  <si>
    <t>Adenosine triphosphate</t>
  </si>
  <si>
    <t>56-65-5</t>
  </si>
  <si>
    <t xml:space="preserve">EDAC (1-(3-Dimethylaminopropyl)-3-ethylcarbodiimide) </t>
  </si>
  <si>
    <t>1892-57-5</t>
  </si>
  <si>
    <t xml:space="preserve">Cupric sulfate pentahydrate </t>
  </si>
  <si>
    <t>7758-99-8</t>
  </si>
  <si>
    <t xml:space="preserve">Manganese chloride tetrahydrate </t>
  </si>
  <si>
    <t>13446-34-9</t>
  </si>
  <si>
    <t xml:space="preserve">Ferric chloride anhydrous </t>
  </si>
  <si>
    <t>7705-08-0</t>
  </si>
  <si>
    <t xml:space="preserve">Sodium Thioglycollate </t>
  </si>
  <si>
    <t>367-51-1</t>
  </si>
  <si>
    <t xml:space="preserve">Zinc sulfate heptahydrate </t>
  </si>
  <si>
    <t>7446-20-0</t>
  </si>
  <si>
    <t xml:space="preserve">Maltose monohydrate </t>
  </si>
  <si>
    <t>6363-53-7</t>
  </si>
  <si>
    <t xml:space="preserve">Decamethylcyclopentasiloxane </t>
  </si>
  <si>
    <t>541-02-6</t>
  </si>
  <si>
    <t xml:space="preserve">Octamethylcyclotetrasiloxane </t>
  </si>
  <si>
    <t>556-67-2</t>
  </si>
  <si>
    <t>Isopropanol / Isopropyl alcohol</t>
  </si>
  <si>
    <t>Beta-Alanine</t>
  </si>
  <si>
    <t>107-95-9</t>
  </si>
  <si>
    <t>68855-54-9 (Flux-calcined)</t>
  </si>
  <si>
    <t>Sephacryl HR 400</t>
  </si>
  <si>
    <t xml:space="preserve">Acetone </t>
  </si>
  <si>
    <t xml:space="preserve">67-64-1 </t>
  </si>
  <si>
    <t xml:space="preserve">Adipic acid dihydrazide (ADH)  </t>
  </si>
  <si>
    <t>1071-93-8 </t>
  </si>
  <si>
    <t>Calcium carbonate</t>
  </si>
  <si>
    <t>471-34-1</t>
  </si>
  <si>
    <t>Agar</t>
  </si>
  <si>
    <t>9002-18-0</t>
  </si>
  <si>
    <t xml:space="preserve">Cyanocobalamine  (Vitamin B12) </t>
  </si>
  <si>
    <t>68-19-9</t>
  </si>
  <si>
    <t xml:space="preserve">Lactic acid </t>
  </si>
  <si>
    <t>79-33-4</t>
  </si>
  <si>
    <t xml:space="preserve">Pimelic acid </t>
  </si>
  <si>
    <t>111-16-0</t>
  </si>
  <si>
    <t>9004-67-4</t>
  </si>
  <si>
    <t>Methylated silica</t>
  </si>
  <si>
    <t>67762-90-7</t>
  </si>
  <si>
    <t>Methanol</t>
  </si>
  <si>
    <t>67-56-1</t>
  </si>
  <si>
    <t xml:space="preserve">Hydrogen peroxyde </t>
  </si>
  <si>
    <t>7722-84-1</t>
  </si>
  <si>
    <t>79-21-0</t>
  </si>
  <si>
    <t xml:space="preserve">p-tertiary-amylphenol </t>
  </si>
  <si>
    <t>80-46-6</t>
  </si>
  <si>
    <t xml:space="preserve">2-phenylphenol </t>
  </si>
  <si>
    <t>90-43-7</t>
  </si>
  <si>
    <t xml:space="preserve">Tetrasodium EDTA </t>
  </si>
  <si>
    <t>64-02-8</t>
  </si>
  <si>
    <t xml:space="preserve">Chloroform </t>
  </si>
  <si>
    <t>67-66-3</t>
  </si>
  <si>
    <t>Ammonium Hydroxide</t>
  </si>
  <si>
    <t>1336-21-6</t>
  </si>
  <si>
    <t>Citric acid anhydrous (99 %)</t>
  </si>
  <si>
    <t>77-92-9</t>
  </si>
  <si>
    <t>Phosphoric acid</t>
  </si>
  <si>
    <t>7664-38-2</t>
  </si>
  <si>
    <t xml:space="preserve"> 7681-52-9</t>
  </si>
  <si>
    <t xml:space="preserve">Ammonium acetate </t>
  </si>
  <si>
    <t>631-61-8</t>
  </si>
  <si>
    <t xml:space="preserve">Ammonium chloride </t>
  </si>
  <si>
    <t xml:space="preserve">12125-02-9 </t>
  </si>
  <si>
    <t xml:space="preserve">Isobutane </t>
  </si>
  <si>
    <t>75-28-5</t>
  </si>
  <si>
    <t xml:space="preserve">Triethylamine (Et)3N </t>
  </si>
  <si>
    <t>121-44-8</t>
  </si>
  <si>
    <t>7727-37-9</t>
  </si>
  <si>
    <t xml:space="preserve">1, 1-Difluorethane </t>
  </si>
  <si>
    <t>75-37-6</t>
  </si>
  <si>
    <t xml:space="preserve">Helium </t>
  </si>
  <si>
    <t>7440-59-7</t>
  </si>
  <si>
    <t xml:space="preserve">Potassium bicarbonate </t>
  </si>
  <si>
    <t>298-14-6</t>
  </si>
  <si>
    <t xml:space="preserve">Sodium xylen sulfonate </t>
  </si>
  <si>
    <t>1300-72-7</t>
  </si>
  <si>
    <t xml:space="preserve">Sulfonic Acids, C14-16-alkane hydroxy and C14-16-alkene, sodium salts </t>
  </si>
  <si>
    <t>68439-57-6</t>
  </si>
  <si>
    <t>1069-03-0</t>
  </si>
  <si>
    <t xml:space="preserve">Polypropylene glycol </t>
  </si>
  <si>
    <t>25322-69-4</t>
  </si>
  <si>
    <t>Polyalkyleneoxide Modified Polydimethylsiloxane</t>
  </si>
  <si>
    <t>67762-87-2</t>
  </si>
  <si>
    <t>Deoxyribonucleic acid (DNA)</t>
  </si>
  <si>
    <t>9007-49-2</t>
  </si>
  <si>
    <t>Ribonucleic acid (RNA)</t>
  </si>
  <si>
    <t>63231-63-0</t>
  </si>
  <si>
    <t>Piscidic acid</t>
  </si>
  <si>
    <t>501-98-4</t>
  </si>
  <si>
    <t>33228-65-8</t>
  </si>
  <si>
    <t>Tannins</t>
  </si>
  <si>
    <t>Acetonitrile</t>
  </si>
  <si>
    <t>protein</t>
  </si>
  <si>
    <t>13977-665-6</t>
  </si>
  <si>
    <t>1405-87-4</t>
  </si>
  <si>
    <t>140-95-4</t>
  </si>
  <si>
    <t>Nitrilotriacetic acid trisodium salt monohydrate</t>
  </si>
  <si>
    <t>18662-53-8</t>
  </si>
  <si>
    <t>26172-55-4</t>
  </si>
  <si>
    <t xml:space="preserve">Methylisothiazolinone </t>
  </si>
  <si>
    <t>2682-20-4</t>
  </si>
  <si>
    <t>3586-55-8</t>
  </si>
  <si>
    <t>367-93-1</t>
  </si>
  <si>
    <t>5989-27-5</t>
  </si>
  <si>
    <t>64-72-2</t>
  </si>
  <si>
    <t>Pyridoxine</t>
  </si>
  <si>
    <t>65-23-6</t>
  </si>
  <si>
    <t>65-46-3</t>
  </si>
  <si>
    <t>68188-18-1</t>
  </si>
  <si>
    <t>68439-51-0</t>
  </si>
  <si>
    <t>Thiamine</t>
  </si>
  <si>
    <t>70-16-6</t>
  </si>
  <si>
    <t>79-10-7</t>
  </si>
  <si>
    <t>No CAS No° available.</t>
  </si>
  <si>
    <t>Brain Heart infusion</t>
  </si>
  <si>
    <t>Cell Suspension Infection + Incubation (PS 500)</t>
  </si>
  <si>
    <t>Centrifuged Cells (Pellet)</t>
  </si>
  <si>
    <t>Concentration inactivated virus suspension  (PS 900)</t>
  </si>
  <si>
    <t>Diphteria Cultivation Working Seed  (PS 100)</t>
  </si>
  <si>
    <t>Diphteria Fraction 2 (PS 600)</t>
  </si>
  <si>
    <t xml:space="preserve">Diphteria Pre-Culture </t>
  </si>
  <si>
    <t>Diphteria Rawtoxin (PS 800)</t>
  </si>
  <si>
    <t>Diphteria Working Seed  (PS 200)</t>
  </si>
  <si>
    <t>Escherichia coli Working Seed</t>
  </si>
  <si>
    <t>homogenized Cell suspension</t>
  </si>
  <si>
    <t>Main Culture Diphteria   (PS 700)</t>
  </si>
  <si>
    <t>Main Culture Pertussis (PS 400)</t>
  </si>
  <si>
    <t>Main Culture Tetanus (PS500)</t>
  </si>
  <si>
    <t>Men A - CRM Bulk concentrate</t>
  </si>
  <si>
    <t>Men C - CRM Bulk concentrate</t>
  </si>
  <si>
    <t>Pertussis Inoculation (PS 100)</t>
  </si>
  <si>
    <t>Resuspension Pertussis (PS 600)</t>
  </si>
  <si>
    <t>sterile skim cow milk</t>
  </si>
  <si>
    <t>Tetanus Cultivation Working Seed  (PS 100)</t>
  </si>
  <si>
    <t>Tetanus Rohtoxid (PS 900)</t>
  </si>
  <si>
    <t>Tetanus Rohtoxid Fraction</t>
  </si>
  <si>
    <t>Tetanus Rohtoxin  (PS 700)</t>
  </si>
  <si>
    <t>Tetanus Sediment</t>
  </si>
  <si>
    <t>Tetanus Working Seed  (PS 200)</t>
  </si>
  <si>
    <t>10034-96-5</t>
  </si>
  <si>
    <t>10043-35-3</t>
  </si>
  <si>
    <t>10049-21-5</t>
  </si>
  <si>
    <t>10102-40-6</t>
  </si>
  <si>
    <t xml:space="preserve">10421-48-4 </t>
  </si>
  <si>
    <t>1077-28-7</t>
  </si>
  <si>
    <t>112-63-0</t>
  </si>
  <si>
    <t>2-Propenoic acid, ethyl ester, polymer with ethenyl acetate and 2,5 furandione, hydrolyzed</t>
  </si>
  <si>
    <t>113221-69-5</t>
  </si>
  <si>
    <t>Guanosine</t>
  </si>
  <si>
    <t>118-00-3</t>
  </si>
  <si>
    <t>1185-57-5</t>
  </si>
  <si>
    <t>1312-76-1</t>
  </si>
  <si>
    <t>1397-89-3</t>
  </si>
  <si>
    <t>146897-68-9</t>
  </si>
  <si>
    <t>164462-16-2</t>
  </si>
  <si>
    <t>16887-00-6</t>
  </si>
  <si>
    <t>25155-30-0</t>
  </si>
  <si>
    <t>25389-94-0</t>
  </si>
  <si>
    <t>264888-19-9</t>
  </si>
  <si>
    <t>34487-61-1</t>
  </si>
  <si>
    <t>52-90-4</t>
  </si>
  <si>
    <t>533-67-5</t>
  </si>
  <si>
    <t>53-84-9</t>
  </si>
  <si>
    <t>57-13-6</t>
  </si>
  <si>
    <t>57-57-8</t>
  </si>
  <si>
    <t>57-62-5</t>
  </si>
  <si>
    <t xml:space="preserve">Adenosine </t>
  </si>
  <si>
    <t>58-61-7</t>
  </si>
  <si>
    <t>58-96-8</t>
  </si>
  <si>
    <t>5949-29-1</t>
  </si>
  <si>
    <t>60-00-4</t>
  </si>
  <si>
    <t>6106-04-3</t>
  </si>
  <si>
    <t>Oxalic acid</t>
  </si>
  <si>
    <t>6153-56-6</t>
  </si>
  <si>
    <t>635-39-2</t>
  </si>
  <si>
    <t>64013-70-3</t>
  </si>
  <si>
    <t>Casamino acids (hydrolysate of casein)</t>
  </si>
  <si>
    <t>65072-00-6</t>
  </si>
  <si>
    <t xml:space="preserve">657-27-2 </t>
  </si>
  <si>
    <t>68-04-2</t>
  </si>
  <si>
    <t xml:space="preserve">68-11-1 </t>
  </si>
  <si>
    <t>Corn Starch</t>
  </si>
  <si>
    <t>68412-29-3</t>
  </si>
  <si>
    <t>Hypoxanthine</t>
  </si>
  <si>
    <t>68-94-0</t>
  </si>
  <si>
    <t>Meat extracts</t>
  </si>
  <si>
    <t>68990-09-0</t>
  </si>
  <si>
    <t>69-89-6</t>
  </si>
  <si>
    <t>Human Serum Albumin</t>
  </si>
  <si>
    <t>70024-90-7</t>
  </si>
  <si>
    <t>7048-04-6</t>
  </si>
  <si>
    <t>7320-34-5</t>
  </si>
  <si>
    <t>7440-09-7</t>
  </si>
  <si>
    <t>7440-23-5</t>
  </si>
  <si>
    <t>7440-70-2</t>
  </si>
  <si>
    <t>7558-80-7</t>
  </si>
  <si>
    <t>7664-93-9</t>
  </si>
  <si>
    <t>7757-79-1</t>
  </si>
  <si>
    <t>7772-98-7</t>
  </si>
  <si>
    <t>7778-53-2</t>
  </si>
  <si>
    <t>7778-80-5</t>
  </si>
  <si>
    <t>7783-28-0</t>
  </si>
  <si>
    <t xml:space="preserve">Aluminium chloride hexahydrate </t>
  </si>
  <si>
    <t>7784-13-6</t>
  </si>
  <si>
    <t>7784-31-8</t>
  </si>
  <si>
    <t>Parafin</t>
  </si>
  <si>
    <t>8009-03-8</t>
  </si>
  <si>
    <t>Beef pancreatin</t>
  </si>
  <si>
    <t xml:space="preserve">8049-47-6 </t>
  </si>
  <si>
    <t xml:space="preserve">9000-71-9 </t>
  </si>
  <si>
    <t>Haemoglobin</t>
  </si>
  <si>
    <t>9008-02-0</t>
  </si>
  <si>
    <t>Protease alkaline</t>
  </si>
  <si>
    <t>9014-01-1</t>
  </si>
  <si>
    <t xml:space="preserve">Polygeline </t>
  </si>
  <si>
    <t>9015-56-9</t>
  </si>
  <si>
    <t>9015-73-0</t>
  </si>
  <si>
    <t>91079-40-2</t>
  </si>
  <si>
    <t>93841-74-8</t>
  </si>
  <si>
    <t>Silicone (fluid 360) Dimethicone 350</t>
  </si>
  <si>
    <t xml:space="preserve">94363-18-5 / 9006-65-9 </t>
  </si>
  <si>
    <t>Skim cow milk powder</t>
  </si>
  <si>
    <t>999999-99-4</t>
  </si>
  <si>
    <t>Antigen 287-953 (rP 287-953)</t>
  </si>
  <si>
    <t>Antigen 936-741 (rP 936-741)</t>
  </si>
  <si>
    <t>Antigen 961c (rP 961c)</t>
  </si>
  <si>
    <t>Beef Heart Infusion</t>
  </si>
  <si>
    <t>Corynebacterium diphteria</t>
  </si>
  <si>
    <t>Escherichia coli</t>
  </si>
  <si>
    <t>Horse Blood</t>
  </si>
  <si>
    <t>Horse meat extract</t>
  </si>
  <si>
    <t>Horse Serum</t>
  </si>
  <si>
    <t>Men C - CRM conjugate</t>
  </si>
  <si>
    <t>Pancreas extract from casein / pancreatin</t>
  </si>
  <si>
    <t>Pig serum</t>
  </si>
  <si>
    <t>Potato infusion</t>
  </si>
  <si>
    <t>Seed Virus Rabies</t>
  </si>
  <si>
    <t>Seed Virus TBE</t>
  </si>
  <si>
    <t>Sheep blood defibrinated</t>
  </si>
  <si>
    <t>Tetanus Master Seed</t>
  </si>
  <si>
    <t>Tetanus-Toxoid</t>
  </si>
  <si>
    <t xml:space="preserve">Ethylenediaminetetraacetic acid (EDTA) </t>
  </si>
  <si>
    <t>85536-14-7 or 121-65-3 or 27176-87-0</t>
  </si>
  <si>
    <t xml:space="preserve">Ferric citrate / Iron citrate </t>
  </si>
  <si>
    <t xml:space="preserve">3522-50-7 </t>
  </si>
  <si>
    <t xml:space="preserve"> 63148-62-9</t>
  </si>
  <si>
    <t xml:space="preserve">Sodium cyanoborohydride </t>
  </si>
  <si>
    <t>25895-60-7</t>
  </si>
  <si>
    <t xml:space="preserve">Maltose </t>
  </si>
  <si>
    <t>69-79-4</t>
  </si>
  <si>
    <t xml:space="preserve">Tetrabutyl-ammonium bromide </t>
  </si>
  <si>
    <t>1643-19-2</t>
  </si>
  <si>
    <t xml:space="preserve">SIDEA (Adipic acid bis-(N-hydroxysuccinimide) ester) </t>
  </si>
  <si>
    <t>59156-70-6</t>
  </si>
  <si>
    <t>Urea</t>
  </si>
  <si>
    <t>L-Cysteine hydrochloride monohydrate</t>
  </si>
  <si>
    <t>Sephadex DEAE - A50</t>
  </si>
  <si>
    <t>39455-31-7</t>
  </si>
  <si>
    <t>Sodium dihydrogen phosphate monohydrate</t>
  </si>
  <si>
    <t xml:space="preserve">Cetrimonium bromide (CTAB) </t>
  </si>
  <si>
    <t xml:space="preserve">57-09-0 </t>
  </si>
  <si>
    <t>Nicotinamide-adenine dinucleotide (NAD)</t>
  </si>
  <si>
    <t xml:space="preserve">Potassium sulfate </t>
  </si>
  <si>
    <t xml:space="preserve">Diméthylsulfoxyde (DMSO) </t>
  </si>
  <si>
    <t>67-68-5</t>
  </si>
  <si>
    <t xml:space="preserve">Sodium citrate </t>
  </si>
  <si>
    <t>64-18-6</t>
  </si>
  <si>
    <t>Nitric acid</t>
  </si>
  <si>
    <t>7697-37-2</t>
  </si>
  <si>
    <t>8001-54-5 or 68391-01-5</t>
  </si>
  <si>
    <t>Benzyl alcohol</t>
  </si>
  <si>
    <t xml:space="preserve">Kanamycin acid sulfate </t>
  </si>
  <si>
    <t>N-hydroxysuccinimide</t>
  </si>
  <si>
    <t>6066-82-6</t>
  </si>
  <si>
    <t>Dipotassium hydrogen phosphate trihydrate</t>
  </si>
  <si>
    <t>16788-57-1</t>
  </si>
  <si>
    <t>Isopropyl-β-d-thiogalactopyranoside (IPTG)</t>
  </si>
  <si>
    <t xml:space="preserve">Thiamine Diphosphate (cocarboxylase) </t>
  </si>
  <si>
    <t xml:space="preserve">154-87-0 </t>
  </si>
  <si>
    <t xml:space="preserve">Ferric nitrate anhydrous </t>
  </si>
  <si>
    <t xml:space="preserve">Guanine HCL </t>
  </si>
  <si>
    <t>Starch</t>
  </si>
  <si>
    <t>9005-84-9</t>
  </si>
  <si>
    <t>61791-14-8</t>
  </si>
  <si>
    <t>Triethanolamine</t>
  </si>
  <si>
    <t>102-71-6</t>
  </si>
  <si>
    <t xml:space="preserve">Sodium dihydrogen phosphate anhydrous </t>
  </si>
  <si>
    <t xml:space="preserve">Sodium octanoate </t>
  </si>
  <si>
    <t>1984-06-1</t>
  </si>
  <si>
    <t>Phenoxyethanol (2PE )</t>
  </si>
  <si>
    <t>122-99-6</t>
  </si>
  <si>
    <t xml:space="preserve">EDAC*HCl (1-(3-Dimethylaminopropyl)-3-ethylcarbodiimide hydrochloride) </t>
  </si>
  <si>
    <t>25952-53-8</t>
  </si>
  <si>
    <t>Sephacryl HR 500</t>
  </si>
  <si>
    <t>84593-65-7</t>
  </si>
  <si>
    <t>75-05-8</t>
  </si>
  <si>
    <t xml:space="preserve">CDAP </t>
  </si>
  <si>
    <t>59016-56-7</t>
  </si>
  <si>
    <t xml:space="preserve">Cyanogen bromide </t>
  </si>
  <si>
    <t xml:space="preserve">506-68-3 </t>
  </si>
  <si>
    <t>Thioglycolic acid</t>
  </si>
  <si>
    <t>Boric acid</t>
  </si>
  <si>
    <t>Kanamycin sulfate A</t>
  </si>
  <si>
    <t xml:space="preserve">Sodium azide </t>
  </si>
  <si>
    <t xml:space="preserve">26628-22-8 </t>
  </si>
  <si>
    <t xml:space="preserve">Manganese sulfate monohydrate </t>
  </si>
  <si>
    <t xml:space="preserve">Sodium molybdate dihydrate </t>
  </si>
  <si>
    <t xml:space="preserve">SAG - 471 antifoam </t>
  </si>
  <si>
    <t>63148-53-8</t>
  </si>
  <si>
    <t xml:space="preserve">Celite 545 ES High pH </t>
  </si>
  <si>
    <t>14464-46-1</t>
  </si>
  <si>
    <t>108-10-1</t>
  </si>
  <si>
    <t>Citric acid monohydrate</t>
  </si>
  <si>
    <t>Propanol (propyl alcohol)</t>
  </si>
  <si>
    <t>71-23-8</t>
  </si>
  <si>
    <t>Celite 512</t>
  </si>
  <si>
    <t xml:space="preserve">91053-39-3 (calcined) </t>
  </si>
  <si>
    <t xml:space="preserve">Methyl Ethyl Ketone </t>
  </si>
  <si>
    <t>78-93-3</t>
  </si>
  <si>
    <t>L(+)-Asparagine monohydrate</t>
  </si>
  <si>
    <t xml:space="preserve"> 5794-13-8 </t>
  </si>
  <si>
    <t xml:space="preserve">Sodium triphosphate </t>
  </si>
  <si>
    <t>7758-29-4</t>
  </si>
  <si>
    <t xml:space="preserve">Polyacrylic acid (carbomer 950) </t>
  </si>
  <si>
    <t>9003-01-4</t>
  </si>
  <si>
    <t xml:space="preserve">sodium gluconate </t>
  </si>
  <si>
    <t>527-07-1</t>
  </si>
  <si>
    <t>Sodium sulfate</t>
  </si>
  <si>
    <t>7757-82-6</t>
  </si>
  <si>
    <t>X</t>
  </si>
  <si>
    <t>Polyethylene glycol 400</t>
  </si>
  <si>
    <t>25322-68-3</t>
  </si>
  <si>
    <t>Putrescine dihydrochloride</t>
  </si>
  <si>
    <t xml:space="preserve">Phenylmethanesulfonyl fluoride (PMSF) </t>
  </si>
  <si>
    <t>329-98-6</t>
  </si>
  <si>
    <t>Avidin</t>
  </si>
  <si>
    <t>1405-69-2</t>
  </si>
  <si>
    <t xml:space="preserve">Oleic acid </t>
  </si>
  <si>
    <t xml:space="preserve">112-80-1 </t>
  </si>
  <si>
    <t xml:space="preserve">Squalene </t>
  </si>
  <si>
    <t xml:space="preserve">111-02-4 </t>
  </si>
  <si>
    <t xml:space="preserve">Cesium Chloride </t>
  </si>
  <si>
    <t>7647-17-8</t>
  </si>
  <si>
    <t xml:space="preserve">Cupric chloride dihydrate </t>
  </si>
  <si>
    <t xml:space="preserve">10125-13-0 </t>
  </si>
  <si>
    <t xml:space="preserve">Manganese sulfate anhydrous </t>
  </si>
  <si>
    <t>7785-87-7</t>
  </si>
  <si>
    <t xml:space="preserve">Potassium iodide </t>
  </si>
  <si>
    <t>7681-11-0</t>
  </si>
  <si>
    <t xml:space="preserve">Potassium nitrate </t>
  </si>
  <si>
    <t xml:space="preserve">Ammonium molybdate tetrahydrate </t>
  </si>
  <si>
    <t>12054-85-2</t>
  </si>
  <si>
    <t xml:space="preserve">Sodium selenite </t>
  </si>
  <si>
    <t xml:space="preserve">10102-18-8 </t>
  </si>
  <si>
    <t xml:space="preserve">Zinc chloride </t>
  </si>
  <si>
    <t>7646-85-7</t>
  </si>
  <si>
    <t xml:space="preserve">151-21-3 </t>
  </si>
  <si>
    <t>mixed C8Amphocarboxylates</t>
  </si>
  <si>
    <t>68610-44-6</t>
  </si>
  <si>
    <t xml:space="preserve">Limonène </t>
  </si>
  <si>
    <t xml:space="preserve">Potassium ferricyanide / Red prussiate </t>
  </si>
  <si>
    <t>13746-66-2</t>
  </si>
  <si>
    <t>Mineral Oil</t>
  </si>
  <si>
    <t>8042-47-5</t>
  </si>
  <si>
    <t xml:space="preserve">Sodium Phosphonobutane tricarboxylate </t>
  </si>
  <si>
    <t>40372-66-5 realted to 37971-36-1</t>
  </si>
  <si>
    <t xml:space="preserve">Benzalkonium chloride </t>
  </si>
  <si>
    <t xml:space="preserve">Amphotericine B </t>
  </si>
  <si>
    <t xml:space="preserve">Cocobetainamido amphopropionate (Quaternary ammonium) </t>
  </si>
  <si>
    <t>100085-64-1</t>
  </si>
  <si>
    <t xml:space="preserve">Ethylendioxydimethanol </t>
  </si>
  <si>
    <t xml:space="preserve">Didecyldimethylammoniumchloride </t>
  </si>
  <si>
    <t>7173-51-5</t>
  </si>
  <si>
    <t xml:space="preserve">2-Butoxyethanol </t>
  </si>
  <si>
    <t>111-76-2</t>
  </si>
  <si>
    <t xml:space="preserve">Terpinolene </t>
  </si>
  <si>
    <t>586-62-9</t>
  </si>
  <si>
    <t xml:space="preserve">Acrylic acid </t>
  </si>
  <si>
    <t xml:space="preserve">Hexasodium tetrahydrogen </t>
  </si>
  <si>
    <t xml:space="preserve">Sodium benzenesulfonate </t>
  </si>
  <si>
    <t>515-42-4</t>
  </si>
  <si>
    <t>Fatty acid diethanolamine</t>
  </si>
  <si>
    <t>61791-31-9</t>
  </si>
  <si>
    <t>Liquefied petroleum gas (L.P.G.)</t>
  </si>
  <si>
    <t>68476-85-7</t>
  </si>
  <si>
    <t>62758-13-8</t>
  </si>
  <si>
    <t xml:space="preserve">Sodium-L-Glutamat-Monohydrate </t>
  </si>
  <si>
    <t xml:space="preserve">Chlortetracycline hydrochloride </t>
  </si>
  <si>
    <t xml:space="preserve">Phenol red sodium salt </t>
  </si>
  <si>
    <t xml:space="preserve">Methylchloroisothiozolinone </t>
  </si>
  <si>
    <t>1,3-bis(hydroxymethyl)urea</t>
  </si>
  <si>
    <t xml:space="preserve">DEAE - Dextran </t>
  </si>
  <si>
    <t xml:space="preserve">Bacitracin </t>
  </si>
  <si>
    <t>Beta propiolactone</t>
  </si>
  <si>
    <t>Petroleum</t>
  </si>
  <si>
    <t>Aluminium sulfate octadecahydrate</t>
  </si>
  <si>
    <t>Sulfuric acid</t>
  </si>
  <si>
    <t>Xanthine sodium salt</t>
  </si>
  <si>
    <t>L-Cysteine</t>
  </si>
  <si>
    <t xml:space="preserve">GEL Toyopearl DEAE 650 M </t>
  </si>
  <si>
    <t>SP-sepharose Fast Flow</t>
  </si>
  <si>
    <t xml:space="preserve">Methyl linoleate </t>
  </si>
  <si>
    <t xml:space="preserve">Ammonium ferrous sulfate anhydrous </t>
  </si>
  <si>
    <t>10045-89-3</t>
  </si>
  <si>
    <t xml:space="preserve">Potassium glutamate  </t>
  </si>
  <si>
    <t xml:space="preserve">Sodium acetate (NaOAc) </t>
  </si>
  <si>
    <t xml:space="preserve">Trisodium phosphate dodecahydrate  </t>
  </si>
  <si>
    <t>10101-89-0</t>
  </si>
  <si>
    <t xml:space="preserve">Polydimethylsiloxane </t>
  </si>
  <si>
    <t xml:space="preserve">N-LAUROYLSARCOSINE SODIUM SALT (Sarcosyl) </t>
  </si>
  <si>
    <t>137-16-6</t>
  </si>
  <si>
    <t>59-02-9</t>
  </si>
  <si>
    <t xml:space="preserve">Vitamin A acetate </t>
  </si>
  <si>
    <t xml:space="preserve">Sodium alkylbenzene sulfonate </t>
  </si>
  <si>
    <t>68411-30-3</t>
  </si>
  <si>
    <t xml:space="preserve">Isotridecanol ethoxylate </t>
  </si>
  <si>
    <t>69011-36-5</t>
  </si>
  <si>
    <t>68439-50-9</t>
  </si>
  <si>
    <t xml:space="preserve">Poly(ethylene gylcol) monooctyl ether </t>
  </si>
  <si>
    <t>27252-75-1</t>
  </si>
  <si>
    <t>Sodium cumenesulfonate (Benzenesulfonic acid, (1-methylethyl)-, sodium salt)</t>
  </si>
  <si>
    <t>28348-53-0</t>
  </si>
  <si>
    <t>Alkylethersulfat</t>
  </si>
  <si>
    <t>68891-38-3</t>
  </si>
  <si>
    <t xml:space="preserve">Tetrapotassium pyrophosphate </t>
  </si>
  <si>
    <t>Alanine, N,N-bis(carboxymethyl)-,trisodium salt</t>
  </si>
  <si>
    <t xml:space="preserve">Dodecylbenzenesodium sulfonate </t>
  </si>
  <si>
    <t xml:space="preserve">Sodium laureth sulfate </t>
  </si>
  <si>
    <t>9004-82-4</t>
  </si>
  <si>
    <t>Ferric ammonium citrate</t>
  </si>
  <si>
    <t>Potassium silicate</t>
  </si>
  <si>
    <t xml:space="preserve">Phosphate </t>
  </si>
  <si>
    <t>Parrafin oils sulfochlorinated saponified</t>
  </si>
  <si>
    <t>ion Chloride</t>
  </si>
  <si>
    <t xml:space="preserve">Lactoferrin </t>
  </si>
  <si>
    <t xml:space="preserve">Sodium thiosulfate </t>
  </si>
  <si>
    <t xml:space="preserve">Sodium </t>
  </si>
  <si>
    <t xml:space="preserve">Potassium </t>
  </si>
  <si>
    <t>ion Calcium</t>
  </si>
  <si>
    <t xml:space="preserve">Sephacryl S300-HR </t>
  </si>
  <si>
    <t>82785-74-8</t>
  </si>
  <si>
    <t>Fractogel TMAE650</t>
  </si>
  <si>
    <t xml:space="preserve">Xanthine </t>
  </si>
  <si>
    <t xml:space="preserve">Cytidine </t>
  </si>
  <si>
    <t xml:space="preserve">Uridine </t>
  </si>
  <si>
    <t>75-21-8</t>
  </si>
  <si>
    <t>1569-01-3</t>
  </si>
  <si>
    <t>61791-10-4</t>
  </si>
  <si>
    <t>6138-23-4/99-20-7</t>
  </si>
  <si>
    <t>N-(3-aminopropyl)-N-dodecylpropane-1,3-diamine</t>
  </si>
  <si>
    <t>2372-82-9</t>
  </si>
  <si>
    <t>Soybean oil</t>
  </si>
  <si>
    <t>8001-22-7</t>
  </si>
  <si>
    <t>Sodium sulfite</t>
  </si>
  <si>
    <t>7757-83-7</t>
  </si>
  <si>
    <t>Potassium tetrathionate</t>
  </si>
  <si>
    <t>13932-13-3</t>
  </si>
  <si>
    <t>1,4-dithiothreitol</t>
  </si>
  <si>
    <t>3483-12-3</t>
  </si>
  <si>
    <t>ammonium bicarbonate</t>
  </si>
  <si>
    <t>1066-33-7</t>
  </si>
  <si>
    <t>Sodium polymetaphosphate</t>
  </si>
  <si>
    <t>68915-31-1</t>
  </si>
  <si>
    <t>Selenious acid</t>
  </si>
  <si>
    <t>7783-00-8</t>
  </si>
  <si>
    <t>Thioacetamide</t>
  </si>
  <si>
    <t>62-55-5</t>
  </si>
  <si>
    <t xml:space="preserve">55-06-1 </t>
  </si>
  <si>
    <t>Triiodo L-thyronine sodium Liothyronine</t>
  </si>
  <si>
    <t>Nalidixic Acid</t>
  </si>
  <si>
    <t>389-08-2</t>
  </si>
  <si>
    <t xml:space="preserve">Diphenylamine </t>
  </si>
  <si>
    <t>122-39-4</t>
  </si>
  <si>
    <t xml:space="preserve">1,4-Benzoquinone </t>
  </si>
  <si>
    <t>106-51-4</t>
  </si>
  <si>
    <t xml:space="preserve">Methylene blue </t>
  </si>
  <si>
    <t xml:space="preserve">61-73-4 </t>
  </si>
  <si>
    <t xml:space="preserve">Methylorange </t>
  </si>
  <si>
    <t>547-58-0</t>
  </si>
  <si>
    <t xml:space="preserve">Lead nitrate </t>
  </si>
  <si>
    <t>10099-74-8</t>
  </si>
  <si>
    <t xml:space="preserve">Potassium permanganate (98 %) </t>
  </si>
  <si>
    <t>7722-64-7</t>
  </si>
  <si>
    <t xml:space="preserve">Silver nitrate </t>
  </si>
  <si>
    <t>7761-88-8</t>
  </si>
  <si>
    <t xml:space="preserve">Sodium fluoride </t>
  </si>
  <si>
    <t xml:space="preserve">7681-49-4 </t>
  </si>
  <si>
    <t xml:space="preserve">Stannous chloride dihydrate </t>
  </si>
  <si>
    <t>10025-69-1</t>
  </si>
  <si>
    <t xml:space="preserve">n-hexane </t>
  </si>
  <si>
    <t>110-54-3</t>
  </si>
  <si>
    <t>A-ß-Peptid 1-6</t>
  </si>
  <si>
    <t>Calcium acetate monohydrate</t>
  </si>
  <si>
    <t xml:space="preserve">114460-21-8 </t>
  </si>
  <si>
    <t xml:space="preserve">10101-41-4 </t>
  </si>
  <si>
    <t>Cobalt(II)sulfate heptahydrate</t>
  </si>
  <si>
    <t xml:space="preserve">10026-24-1 </t>
  </si>
  <si>
    <t>Geneticin sulfate</t>
  </si>
  <si>
    <t xml:space="preserve">108321-42-2 </t>
  </si>
  <si>
    <t>Homoserine lactone</t>
  </si>
  <si>
    <t xml:space="preserve">76924-95-3 </t>
  </si>
  <si>
    <t>Polyethylenimine</t>
  </si>
  <si>
    <t xml:space="preserve">9002-98-6 </t>
  </si>
  <si>
    <t>Potassium acetate</t>
  </si>
  <si>
    <t xml:space="preserve">127-08-2 </t>
  </si>
  <si>
    <t>SMPH (Succinimidyl-6[(ß- maleimidoprionamido) hexanoate])</t>
  </si>
  <si>
    <t xml:space="preserve"> 367927-39-7 </t>
  </si>
  <si>
    <t>Tris(hydroxymethyl) aminomethane hydrochloride</t>
  </si>
  <si>
    <t xml:space="preserve"> 1185-53-1</t>
  </si>
  <si>
    <t xml:space="preserve"> 8013-01-2 </t>
  </si>
  <si>
    <t>9003-39-8</t>
  </si>
  <si>
    <t>docusate sodium</t>
  </si>
  <si>
    <t>577-11-7</t>
  </si>
  <si>
    <t>2-pyrrolidinone 1, ethenyl homopolymer 30  /homopolymer CL / homopolymer VA64</t>
  </si>
  <si>
    <t>TRD</t>
  </si>
  <si>
    <t>Adenovirus ChAd3EBOV</t>
  </si>
  <si>
    <t>Antigen 69K</t>
  </si>
  <si>
    <t>Antigen CRM-Men C</t>
  </si>
  <si>
    <t>Antigen D</t>
  </si>
  <si>
    <t>Antigen T</t>
  </si>
  <si>
    <t>APSTT conjugate</t>
  </si>
  <si>
    <t>B/split strain 1 / B1 strain</t>
  </si>
  <si>
    <t>B/split strain 2 / B2 strain</t>
  </si>
  <si>
    <t>Biomasse E.coli</t>
  </si>
  <si>
    <t>Bordetella Pertussis</t>
  </si>
  <si>
    <t>Calf Serum</t>
  </si>
  <si>
    <t>Casein</t>
  </si>
  <si>
    <t>CHO Cells</t>
  </si>
  <si>
    <t>CRM - Hib</t>
  </si>
  <si>
    <t>CRM - Men A</t>
  </si>
  <si>
    <t>CRM - Men C</t>
  </si>
  <si>
    <t xml:space="preserve">CRM - Men W </t>
  </si>
  <si>
    <t>CRM - Men W135</t>
  </si>
  <si>
    <t>CRM - Men Y</t>
  </si>
  <si>
    <t xml:space="preserve">CRM 197  </t>
  </si>
  <si>
    <t>CRM 197 purified protein</t>
  </si>
  <si>
    <t>D protein</t>
  </si>
  <si>
    <t>Diafiltrat MAGE 3</t>
  </si>
  <si>
    <t>Diphtheria Toxin detoxified</t>
  </si>
  <si>
    <t>diphtheria toxoid</t>
  </si>
  <si>
    <t>D-Toxoid</t>
  </si>
  <si>
    <t>Ficin</t>
  </si>
  <si>
    <t xml:space="preserve">gE Antigen </t>
  </si>
  <si>
    <t>H5N1</t>
  </si>
  <si>
    <t xml:space="preserve">Haemophilus influenzae strain </t>
  </si>
  <si>
    <t>HBc protein</t>
  </si>
  <si>
    <t>HBs antigen</t>
  </si>
  <si>
    <t>HEK 293 Cells</t>
  </si>
  <si>
    <t xml:space="preserve">Hematin </t>
  </si>
  <si>
    <t xml:space="preserve">Hemin </t>
  </si>
  <si>
    <t>HIB polysaccharide  (PSAH) / (PSTT)</t>
  </si>
  <si>
    <t>High Five Cells</t>
  </si>
  <si>
    <t>HZ Su protein gE</t>
  </si>
  <si>
    <t>IPV type 1</t>
  </si>
  <si>
    <t>IPV type 2</t>
  </si>
  <si>
    <t>IPV type 3</t>
  </si>
  <si>
    <t>Live attenuated measles virus (schwarz strain)</t>
  </si>
  <si>
    <t>Live attenuated mumps virus (RIT4385 strain)</t>
  </si>
  <si>
    <t>Live attenuated rubella virus (Wistar RA 27/3)</t>
  </si>
  <si>
    <t>Men A polysaccharide purified</t>
  </si>
  <si>
    <t>Men C polysaccharide purified</t>
  </si>
  <si>
    <t>Men W polysaccharide purified</t>
  </si>
  <si>
    <t>Men Y polysaccharide purified</t>
  </si>
  <si>
    <t>Monovalent split-virion drug substance, A/H1N1</t>
  </si>
  <si>
    <t>Monovalent split-virion drug substance, A/H3N2</t>
  </si>
  <si>
    <t>Monovalent split-virion drug substance, A/H7N1</t>
  </si>
  <si>
    <t>Monovalent split-virion drug substance, A/H7N3</t>
  </si>
  <si>
    <t>Monovalent split-virion drug substance, A/H7N9</t>
  </si>
  <si>
    <t>Monovalent split-virion drug substance, A/H9N2</t>
  </si>
  <si>
    <t>Monovalent split-virion drug substance, B strain</t>
  </si>
  <si>
    <t>Mosquirix antigen</t>
  </si>
  <si>
    <t>MRC5 Cells</t>
  </si>
  <si>
    <t>mRNA</t>
  </si>
  <si>
    <t>Neisseria Meningitidis strain serotype A</t>
  </si>
  <si>
    <t>Neisseria Meningitidis strain serotype C</t>
  </si>
  <si>
    <t>Neisseria Meningitidis strain serotype W</t>
  </si>
  <si>
    <t>Neisseria Meningitidis strain serotype Y</t>
  </si>
  <si>
    <t>New Men A polysaccharide</t>
  </si>
  <si>
    <t>New Men C polysaccharide</t>
  </si>
  <si>
    <t>New Men W polysaccharide</t>
  </si>
  <si>
    <t>New Men Y polysaccharide</t>
  </si>
  <si>
    <t>Oligo Activated Hib</t>
  </si>
  <si>
    <t>Oligo Activated Men A</t>
  </si>
  <si>
    <t>Oligo Activated Men C</t>
  </si>
  <si>
    <t>Oligo Activated Men W</t>
  </si>
  <si>
    <t>Oligo Activated Men Y</t>
  </si>
  <si>
    <t>OMV NZ</t>
  </si>
  <si>
    <t>PS Hib-TT  conjugate</t>
  </si>
  <si>
    <t>PS MENC-TT (ANMC)   conjugate</t>
  </si>
  <si>
    <t>PS MENY-TT (ANMY)  conjugate</t>
  </si>
  <si>
    <t>PS14-PD  conjugate</t>
  </si>
  <si>
    <t>PS18C-TTAH   conjugate</t>
  </si>
  <si>
    <t>PS19F-DT  conjugate</t>
  </si>
  <si>
    <t>PS1-PD  conjugate</t>
  </si>
  <si>
    <t>PS23F-PD  conjugate</t>
  </si>
  <si>
    <t>PS4-PD  conjugate</t>
  </si>
  <si>
    <t>PS5-PD  conjugate</t>
  </si>
  <si>
    <t>PS6-PD  conjugate</t>
  </si>
  <si>
    <t>PS7F-PD  conjugate</t>
  </si>
  <si>
    <t>PS9V-PD  conjugate</t>
  </si>
  <si>
    <t>PSA-ah-TT   conjugate</t>
  </si>
  <si>
    <t>PSC-ah-TT   conjugate</t>
  </si>
  <si>
    <t>PSTT/AHIB   conjugate</t>
  </si>
  <si>
    <t>PSTT/AHIBAJ  conjugate</t>
  </si>
  <si>
    <t>PSW-TT (ANMW)   conjugate</t>
  </si>
  <si>
    <t>PSY-TT (ANMY)   conjugate</t>
  </si>
  <si>
    <t>PT  (APTOBA)   antigen</t>
  </si>
  <si>
    <t>PW antigen</t>
  </si>
  <si>
    <t>S. minnesota</t>
  </si>
  <si>
    <t>Soy peptone A3
Meat Peptone
Dimethyl (3,3-diethylbutyl)malonate
Tryptose
Hy soy</t>
  </si>
  <si>
    <t xml:space="preserve">Strepto 1 polysaccharide </t>
  </si>
  <si>
    <t>Strepto 14 polysaccharide</t>
  </si>
  <si>
    <t>Strepto 18C polysaccharide</t>
  </si>
  <si>
    <t>Strepto 19F polysaccharide</t>
  </si>
  <si>
    <t>Strepto 23F polysaccharide</t>
  </si>
  <si>
    <t>Strepto 4 polysaccharide</t>
  </si>
  <si>
    <t>Strepto 5 polysaccharide</t>
  </si>
  <si>
    <t>Strepto 6B polysaccharide</t>
  </si>
  <si>
    <t>Strepto 7F polysaccharide</t>
  </si>
  <si>
    <t>Strepto 9V polysaccharide</t>
  </si>
  <si>
    <t>Streptococcus pneumoniae strain serotype 1</t>
  </si>
  <si>
    <t>Streptococcus pneumoniae strain serotype 14</t>
  </si>
  <si>
    <t>Streptococcus pneumoniae strain serotype 18c</t>
  </si>
  <si>
    <t>Streptococcus pneumoniae strain serotype 19f</t>
  </si>
  <si>
    <t>Streptococcus pneumoniae strain serotype 23f</t>
  </si>
  <si>
    <t>Streptococcus pneumoniae strain serotype 4</t>
  </si>
  <si>
    <t>Streptococcus pneumoniae strain serotype 5</t>
  </si>
  <si>
    <t>Streptococcus pneumoniae strain serotype 6b</t>
  </si>
  <si>
    <t>Streptococcus pneumoniae strain serotype 7f</t>
  </si>
  <si>
    <t>Streptococcus pneumoniae strain serotype 9v</t>
  </si>
  <si>
    <t>TBE Antigen</t>
  </si>
  <si>
    <t>Tetanus Toxin detoxified</t>
  </si>
  <si>
    <t>tetanus toxoid</t>
  </si>
  <si>
    <t>T-Toxoid</t>
  </si>
  <si>
    <t>VERO Cells</t>
  </si>
  <si>
    <t>WT1</t>
  </si>
  <si>
    <t>B/Brisbane/60/2008-like strain</t>
  </si>
  <si>
    <t xml:space="preserve"> 9002-07-7 / 2594141</t>
  </si>
  <si>
    <t>Spectinomycin</t>
  </si>
  <si>
    <t xml:space="preserve"> 22189-32-8</t>
  </si>
  <si>
    <t>Tetracyclin</t>
  </si>
  <si>
    <t xml:space="preserve"> 64-75-5</t>
  </si>
  <si>
    <t>Chemical 
formula</t>
  </si>
  <si>
    <t>Chemical classification</t>
  </si>
  <si>
    <t>TOC</t>
  </si>
  <si>
    <t>S
index</t>
  </si>
  <si>
    <t>Solubility</t>
  </si>
  <si>
    <t>Origin</t>
  </si>
  <si>
    <t>Way of calculation</t>
  </si>
  <si>
    <t>Staged principle not applicable
[Reason]</t>
  </si>
  <si>
    <t>Final ARL</t>
  </si>
  <si>
    <t xml:space="preserve">For Equipment taking part of the Eqpmt Train </t>
  </si>
  <si>
    <r>
      <t>Ingredients w/o  
TOC /Al</t>
    </r>
    <r>
      <rPr>
        <b/>
        <vertAlign val="superscript"/>
        <sz val="16"/>
        <color theme="0"/>
        <rFont val="Calibri"/>
        <family val="2"/>
        <scheme val="minor"/>
      </rPr>
      <t>+++</t>
    </r>
  </si>
  <si>
    <t>Infant</t>
  </si>
  <si>
    <t>Adult</t>
  </si>
  <si>
    <t xml:space="preserve">ARL                      </t>
  </si>
  <si>
    <t>ARL TOC</t>
  </si>
  <si>
    <t>Surface  Criteria</t>
  </si>
  <si>
    <t>Rinse ARL</t>
  </si>
  <si>
    <t>Surface Criteria</t>
  </si>
  <si>
    <t>%</t>
  </si>
  <si>
    <t>[1-7]</t>
  </si>
  <si>
    <t>[mg/ml]</t>
  </si>
  <si>
    <t>[µg/day]</t>
  </si>
  <si>
    <t>NaOH</t>
  </si>
  <si>
    <t>Acid/base</t>
  </si>
  <si>
    <t xml:space="preserve">Process / Cleaning </t>
  </si>
  <si>
    <t>CLE-0000001850</t>
  </si>
  <si>
    <t>PDE (NOAEL)</t>
  </si>
  <si>
    <t>Al(OH)3</t>
  </si>
  <si>
    <t>Process</t>
  </si>
  <si>
    <t>CLE-0000000164</t>
  </si>
  <si>
    <t>MRL/UF</t>
  </si>
  <si>
    <t>KOH</t>
  </si>
  <si>
    <t>CLE-0000000334</t>
  </si>
  <si>
    <t>PDE (LD50/UF)</t>
  </si>
  <si>
    <t>C2H4O2S</t>
  </si>
  <si>
    <t>&gt; 1000</t>
  </si>
  <si>
    <t>CLE-0000000338</t>
  </si>
  <si>
    <t>H3BO3</t>
  </si>
  <si>
    <t>CLE-0000000342</t>
  </si>
  <si>
    <t>RfD/UF</t>
  </si>
  <si>
    <t>Alcohol</t>
  </si>
  <si>
    <t>CLE-0000000137</t>
  </si>
  <si>
    <t>Predefined PDE</t>
  </si>
  <si>
    <t>CLE-0000000191</t>
  </si>
  <si>
    <t>CLE-0000000806</t>
  </si>
  <si>
    <t>PQRI/PODP</t>
  </si>
  <si>
    <t>Moderate Sensitizer</t>
  </si>
  <si>
    <t>CLE-0000000350</t>
  </si>
  <si>
    <t>TTC</t>
  </si>
  <si>
    <t>C2nH4n+2On+1 (n=8,2 to 9,1)</t>
  </si>
  <si>
    <t>30 - 100</t>
  </si>
  <si>
    <t>CLE-0000000246</t>
  </si>
  <si>
    <t xml:space="preserve">Process </t>
  </si>
  <si>
    <t>CLE-0000000354</t>
  </si>
  <si>
    <t>CLE-0000000624</t>
  </si>
  <si>
    <t>Weak Sensitizer</t>
  </si>
  <si>
    <t>CLE-0000000139</t>
  </si>
  <si>
    <t>Aldehyde</t>
  </si>
  <si>
    <t>CLE-0000000800</t>
  </si>
  <si>
    <t>Sensitizer</t>
  </si>
  <si>
    <t>Process / Cleaning</t>
  </si>
  <si>
    <t>CLE-0000000628</t>
  </si>
  <si>
    <t>Strong  Sensitizer</t>
  </si>
  <si>
    <t>Alkaloid</t>
  </si>
  <si>
    <t>CLE-0000000358</t>
  </si>
  <si>
    <t>PDE (LOAEL)</t>
  </si>
  <si>
    <t>Amide</t>
  </si>
  <si>
    <t>Amine</t>
  </si>
  <si>
    <t>CLE-0000000644</t>
  </si>
  <si>
    <t>CLE-0000000648</t>
  </si>
  <si>
    <t>Predicted Sensitizer</t>
  </si>
  <si>
    <t>C256H381N65O77S6</t>
  </si>
  <si>
    <t>Amino acid</t>
  </si>
  <si>
    <t>CLE-0000000366</t>
  </si>
  <si>
    <t>USP unit</t>
  </si>
  <si>
    <t>Active Ingredient</t>
  </si>
  <si>
    <t>CLE-0000000652</t>
  </si>
  <si>
    <t>LOAEL</t>
  </si>
  <si>
    <t>Sensitizer (food allergy)</t>
  </si>
  <si>
    <t>CLE-0000000370</t>
  </si>
  <si>
    <t>C5H11NO2S</t>
  </si>
  <si>
    <t>CLE-0000000374</t>
  </si>
  <si>
    <t>C11H12N2O2</t>
  </si>
  <si>
    <t>CLE-0000000576</t>
  </si>
  <si>
    <t>C60H127N15O26S</t>
  </si>
  <si>
    <t>Antibiotic</t>
  </si>
  <si>
    <t>CLE-0000000290</t>
  </si>
  <si>
    <t>CLE-0000000286</t>
  </si>
  <si>
    <t>NaN3</t>
  </si>
  <si>
    <t>CLE-0000000234</t>
  </si>
  <si>
    <t>CLE-0000000141</t>
  </si>
  <si>
    <t>C23H48N6O17S</t>
  </si>
  <si>
    <t>CLE-0000000258</t>
  </si>
  <si>
    <t>ADI/UF</t>
  </si>
  <si>
    <t>Equivocal Sensitizer</t>
  </si>
  <si>
    <t>C56H100N16O17S</t>
  </si>
  <si>
    <t>CLE-0000000242</t>
  </si>
  <si>
    <t>PDE (NOEL)</t>
  </si>
  <si>
    <t>Benzene</t>
  </si>
  <si>
    <t>0,1 - 1</t>
  </si>
  <si>
    <t>CLE-0000000390</t>
  </si>
  <si>
    <t>Biological</t>
  </si>
  <si>
    <t>CLE-0000000394</t>
  </si>
  <si>
    <t>Carbodiimide</t>
  </si>
  <si>
    <t>CLE-0000000662</t>
  </si>
  <si>
    <t>CLE-0000000666</t>
  </si>
  <si>
    <t>Chelator</t>
  </si>
  <si>
    <t>CLE-0000000195</t>
  </si>
  <si>
    <t>Color indicator</t>
  </si>
  <si>
    <t>CLE-0000003478</t>
  </si>
  <si>
    <t>C34H24N6Na4O14S4</t>
  </si>
  <si>
    <t>CLE-0000000414</t>
  </si>
  <si>
    <t>CBrN</t>
  </si>
  <si>
    <t>Cyanide/Nitrile</t>
  </si>
  <si>
    <t>1-10</t>
  </si>
  <si>
    <t>CLE-0000000121</t>
  </si>
  <si>
    <t>Lipid</t>
  </si>
  <si>
    <t xml:space="preserve">&lt; 0,1 </t>
  </si>
  <si>
    <t>CLE-0000000298</t>
  </si>
  <si>
    <t>Inactive ingredient list</t>
  </si>
  <si>
    <t>CLE-0000000199</t>
  </si>
  <si>
    <t>C30H50</t>
  </si>
  <si>
    <t>CLE-0000000140</t>
  </si>
  <si>
    <t>CLE-0000000203</t>
  </si>
  <si>
    <t>Pyridine</t>
  </si>
  <si>
    <t>AlPO4</t>
  </si>
  <si>
    <t>Salt</t>
  </si>
  <si>
    <t>CLE-0000000314</t>
  </si>
  <si>
    <t>ClCs</t>
  </si>
  <si>
    <t>CLE-0000000871</t>
  </si>
  <si>
    <t>CoCl2.6H2O</t>
  </si>
  <si>
    <t>CLE-0000000694</t>
  </si>
  <si>
    <t>CuCl2.2H2O</t>
  </si>
  <si>
    <t>CLE-0000000506</t>
  </si>
  <si>
    <t>CLE-0000000446</t>
  </si>
  <si>
    <t>C6H5FeO7</t>
  </si>
  <si>
    <t>CLE-0000000450</t>
  </si>
  <si>
    <t>Fe(NO3)3</t>
  </si>
  <si>
    <t>100 - 1000</t>
  </si>
  <si>
    <t>CLE-0000000454</t>
  </si>
  <si>
    <t>Fe(NO3)3.9H2O</t>
  </si>
  <si>
    <t>CLE-0000000458</t>
  </si>
  <si>
    <t>MnCl2.4H2O</t>
  </si>
  <si>
    <t>CLE-0000000470</t>
  </si>
  <si>
    <t>MnSO4</t>
  </si>
  <si>
    <t>10-100</t>
  </si>
  <si>
    <t>CLE-0000000474</t>
  </si>
  <si>
    <t>MnSO4.H2O</t>
  </si>
  <si>
    <t>CLE-0000000478</t>
  </si>
  <si>
    <t>KI</t>
  </si>
  <si>
    <t>CLE-0000000706</t>
  </si>
  <si>
    <t>KNO3</t>
  </si>
  <si>
    <t>CLE-0000000482</t>
  </si>
  <si>
    <t>(NH4)6Mo7O24.4H2O</t>
  </si>
  <si>
    <t>CLE-0000000490</t>
  </si>
  <si>
    <t>BaCl2.2H2O</t>
  </si>
  <si>
    <t>CLE-0000000592</t>
  </si>
  <si>
    <t>FeCl3</t>
  </si>
  <si>
    <t>CLE-0000000714</t>
  </si>
  <si>
    <t>FeCl3.6H2O</t>
  </si>
  <si>
    <t>CLE-0000000294</t>
  </si>
  <si>
    <t>FeSO4.7H2O</t>
  </si>
  <si>
    <t>CLE-0000000596</t>
  </si>
  <si>
    <t>CLE-0000000518</t>
  </si>
  <si>
    <t>Na2MoO4.2H2O</t>
  </si>
  <si>
    <t>CLE-0000000522</t>
  </si>
  <si>
    <t>CLE-0000000730</t>
  </si>
  <si>
    <t>Na2SeO3</t>
  </si>
  <si>
    <t>CLE-0000005655</t>
  </si>
  <si>
    <t>RfD/UF + PQRI/PODP</t>
  </si>
  <si>
    <t>ZnCl2</t>
  </si>
  <si>
    <t>CLE-0000000530</t>
  </si>
  <si>
    <t>ZnSO4.7H2O</t>
  </si>
  <si>
    <t>CLE-0000000538</t>
  </si>
  <si>
    <t>(C6H18Si2O(C2H6SiO)n) (n=90 to 410)</t>
  </si>
  <si>
    <t>surfactant</t>
  </si>
  <si>
    <t>CLE-0000000551</t>
  </si>
  <si>
    <t>C33H34O2Si3</t>
  </si>
  <si>
    <t>CLE-0000000608</t>
  </si>
  <si>
    <t xml:space="preserve">SDS (sodium lauryl sulfate) </t>
  </si>
  <si>
    <t>C12H25NaO4S</t>
  </si>
  <si>
    <t>CLE-0000000738</t>
  </si>
  <si>
    <t>C24H39NaO4</t>
  </si>
  <si>
    <t>&gt; 333</t>
  </si>
  <si>
    <t>CLE-0000000556</t>
  </si>
  <si>
    <t>C33H54O5</t>
  </si>
  <si>
    <t>Vitamin</t>
  </si>
  <si>
    <t>CLE-0000000138</t>
  </si>
  <si>
    <t>C31H52O3</t>
  </si>
  <si>
    <t>CLE-0000000322</t>
  </si>
  <si>
    <t>CLE-0000000742</t>
  </si>
  <si>
    <t>UL/UF</t>
  </si>
  <si>
    <t>CLE-0000000564</t>
  </si>
  <si>
    <t>CLE-0000000568</t>
  </si>
  <si>
    <t>Sensitizer (photosensitizing)</t>
  </si>
  <si>
    <t>Ergocalciferol / Vitamin D2</t>
  </si>
  <si>
    <t>CLE-0000000310</t>
  </si>
  <si>
    <t>C29H49O5P•2Na</t>
  </si>
  <si>
    <t>CLE-0000000620</t>
  </si>
  <si>
    <t>CLE-0000003292</t>
  </si>
  <si>
    <t xml:space="preserve"> C12H26NNaO3</t>
  </si>
  <si>
    <t>Cleaning</t>
  </si>
  <si>
    <t>CLE-0000003377</t>
  </si>
  <si>
    <t>SiO2</t>
  </si>
  <si>
    <t>&lt; 0,1</t>
  </si>
  <si>
    <t>CLE-0000003284</t>
  </si>
  <si>
    <t>C10H16</t>
  </si>
  <si>
    <t>Terpene</t>
  </si>
  <si>
    <t xml:space="preserve">Cleaning </t>
  </si>
  <si>
    <t>CLE-0000003280</t>
  </si>
  <si>
    <t>Weak Sensitizer (oxidized form only)</t>
  </si>
  <si>
    <t>CLE-0000003337</t>
  </si>
  <si>
    <t>H2O2</t>
  </si>
  <si>
    <t>Peroxyde</t>
  </si>
  <si>
    <t>CLE-0000002852</t>
  </si>
  <si>
    <t>C2H4O3</t>
  </si>
  <si>
    <t>&gt;1000</t>
  </si>
  <si>
    <t>CLE-0000003341</t>
  </si>
  <si>
    <t>C11H16O</t>
  </si>
  <si>
    <t>CLE-0000003207 (read across nonyl phenol)</t>
  </si>
  <si>
    <t>C12H10O</t>
  </si>
  <si>
    <t>CLE-0000003171</t>
  </si>
  <si>
    <t>Solvant / Reagent</t>
  </si>
  <si>
    <t>&lt;0,1</t>
  </si>
  <si>
    <t>CLE-0000003227</t>
  </si>
  <si>
    <t>CLE-0000001735</t>
  </si>
  <si>
    <t>Sulfur compound / Surfactant</t>
  </si>
  <si>
    <t>C17H30ClN</t>
  </si>
  <si>
    <t xml:space="preserve">Quaternary Ammonium </t>
  </si>
  <si>
    <t>&gt; 10000</t>
  </si>
  <si>
    <t>CLE-0000001787</t>
  </si>
  <si>
    <t>CLE-0000003358</t>
  </si>
  <si>
    <t>CLE-0000003505</t>
  </si>
  <si>
    <t>Metallic compound</t>
  </si>
  <si>
    <t>CLE-0000003350</t>
  </si>
  <si>
    <t>C6H8N2O4</t>
  </si>
  <si>
    <t>CLE-0000002848</t>
  </si>
  <si>
    <t>Consensus Guidelines</t>
  </si>
  <si>
    <t>Soluble in water</t>
  </si>
  <si>
    <t>CLE-0000003380</t>
  </si>
  <si>
    <t>CLE-0000003223</t>
  </si>
  <si>
    <t>MTDI/UF</t>
  </si>
  <si>
    <t>C4H10O4</t>
  </si>
  <si>
    <t>CLE-0000003383</t>
  </si>
  <si>
    <r>
      <t>C</t>
    </r>
    <r>
      <rPr>
        <vertAlign val="subscript"/>
        <sz val="12"/>
        <color theme="1"/>
        <rFont val="Calibri"/>
        <family val="2"/>
        <scheme val="minor"/>
      </rPr>
      <t>22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48</t>
    </r>
    <r>
      <rPr>
        <sz val="12"/>
        <color theme="1"/>
        <rFont val="Calibri"/>
        <family val="2"/>
        <scheme val="minor"/>
      </rPr>
      <t>ClN</t>
    </r>
  </si>
  <si>
    <t>Quaternary ammonium</t>
  </si>
  <si>
    <t>CLE-0000003345</t>
  </si>
  <si>
    <t xml:space="preserve">&gt; 100 </t>
  </si>
  <si>
    <t>CLE-0000003159</t>
  </si>
  <si>
    <t>CLE-0000003215</t>
  </si>
  <si>
    <r>
      <t>C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</si>
  <si>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t>CLE-0000003175</t>
  </si>
  <si>
    <r>
      <t>C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Na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8</t>
    </r>
  </si>
  <si>
    <t>CLE-0000000195 (read across EDTA 60-00-4)</t>
  </si>
  <si>
    <r>
      <t>C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11</t>
    </r>
    <r>
      <rPr>
        <sz val="12"/>
        <color theme="1"/>
        <rFont val="Calibri"/>
        <family val="2"/>
        <scheme val="minor"/>
      </rPr>
      <t>•H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</si>
  <si>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t>Sugar</t>
  </si>
  <si>
    <t>CLE-0000003623</t>
  </si>
  <si>
    <t xml:space="preserve">Safe dose </t>
  </si>
  <si>
    <r>
      <t>C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30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Si</t>
    </r>
    <r>
      <rPr>
        <vertAlign val="subscript"/>
        <sz val="12"/>
        <color theme="1"/>
        <rFont val="Calibri"/>
        <family val="2"/>
        <scheme val="minor"/>
      </rPr>
      <t>5</t>
    </r>
  </si>
  <si>
    <t>Silicon</t>
  </si>
  <si>
    <t>CLE-0000003706</t>
  </si>
  <si>
    <r>
      <t>C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Si</t>
    </r>
    <r>
      <rPr>
        <vertAlign val="subscript"/>
        <sz val="12"/>
        <color theme="1"/>
        <rFont val="Calibri"/>
        <family val="2"/>
        <scheme val="minor"/>
      </rPr>
      <t>4</t>
    </r>
  </si>
  <si>
    <t xml:space="preserve">Insoluble </t>
  </si>
  <si>
    <t>CLE-0000003710</t>
  </si>
  <si>
    <t>C9-H28-N3-O15-P5.6Na</t>
  </si>
  <si>
    <t>CLE-0000003847</t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</si>
  <si>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NaO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S</t>
    </r>
  </si>
  <si>
    <t>CLE-0000003600</t>
  </si>
  <si>
    <r>
      <t>C</t>
    </r>
    <r>
      <rPr>
        <vertAlign val="sub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Cl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4</t>
    </r>
  </si>
  <si>
    <t>Practically insoluble</t>
  </si>
  <si>
    <t>CLE-0000003493</t>
  </si>
  <si>
    <t>Fully miscible</t>
  </si>
  <si>
    <t>CLE-0000003817 (read across Starch 9005-84-9)</t>
  </si>
  <si>
    <t>Very soluble</t>
  </si>
  <si>
    <t>C20H43NO4</t>
  </si>
  <si>
    <t>Soluble</t>
  </si>
  <si>
    <t>CLE-0000003529</t>
  </si>
  <si>
    <t>CHCl3</t>
  </si>
  <si>
    <t>CLE-0000004013</t>
  </si>
  <si>
    <t>predefined PDE</t>
  </si>
  <si>
    <t>Hydrocarbon</t>
  </si>
  <si>
    <t>CLE-0000004042</t>
  </si>
  <si>
    <t>Celite</t>
  </si>
  <si>
    <t>Insoluble</t>
  </si>
  <si>
    <t>CLE-0000004141</t>
  </si>
  <si>
    <t>Ketone</t>
  </si>
  <si>
    <t>CLE-0000004128</t>
  </si>
  <si>
    <t>CLE-0000004088</t>
  </si>
  <si>
    <t>MRTD</t>
  </si>
  <si>
    <t>C15H15N</t>
  </si>
  <si>
    <t xml:space="preserve"> Insoluble in cold water, hot water</t>
  </si>
  <si>
    <t>CLE-0000003614</t>
  </si>
  <si>
    <t>C12H6NNaO4</t>
  </si>
  <si>
    <t>CLE-0000003603</t>
  </si>
  <si>
    <t>C5H10NNaO5</t>
  </si>
  <si>
    <t>CLE-0000003588</t>
  </si>
  <si>
    <t>TD50</t>
  </si>
  <si>
    <r>
      <t>C</t>
    </r>
    <r>
      <rPr>
        <vertAlign val="subscript"/>
        <sz val="12"/>
        <color theme="1"/>
        <rFont val="Calibri"/>
        <family val="2"/>
        <scheme val="minor"/>
      </rPr>
      <t>22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23</t>
    </r>
    <r>
      <rPr>
        <sz val="12"/>
        <color theme="1"/>
        <rFont val="Calibri"/>
        <family val="2"/>
        <scheme val="minor"/>
      </rPr>
      <t>ClN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·HCl</t>
    </r>
  </si>
  <si>
    <t>CLE-0000003801</t>
  </si>
  <si>
    <r>
      <t>C</t>
    </r>
    <r>
      <rPr>
        <vertAlign val="subscript"/>
        <sz val="12"/>
        <color theme="1"/>
        <rFont val="Calibri"/>
        <family val="2"/>
        <scheme val="minor"/>
      </rPr>
      <t>19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NaO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S</t>
    </r>
  </si>
  <si>
    <t>soluble / 25mg/ml</t>
  </si>
  <si>
    <t>CLE-0000003580</t>
  </si>
  <si>
    <t>C4H4ClNOS</t>
  </si>
  <si>
    <t>Sulfur compound</t>
  </si>
  <si>
    <t>Completely soluble / &gt; 1000</t>
  </si>
  <si>
    <t>CLE-0000003813</t>
  </si>
  <si>
    <t>C4H5NOS</t>
  </si>
  <si>
    <t xml:space="preserve">Completely soluble </t>
  </si>
  <si>
    <t>CLE-0000003808</t>
  </si>
  <si>
    <r>
      <t>C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3</t>
    </r>
  </si>
  <si>
    <t>CLE-0000003822</t>
  </si>
  <si>
    <t>weak Sensitizer</t>
  </si>
  <si>
    <t>(C5H8O2.C4H6O2.C4H2O3)n with n=1</t>
  </si>
  <si>
    <t>Polymer</t>
  </si>
  <si>
    <t>CLE-0000003899</t>
  </si>
  <si>
    <t>Strong Sensitizer</t>
  </si>
  <si>
    <r>
      <t>(C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CH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CH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N(C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)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HCl)n with n=1</t>
    </r>
  </si>
  <si>
    <t>Chromatographic gel</t>
  </si>
  <si>
    <t>CLE-0000003644</t>
  </si>
  <si>
    <t>TDLo</t>
  </si>
  <si>
    <t>CLE-0000003657</t>
  </si>
  <si>
    <t>C18H40N4O19S2</t>
  </si>
  <si>
    <t>CLE-0000003629</t>
  </si>
  <si>
    <t>C3H4O2</t>
  </si>
  <si>
    <t>lactone</t>
  </si>
  <si>
    <t>CLE-0000003653</t>
  </si>
  <si>
    <t>CLE-0000003268</t>
  </si>
  <si>
    <t>C3H8O2S</t>
  </si>
  <si>
    <t>slightly soluble</t>
  </si>
  <si>
    <t>CLE-0000004084</t>
  </si>
  <si>
    <t>C16H36NBr</t>
  </si>
  <si>
    <t>CLE-0000003723</t>
  </si>
  <si>
    <t>C14H16N2O8</t>
  </si>
  <si>
    <t>CLE-0000003878</t>
  </si>
  <si>
    <t xml:space="preserve"> (C6 H10 O5)n with n= 1</t>
  </si>
  <si>
    <t>CLE-0000003817</t>
  </si>
  <si>
    <t xml:space="preserve">C6H15NO3  </t>
  </si>
  <si>
    <t>Amino alcohol</t>
  </si>
  <si>
    <t>CLE-0000003584</t>
  </si>
  <si>
    <t>CLE-0000004111</t>
  </si>
  <si>
    <t>AlCl3.6H2O</t>
  </si>
  <si>
    <t>CLE-0000000690</t>
  </si>
  <si>
    <t>H2SO4</t>
  </si>
  <si>
    <t>CLE-0000000346</t>
  </si>
  <si>
    <t xml:space="preserve">&gt; 1000 </t>
  </si>
  <si>
    <t>NH4OH</t>
  </si>
  <si>
    <t>C6H10O4</t>
  </si>
  <si>
    <t>23</t>
  </si>
  <si>
    <t>HCl</t>
  </si>
  <si>
    <t>H3PO4</t>
  </si>
  <si>
    <t xml:space="preserve">Process / Cleaning  </t>
  </si>
  <si>
    <t>C5H3N4NaO2</t>
  </si>
  <si>
    <t>&gt; 100</t>
  </si>
  <si>
    <t>C6H10N2Na2O4S2</t>
  </si>
  <si>
    <t>&gt; 211</t>
  </si>
  <si>
    <t>C6H12N2O4S2.2HCl</t>
  </si>
  <si>
    <t>C6H9N3O2.HCl.H2O</t>
  </si>
  <si>
    <t>C6H14N2O2.2HCl</t>
  </si>
  <si>
    <t>C9H9NNa2O3</t>
  </si>
  <si>
    <t>727</t>
  </si>
  <si>
    <t>58</t>
  </si>
  <si>
    <t>C5H8KNO4</t>
  </si>
  <si>
    <t>C5H8KNO4.H2O</t>
  </si>
  <si>
    <t>CLE-0000004141 (read accross 14464-46-1)</t>
  </si>
  <si>
    <t>100 to 1000</t>
  </si>
  <si>
    <t>(C28H52N4O16)n</t>
  </si>
  <si>
    <t>C10H15N3O3</t>
  </si>
  <si>
    <t>(-O-CH2-CH2-HN+-(C2H5)2)</t>
  </si>
  <si>
    <t>Ca5(OH)(PO4)3</t>
  </si>
  <si>
    <t>NaClO</t>
  </si>
  <si>
    <t>Cleaning agent</t>
  </si>
  <si>
    <t>CH3CN</t>
  </si>
  <si>
    <t>(CH3)2CO</t>
  </si>
  <si>
    <t>1,24x10-7</t>
  </si>
  <si>
    <t>C16H30O2</t>
  </si>
  <si>
    <t>Microcarrier</t>
  </si>
  <si>
    <t>C8H10BF4N3</t>
  </si>
  <si>
    <t>C6H14N4O2</t>
  </si>
  <si>
    <t>NH4Cl</t>
  </si>
  <si>
    <t>Fe(NH4)2(SO4)2</t>
  </si>
  <si>
    <t>(NH4)2SO4</t>
  </si>
  <si>
    <t>CaCO3</t>
  </si>
  <si>
    <t>CaCl2</t>
  </si>
  <si>
    <t>CaCl2.2H2O</t>
  </si>
  <si>
    <t>K2HPO4</t>
  </si>
  <si>
    <t>K2HPO4.3H2O</t>
  </si>
  <si>
    <t>Na2HPO4</t>
  </si>
  <si>
    <t>Na2HPO4.12H2O</t>
  </si>
  <si>
    <t>Na2HPO4.7H2O</t>
  </si>
  <si>
    <t>MgCl2</t>
  </si>
  <si>
    <t>MgCl2.6H2O</t>
  </si>
  <si>
    <t>MgSO4</t>
  </si>
  <si>
    <t>MgSO4.7H2O</t>
  </si>
  <si>
    <t>KH2PO4</t>
  </si>
  <si>
    <t>KCl</t>
  </si>
  <si>
    <t>Na2CO3</t>
  </si>
  <si>
    <t>NaCl</t>
  </si>
  <si>
    <t>NaH2PO4</t>
  </si>
  <si>
    <t>NaH2PO4.2H2O</t>
  </si>
  <si>
    <t>NaH2PO4.H2O</t>
  </si>
  <si>
    <t>NaHCO3</t>
  </si>
  <si>
    <t>(CH3)3SiO(SiC2H6O)nSi(CH3)3</t>
  </si>
  <si>
    <t>C17H32O10</t>
  </si>
  <si>
    <t>CLE-0000003644 (related to 9015-73-0)</t>
  </si>
  <si>
    <t>C56H98O35</t>
  </si>
  <si>
    <t>C5H10O2</t>
  </si>
  <si>
    <t>C14H22O(C2H4O)n (n=9-10)</t>
  </si>
  <si>
    <t>C24H44O6</t>
  </si>
  <si>
    <t>50 - 100</t>
  </si>
  <si>
    <t>Nucleotide derivative</t>
  </si>
  <si>
    <t>~ 400</t>
  </si>
  <si>
    <t>C63H88CoN14O14P</t>
  </si>
  <si>
    <t>C29H50O2</t>
  </si>
  <si>
    <t>CLE-0000000620 (related to 10191-41-0)</t>
  </si>
  <si>
    <t>CLE-0000000138 (related to 4345-03-3)</t>
  </si>
  <si>
    <t>C5H4N4NaO</t>
  </si>
  <si>
    <t>C4H10</t>
  </si>
  <si>
    <t>K2SO4</t>
  </si>
  <si>
    <t>C2H6OS</t>
  </si>
  <si>
    <t>K3PO4</t>
  </si>
  <si>
    <t xml:space="preserve">C6H5NaSO3 </t>
  </si>
  <si>
    <t>C13H27(CH2CH2O)nOH (n=13)</t>
  </si>
  <si>
    <t>soluble</t>
  </si>
  <si>
    <t>partially soluble</t>
  </si>
  <si>
    <t>CH3(CH2)6CH2(OCH2CH2)nOH</t>
  </si>
  <si>
    <t>Completely miscible</t>
  </si>
  <si>
    <t>C12+2nH23+4nNaO4+nS</t>
  </si>
  <si>
    <t xml:space="preserve"> C7H8NNa3O6</t>
  </si>
  <si>
    <t>WC according to alanine</t>
  </si>
  <si>
    <t>Surfactant</t>
  </si>
  <si>
    <t>miscible</t>
  </si>
  <si>
    <t>C8H15NaO2</t>
  </si>
  <si>
    <t>Highly soluble</t>
  </si>
  <si>
    <t>C12H22FeN3O14</t>
  </si>
  <si>
    <t>K2O3Si</t>
  </si>
  <si>
    <t>PO4 3-</t>
  </si>
  <si>
    <t>Anion</t>
  </si>
  <si>
    <t>insoluble</t>
  </si>
  <si>
    <t>Cl-</t>
  </si>
  <si>
    <t>pur chemical element</t>
  </si>
  <si>
    <t xml:space="preserve">insoluble in water </t>
  </si>
  <si>
    <t xml:space="preserve">[C6H7O2(OH)x(OCH3)y]n </t>
  </si>
  <si>
    <t>MISCIBLE</t>
  </si>
  <si>
    <t>Na+</t>
  </si>
  <si>
    <t>Cation</t>
  </si>
  <si>
    <t>K+</t>
  </si>
  <si>
    <t>Ca++</t>
  </si>
  <si>
    <t>reacts</t>
  </si>
  <si>
    <t>C2H4F2</t>
  </si>
  <si>
    <t>He</t>
  </si>
  <si>
    <t>Single compound</t>
  </si>
  <si>
    <t xml:space="preserve">Very slightly soluble </t>
  </si>
  <si>
    <t>KHCO3</t>
  </si>
  <si>
    <t xml:space="preserve">&gt;=10 g/100 mL </t>
  </si>
  <si>
    <t>CnH2n-1SO3Na (n= 14 - 16)</t>
  </si>
  <si>
    <t>cetone</t>
  </si>
  <si>
    <t>CLE-0000004389</t>
  </si>
  <si>
    <t>C8H14O8</t>
  </si>
  <si>
    <t>(C3H6O)n H20 (n &lt; or = 4.5)</t>
  </si>
  <si>
    <t>Process non GSK</t>
  </si>
  <si>
    <t>Active ingredient</t>
  </si>
  <si>
    <t>sensitizer</t>
  </si>
  <si>
    <t>C92H148O46</t>
  </si>
  <si>
    <t>Saponin</t>
  </si>
  <si>
    <t>CLE-0000000326</t>
  </si>
  <si>
    <t>C96H181N2O22P.H3N</t>
  </si>
  <si>
    <t>CLE-0000000266</t>
  </si>
  <si>
    <t>(C2H6OSi)n</t>
  </si>
  <si>
    <t>C6H18Si2O(C2H6SiO)n</t>
  </si>
  <si>
    <t xml:space="preserve">Freely soluble </t>
  </si>
  <si>
    <t>Ribose : C5H10O5</t>
  </si>
  <si>
    <t>Deoxyribose : C5H10O4</t>
  </si>
  <si>
    <t>C5H6ClN5O</t>
  </si>
  <si>
    <t>~3.58</t>
  </si>
  <si>
    <t>C10H12N10O4S</t>
  </si>
  <si>
    <t>HNO3</t>
  </si>
  <si>
    <t>CLE-0000000330</t>
  </si>
  <si>
    <t>CLE-0000003248</t>
  </si>
  <si>
    <t>C11H9NaO5S</t>
  </si>
  <si>
    <t>CLE-0000000318</t>
  </si>
  <si>
    <t>equivocal sensitizer</t>
  </si>
  <si>
    <t>C6H14O2</t>
  </si>
  <si>
    <t>CLE-0000005107</t>
  </si>
  <si>
    <t xml:space="preserve">MRL </t>
  </si>
  <si>
    <t>C18H30O3S</t>
  </si>
  <si>
    <t>30-100</t>
  </si>
  <si>
    <t>Maintenance</t>
  </si>
  <si>
    <t>CLE-0000003179</t>
  </si>
  <si>
    <t>Non-highly hazardous</t>
  </si>
  <si>
    <t>K2S4O6</t>
  </si>
  <si>
    <t xml:space="preserve">CLE-0000007273  </t>
  </si>
  <si>
    <t>&lt;100</t>
  </si>
  <si>
    <t>19473-49-5 / 24595-14-0</t>
  </si>
  <si>
    <t>333-93-7   /110-60-1</t>
  </si>
  <si>
    <t>API chemical</t>
  </si>
  <si>
    <t>API viral strain</t>
  </si>
  <si>
    <t>API protein</t>
  </si>
  <si>
    <t>API conjugate protein-PS</t>
  </si>
  <si>
    <t>Biological protein digest extract</t>
  </si>
  <si>
    <t>Biological enzym</t>
  </si>
  <si>
    <t>API bacterial strain</t>
  </si>
  <si>
    <t>Biological extract</t>
  </si>
  <si>
    <t>API PolySacc</t>
  </si>
  <si>
    <t>Enzym</t>
  </si>
  <si>
    <t>API cell</t>
  </si>
  <si>
    <t>API nucleic</t>
  </si>
  <si>
    <t>biological crude extract</t>
  </si>
  <si>
    <t>biological Cell  strain</t>
  </si>
  <si>
    <t>Biological bacterial strain</t>
  </si>
  <si>
    <t>API polySacc</t>
  </si>
  <si>
    <t>salt</t>
  </si>
  <si>
    <t>N/A living organism</t>
  </si>
  <si>
    <t xml:space="preserve">N/A conjugate </t>
  </si>
  <si>
    <t>N/A PolySacc</t>
  </si>
  <si>
    <t>N/A  protein</t>
  </si>
  <si>
    <t>N/A crude extract</t>
  </si>
  <si>
    <t>N/A protein digest extract</t>
  </si>
  <si>
    <t>N/A  protein digest extract</t>
  </si>
  <si>
    <t>Tryptone / Casein peptone / Bactotryptone</t>
  </si>
  <si>
    <t>73049-73-7 / 91079-46-8</t>
  </si>
  <si>
    <t>Soy peptone / Tryptone / Soybean peptone</t>
  </si>
  <si>
    <t>C47H48N3NaO7S2</t>
  </si>
  <si>
    <t>Rixensart Bat. 39.1</t>
  </si>
  <si>
    <t>Wavre Bat. 26</t>
  </si>
  <si>
    <t>Wavre Bat. 17</t>
  </si>
  <si>
    <t>Wavre Bat. 30</t>
  </si>
  <si>
    <t>Wavre Bat. 16 - Non Flu</t>
  </si>
  <si>
    <t>Wavre Bat. 16 - Flu</t>
  </si>
  <si>
    <t>Wavre Bat. 36</t>
  </si>
  <si>
    <t>Wavre Bat. 48</t>
  </si>
  <si>
    <t>Wavre Bat. 49</t>
  </si>
  <si>
    <t>Wavre Bat. 27</t>
  </si>
  <si>
    <t>Wavre Bat. 10</t>
  </si>
  <si>
    <t>Dresden - Non Flu</t>
  </si>
  <si>
    <t>Dresden - Flu</t>
  </si>
  <si>
    <t>Gödöllo</t>
  </si>
  <si>
    <t>Hamilton</t>
  </si>
  <si>
    <t>Marburg</t>
  </si>
  <si>
    <t>Marietta</t>
  </si>
  <si>
    <t>Rosia Primary</t>
  </si>
  <si>
    <t>Rosia Secondary</t>
  </si>
  <si>
    <t xml:space="preserve">Saint-Amand-les-Eaux </t>
  </si>
  <si>
    <t>Singapore B4S</t>
  </si>
  <si>
    <t>Singapore B4H</t>
  </si>
  <si>
    <t>Singapore B5</t>
  </si>
  <si>
    <t>Sainte-Foy</t>
  </si>
  <si>
    <t>CMO - sandoz</t>
  </si>
  <si>
    <t>CMO - Delpharm</t>
  </si>
  <si>
    <t>CMO - Fidia</t>
  </si>
  <si>
    <t>CMO - Hollister</t>
  </si>
  <si>
    <t>CMO - Vetter</t>
  </si>
  <si>
    <t>CMO - Aspen</t>
  </si>
  <si>
    <t>CMO - Pathéon VZV</t>
  </si>
  <si>
    <t xml:space="preserve"> CMO - Pathéon
Ferentino</t>
  </si>
  <si>
    <t>CMO - Novacep</t>
  </si>
  <si>
    <t>CMO - Stein</t>
  </si>
  <si>
    <t>CMO - Boronia</t>
  </si>
  <si>
    <t>CMO - Croda</t>
  </si>
  <si>
    <t>CMO - Desert King</t>
  </si>
  <si>
    <t>CMO -  Fidia WFI</t>
  </si>
  <si>
    <t>Di- Ammoniumhydrogene phosphate</t>
  </si>
  <si>
    <t xml:space="preserve"> ((NH4)2HPO4)</t>
  </si>
  <si>
    <t>Arabinose</t>
  </si>
  <si>
    <t>147-81-9  / 5328-37-0 (L) / 10323-20-3 (D)</t>
  </si>
  <si>
    <t>Biological protein extract</t>
  </si>
  <si>
    <t>9001-33-6</t>
  </si>
  <si>
    <t xml:space="preserve">15489-90-4 </t>
  </si>
  <si>
    <t xml:space="preserve">16009-13-5 </t>
  </si>
  <si>
    <t>Porphyrin</t>
  </si>
  <si>
    <t>Biological crude extract</t>
  </si>
  <si>
    <t>2-Keto-3 deoxyoctonate (KDO)</t>
  </si>
  <si>
    <t>960324-04-3</t>
  </si>
  <si>
    <t>95991-05-2</t>
  </si>
  <si>
    <t>QS-7</t>
  </si>
  <si>
    <t>QS-18</t>
  </si>
  <si>
    <t>QS-17</t>
  </si>
  <si>
    <t>68990-67-0</t>
  </si>
  <si>
    <t>Quillaic acid</t>
  </si>
  <si>
    <t>631-01-6</t>
  </si>
  <si>
    <t>soluble in water</t>
  </si>
  <si>
    <t>3615-41-6</t>
  </si>
  <si>
    <t>Rhamnose anhydrous</t>
  </si>
  <si>
    <t>Yeast autolysate / Yeast extract / TC Yeastolate</t>
  </si>
  <si>
    <t>D-Xylose</t>
  </si>
  <si>
    <t>58-86-6</t>
  </si>
  <si>
    <t>process</t>
  </si>
  <si>
    <t>monophosphoral Lipid A (MLA)</t>
  </si>
  <si>
    <t>diphosphoryl Lipid A (DPL)</t>
  </si>
  <si>
    <t>C76H52O46</t>
  </si>
  <si>
    <t>1401-55-4</t>
  </si>
  <si>
    <t>tannin</t>
  </si>
  <si>
    <t>MPL  / Acid MPL</t>
  </si>
  <si>
    <t>159251-40-8</t>
  </si>
  <si>
    <t>61970-08-9</t>
  </si>
  <si>
    <t xml:space="preserve">122985-81-3 </t>
  </si>
  <si>
    <t>17-5072-01</t>
  </si>
  <si>
    <t>C6H4O2</t>
  </si>
  <si>
    <t>(C6H9NO)n</t>
  </si>
  <si>
    <t>(C₂H₄O)nC₃₁H₆₃NO₂</t>
  </si>
  <si>
    <t>C₄₈H₉₅NO₅</t>
  </si>
  <si>
    <t>Slightly soluble</t>
  </si>
  <si>
    <t>C20H28O2</t>
  </si>
  <si>
    <t>C4H8CaO5</t>
  </si>
  <si>
    <t>CaH4O6S</t>
  </si>
  <si>
    <t>related to DEAE</t>
  </si>
  <si>
    <t xml:space="preserve"> Ca10(PO4)6(OH)2</t>
  </si>
  <si>
    <t>related to QS21</t>
  </si>
  <si>
    <t>related to agarose</t>
  </si>
  <si>
    <t>related to dextran</t>
  </si>
  <si>
    <t>related to polyacrylamide</t>
  </si>
  <si>
    <t>related to parrafin</t>
  </si>
  <si>
    <t>diethyl aminoethyl binded</t>
  </si>
  <si>
    <t>Dimethyl aminoethyl binded</t>
  </si>
  <si>
    <t>Trimethyl aminoethyl binded</t>
  </si>
  <si>
    <t>Butyl binded</t>
  </si>
  <si>
    <t>Protein</t>
  </si>
  <si>
    <t>N/A protein</t>
  </si>
  <si>
    <t>sugar related</t>
  </si>
  <si>
    <t>CoSO4•7H2O</t>
  </si>
  <si>
    <t>C12H11N</t>
  </si>
  <si>
    <t>amine</t>
  </si>
  <si>
    <t>C20H37NaO7S</t>
  </si>
  <si>
    <t>L-ALPHA-PHOSPHATIDYLCHOLINE, DISTEAROYL (DSPC)</t>
  </si>
  <si>
    <t>C44H88NO8P</t>
  </si>
  <si>
    <t>not soluble in water</t>
  </si>
  <si>
    <t>Epidermal Growth Factor (EGF Rh NAO)</t>
  </si>
  <si>
    <t>C270H401N73O83S7</t>
  </si>
  <si>
    <t>C20H40N4O10•2H2SO4</t>
  </si>
  <si>
    <t>glucosyringic acid</t>
  </si>
  <si>
    <t>C15H20O10</t>
  </si>
  <si>
    <t>phenol</t>
  </si>
  <si>
    <t>&lt; 1</t>
  </si>
  <si>
    <t>C10H15NO4</t>
  </si>
  <si>
    <t>N2O6Pb</t>
  </si>
  <si>
    <t>C16H18ClN3S</t>
  </si>
  <si>
    <t>C14H14N3NaO3S</t>
  </si>
  <si>
    <t>C12H12N2O3</t>
  </si>
  <si>
    <t>C₆H₁₄</t>
  </si>
  <si>
    <t>&lt; 0,01</t>
  </si>
  <si>
    <t>C6H8NNa3O7</t>
  </si>
  <si>
    <t>CLE-0000003727</t>
  </si>
  <si>
    <t>Carcinogen TD50</t>
  </si>
  <si>
    <t>C9H8O3</t>
  </si>
  <si>
    <t>C11H12O7</t>
  </si>
  <si>
    <t>H(NHCH2CH2)nNH2</t>
  </si>
  <si>
    <t>C18H16ClNO5</t>
  </si>
  <si>
    <t>gelatin</t>
  </si>
  <si>
    <t>C2H3O2K</t>
  </si>
  <si>
    <t>C8H11NO3</t>
  </si>
  <si>
    <t>env. 700</t>
  </si>
  <si>
    <t>H2SeO3</t>
  </si>
  <si>
    <t>AgNO3</t>
  </si>
  <si>
    <t>C17H21N3O7</t>
  </si>
  <si>
    <t>C14H24N2O7•2HCl•5H2O</t>
  </si>
  <si>
    <t>SnCl2•2H2O</t>
  </si>
  <si>
    <t>C22H24N2O8•HCl</t>
  </si>
  <si>
    <t>C12H18Cl2N4OS</t>
  </si>
  <si>
    <t>CH3CSNH2</t>
  </si>
  <si>
    <t>C15H11I3NNaO4</t>
  </si>
  <si>
    <t xml:space="preserve">Soluble in water (partly miscible), </t>
  </si>
  <si>
    <t>C4H11NO3•HCl</t>
  </si>
  <si>
    <t>imide</t>
  </si>
  <si>
    <t>KMnO4</t>
  </si>
  <si>
    <t>CLE-0000000486</t>
  </si>
  <si>
    <t>H2KO3P</t>
  </si>
  <si>
    <t>nonylphenol ethoxylate (Nonylphenoxypoly(ethyleneoxy)ethanol)</t>
  </si>
  <si>
    <t>9016-45-9</t>
  </si>
  <si>
    <t>&gt; 1</t>
  </si>
  <si>
    <t>CLE-0000003207</t>
  </si>
  <si>
    <t xml:space="preserve">Ethylene oxide </t>
  </si>
  <si>
    <t xml:space="preserve">1,4-dioxane </t>
  </si>
  <si>
    <t>123-91-1</t>
  </si>
  <si>
    <t>CLE-0000003252</t>
  </si>
  <si>
    <t xml:space="preserve">hexylèneglycol (2-(4-hydroxyphenyl)-3-methyl-4-quinolinecarboxylic acid) </t>
  </si>
  <si>
    <t>CLE-0000003195</t>
  </si>
  <si>
    <t xml:space="preserve">2-hydroxypropyloleamine </t>
  </si>
  <si>
    <t>111-05-7</t>
  </si>
  <si>
    <t>CLE-0000003329</t>
  </si>
  <si>
    <t xml:space="preserve">Talc </t>
  </si>
  <si>
    <t>14807-96-6</t>
  </si>
  <si>
    <t>CLE-0000003211</t>
  </si>
  <si>
    <t>FDA inactive ingredient list</t>
  </si>
  <si>
    <t xml:space="preserve">Chromium oxide </t>
  </si>
  <si>
    <t>1308-38-9</t>
  </si>
  <si>
    <t>CLE-0000003304</t>
  </si>
  <si>
    <t xml:space="preserve">Aluminium oxide </t>
  </si>
  <si>
    <t>1344-28-1</t>
  </si>
  <si>
    <t>CLE-0000003183</t>
  </si>
  <si>
    <t xml:space="preserve">Cumyl hydroperoxide </t>
  </si>
  <si>
    <t>80-15-9</t>
  </si>
  <si>
    <t>CLE-0000003191</t>
  </si>
  <si>
    <t xml:space="preserve">Cumene </t>
  </si>
  <si>
    <t>98-82-8</t>
  </si>
  <si>
    <t>CLE-0000003187</t>
  </si>
  <si>
    <t xml:space="preserve">1-Acetyl-2-phenylhydrazine </t>
  </si>
  <si>
    <t>114-83-0</t>
  </si>
  <si>
    <t>CLE-0000003155</t>
  </si>
  <si>
    <t xml:space="preserve">2-Hydroxyethyl methacrylate </t>
  </si>
  <si>
    <t>868-77-9</t>
  </si>
  <si>
    <t>≥100</t>
  </si>
  <si>
    <t>CLE-0000003163</t>
  </si>
  <si>
    <t>Fatty acids, vegetable oil, methyl esters, sulfurized (mineral oil)</t>
  </si>
  <si>
    <t>72102-30-8</t>
  </si>
  <si>
    <t xml:space="preserve">0,01 - 0,02 </t>
  </si>
  <si>
    <t>CLE-0000003389</t>
  </si>
  <si>
    <t>Amine, C12-14-tert-Alkyl-, Reaktionsprodukte mit O,O-Di-C1-14-alkylhydrogenphosphorodithioat</t>
  </si>
  <si>
    <t>71888-91-0</t>
  </si>
  <si>
    <t>CLE-0000003392</t>
  </si>
  <si>
    <t>112-72-1</t>
  </si>
  <si>
    <t>CLE-0000003296</t>
  </si>
  <si>
    <t xml:space="preserve">Mecetronium ethylsulfate </t>
  </si>
  <si>
    <t>3006-10-8</t>
  </si>
  <si>
    <t>CLE-0000003395</t>
  </si>
  <si>
    <t>Butane-2-one-O,O',O''-(methylsilylidyne)trioxime</t>
  </si>
  <si>
    <t>22984-54-9</t>
  </si>
  <si>
    <t>CLE-0000003333</t>
  </si>
  <si>
    <t>2-butanone-oxime</t>
  </si>
  <si>
    <t>96-29-7</t>
  </si>
  <si>
    <t>CLE-0000003354</t>
  </si>
  <si>
    <t xml:space="preserve">Dimethyl siloxane, hydroxy-terminated </t>
  </si>
  <si>
    <t>70131-67-8</t>
  </si>
  <si>
    <t>CLE-0000004020</t>
  </si>
  <si>
    <t>read across PDMS</t>
  </si>
  <si>
    <t>Nonoxynol / Nonyl phenol ethoxylate</t>
  </si>
  <si>
    <t>26027-38-3</t>
  </si>
  <si>
    <t xml:space="preserve">Hydrofluoric acid </t>
  </si>
  <si>
    <t>7664-39-3</t>
  </si>
  <si>
    <t>HF</t>
  </si>
  <si>
    <t>CLE-0000004107</t>
  </si>
  <si>
    <t>68551-13-3</t>
  </si>
  <si>
    <t xml:space="preserve">C6 alkyl-glucoside </t>
  </si>
  <si>
    <t>54549-24-5</t>
  </si>
  <si>
    <t>106-97-8</t>
  </si>
  <si>
    <t xml:space="preserve">Pentane </t>
  </si>
  <si>
    <t>109-66-0</t>
  </si>
  <si>
    <t xml:space="preserve">Propane </t>
  </si>
  <si>
    <t>74-98-6</t>
  </si>
  <si>
    <t xml:space="preserve">Polysulfide, Di-tert-dodecyl- </t>
  </si>
  <si>
    <t>68425-15-0</t>
  </si>
  <si>
    <t xml:space="preserve">Methylal </t>
  </si>
  <si>
    <t>109-87-5</t>
  </si>
  <si>
    <t xml:space="preserve">Alcohol C12-C15 Ethoxylate </t>
  </si>
  <si>
    <t>68131-39-5</t>
  </si>
  <si>
    <t>Complete</t>
  </si>
  <si>
    <t>Carbon dioxide</t>
  </si>
  <si>
    <t>204-696-9 or 124-38-9</t>
  </si>
  <si>
    <t xml:space="preserve">Ethoxylated C9-11 alcohols </t>
  </si>
  <si>
    <t>68439-46-3</t>
  </si>
  <si>
    <t>complete</t>
  </si>
  <si>
    <t xml:space="preserve">N,N-BIS(CARBOXYMETHYL)-L-GLUTAMIC ACID TETRASODIUM SALT </t>
  </si>
  <si>
    <t>51981-21-6</t>
  </si>
  <si>
    <t>POLYOXYETHYLENE 10 TRIDECYL ETHER (non ionic surfactant)</t>
  </si>
  <si>
    <t>78330-21-9</t>
  </si>
  <si>
    <t>dispersible, soluble in cold water</t>
  </si>
  <si>
    <t>Oxalic acid dihydrate</t>
  </si>
  <si>
    <t>1341-49-7</t>
  </si>
  <si>
    <t xml:space="preserve">Propylène glycol n-propyl éther </t>
  </si>
  <si>
    <t xml:space="preserve">alkyl de coco bis(hydroxyéthyl)méthyles, chlorures, éthoxylés </t>
  </si>
  <si>
    <t>Hydrocarbons, C7-C9, isoalkanes</t>
  </si>
  <si>
    <t>68213-23-0</t>
  </si>
  <si>
    <t>(C12H25O(CH2CH2O)9H)</t>
  </si>
  <si>
    <t xml:space="preserve">N,N'-Diethylthiourea </t>
  </si>
  <si>
    <t>105-55-5</t>
  </si>
  <si>
    <t>C5H12N2S</t>
  </si>
  <si>
    <t>Petroleum distillates, hydrotreated light</t>
  </si>
  <si>
    <t>64742-47-8</t>
  </si>
  <si>
    <t>Petroleum gases, liquefied, sweetened</t>
  </si>
  <si>
    <t>68476-86-8</t>
  </si>
  <si>
    <t>Distillates, petroleum, hydrotreated light napthenic</t>
  </si>
  <si>
    <t>67742-53-6</t>
  </si>
  <si>
    <t>Heptane</t>
  </si>
  <si>
    <t xml:space="preserve"> 142-82-5</t>
  </si>
  <si>
    <t>C₇H₁₆</t>
  </si>
  <si>
    <t xml:space="preserve"> 68512-91-4</t>
  </si>
  <si>
    <t>Diisopropylamine</t>
  </si>
  <si>
    <t xml:space="preserve"> 108-18-9</t>
  </si>
  <si>
    <t>67701-03-5</t>
  </si>
  <si>
    <t xml:space="preserve">8002-74-2 </t>
  </si>
  <si>
    <t>Siliceous Earth</t>
  </si>
  <si>
    <t>1020665-14-8</t>
  </si>
  <si>
    <t>Process / Maintenance</t>
  </si>
  <si>
    <t>Rixensart Bat. 59.3</t>
  </si>
  <si>
    <t>Rixensart Bat. 31</t>
  </si>
  <si>
    <t>Silicon elemental</t>
  </si>
  <si>
    <t>7440-21-3</t>
  </si>
  <si>
    <t>Si</t>
  </si>
  <si>
    <t>INSOLUBLE</t>
  </si>
  <si>
    <t>CLE-0000003719</t>
  </si>
  <si>
    <t>Working seed souche Y191 (Yeast-Saccharomyces cerevisiae)</t>
  </si>
  <si>
    <t xml:space="preserve">[(2-hydroxyethyl)imino]bis(methylene)]bis phosphonic acid </t>
  </si>
  <si>
    <t>5995-42-6</t>
  </si>
  <si>
    <t>C4H13NO7P2</t>
  </si>
  <si>
    <t>Phosphonate</t>
  </si>
  <si>
    <t>CLE-0000004122</t>
  </si>
  <si>
    <t>Malaria Ag / RTS,S</t>
  </si>
  <si>
    <t>25249-54-1</t>
  </si>
  <si>
    <t>polyvinylpolypyrrolidone (PVPP)</t>
  </si>
  <si>
    <t>Less than lifetime
 approach applicable</t>
  </si>
  <si>
    <t>84133-50-6 / 51023-17-7 / 68551-14-4</t>
  </si>
  <si>
    <t>886,8 (25°C)</t>
  </si>
  <si>
    <t>61 (butane)</t>
  </si>
  <si>
    <t>iorganic</t>
  </si>
  <si>
    <t xml:space="preserve">C16H32O2 C18H36O2 </t>
  </si>
  <si>
    <t xml:space="preserve">CnH2n+2 </t>
  </si>
  <si>
    <t>Fatty acids C16-C18</t>
  </si>
  <si>
    <t>Paraffin</t>
  </si>
  <si>
    <t>N/A mixt C15 to C30</t>
  </si>
  <si>
    <t>ether</t>
  </si>
  <si>
    <t>N/A mixt of fatty acids</t>
  </si>
  <si>
    <t>Fatty alcohol Polyglycol Ether / Alcohols, C12-18, ethoxylated</t>
  </si>
  <si>
    <t>107-41-5</t>
  </si>
  <si>
    <t xml:space="preserve">64741-66-8 </t>
  </si>
  <si>
    <t>C7H16 - C9H20</t>
  </si>
  <si>
    <t>mixt  C3H8  to C7H16</t>
  </si>
  <si>
    <t>mixt</t>
  </si>
  <si>
    <t>Hydrocarbons, C3-4-rich, petroleum distillates</t>
  </si>
  <si>
    <t xml:space="preserve">Butane </t>
  </si>
  <si>
    <t>amide</t>
  </si>
  <si>
    <t>&lt; 0,06</t>
  </si>
  <si>
    <t>mixt hydrocarbon</t>
  </si>
  <si>
    <t>Mineral</t>
  </si>
  <si>
    <t>mineral</t>
  </si>
  <si>
    <t>soluble as formulated</t>
  </si>
  <si>
    <t>Not soluble in water</t>
  </si>
  <si>
    <t>&lt; 10</t>
  </si>
  <si>
    <t>469-65-8 / 35388-57-9</t>
  </si>
  <si>
    <t>&lt; 20</t>
  </si>
  <si>
    <t>350 (QS21)</t>
  </si>
  <si>
    <t>&gt; 5</t>
  </si>
  <si>
    <t>HBEL value</t>
  </si>
  <si>
    <t>Doc.
Reference</t>
  </si>
  <si>
    <t>Sodium silicate / Sodium metasilicate</t>
  </si>
  <si>
    <t>Silicon dioxide / Celite 545 Acid washed (quartz)</t>
  </si>
  <si>
    <t xml:space="preserve">Tetradecanol / Myristyl alcohol </t>
  </si>
  <si>
    <t>Alcohols, C12-14, ethoxylated propoxylated / Fatty Alcohols ethoxylated propoxylated</t>
  </si>
  <si>
    <t xml:space="preserve">Alkylbenzene sulfonic acid / Dodecylbenzene sulfonic acid </t>
  </si>
  <si>
    <t>Antifoam E.S 30%  / Simethicone</t>
  </si>
  <si>
    <t xml:space="preserve">Aureomycine / Chlortetracycline </t>
  </si>
  <si>
    <t>Azote / Nitrogen</t>
  </si>
  <si>
    <t>HBV from FDA : 4.2 mg/ml</t>
  </si>
  <si>
    <t xml:space="preserve">Dipotassium hydrogen phosphate anhydrous / Potassium phosphate dibasic </t>
  </si>
  <si>
    <t>Disodium edetate dihydrate / Ethylenediaminetetraacetic acid disodium salt (dihydrate) / Titriplex III</t>
  </si>
  <si>
    <t xml:space="preserve">Disodium Hydrogen Phosphate anhydrous / Sodium phosphate dibasic </t>
  </si>
  <si>
    <t xml:space="preserve">Disodium Hydrogen Phosphate dihydrate / Sodium phosphate dibasic dihydrate </t>
  </si>
  <si>
    <t>Disodium hydrogen phosphate dodecahydrate / Sodium phosphate dibasic dodecahydrate</t>
  </si>
  <si>
    <t>Disodium Hydrogen Phosphate heptahydrate / Sodium phosphate dibasic Heptahydrate</t>
  </si>
  <si>
    <t xml:space="preserve">DL-α-Vitamine E acetate / α-tocopherol acetate </t>
  </si>
  <si>
    <t>Ethoxylated cocoamines / Coconut fatty acid diethanolamide</t>
  </si>
  <si>
    <t xml:space="preserve">Formic acid / Formate </t>
  </si>
  <si>
    <t xml:space="preserve">Methyl Cellulose / Methocell </t>
  </si>
  <si>
    <t xml:space="preserve">Methyl Isobutyl Ketone / Isopropylacetone </t>
  </si>
  <si>
    <t xml:space="preserve">Monopotassium phosphate / Potassium dihydrogen phosphate </t>
  </si>
  <si>
    <t xml:space="preserve">Peroxyacetic acid / Peracetic acid </t>
  </si>
  <si>
    <t xml:space="preserve">Phenolsulfonphthalein / Phenol red </t>
  </si>
  <si>
    <t>Pluronic F68 acid / Poloxamer 188</t>
  </si>
  <si>
    <t>14808-60-7 / 7631-86-9  / 112945-52-5</t>
  </si>
  <si>
    <t xml:space="preserve">Sodium Dioctyl Sulfoccinate / Docusate sodium </t>
  </si>
  <si>
    <t xml:space="preserve">Sodium Hydrogen Carbonate / Sodium bicarbonate </t>
  </si>
  <si>
    <t xml:space="preserve">Sodium hypochlorite / Asepto / Bleach (15°) </t>
  </si>
  <si>
    <t>Sucrose / Saccharose</t>
  </si>
  <si>
    <t xml:space="preserve">Thioctic acid (DL-6,8) / Alpha-lipoic acid </t>
  </si>
  <si>
    <t xml:space="preserve">Tripotassium orthophosphate / Potassium phosphate tribasic </t>
  </si>
  <si>
    <t xml:space="preserve">Trisodium phosphate / Sodium phosphate tribasic </t>
  </si>
  <si>
    <t>Triton X-100 / Octoxynol</t>
  </si>
  <si>
    <t>Product transfert</t>
  </si>
  <si>
    <t>1314-13-2</t>
  </si>
  <si>
    <t>Bis-tris propane</t>
  </si>
  <si>
    <t>64431-96-5</t>
  </si>
  <si>
    <t>C11H26N2O6</t>
  </si>
  <si>
    <t> 2,2-Bis(hydroxyethyl)-(iminotris)- (hydroxymethyl)-methane</t>
  </si>
  <si>
    <t>6976-37-0</t>
  </si>
  <si>
    <t>C8H19NO5</t>
  </si>
  <si>
    <t>Iron sulfate</t>
  </si>
  <si>
    <t>7720-78-7</t>
  </si>
  <si>
    <t>Benzoic acid</t>
  </si>
  <si>
    <t>65-85-0</t>
  </si>
  <si>
    <t>69-52-3</t>
  </si>
  <si>
    <t xml:space="preserve">Diethanolamine   </t>
  </si>
  <si>
    <t>7783-40-6</t>
  </si>
  <si>
    <t>Magnesium fluoride</t>
  </si>
  <si>
    <t xml:space="preserve">S = 0,087 g/L (18 ºC)  </t>
  </si>
  <si>
    <t>7784-18-1</t>
  </si>
  <si>
    <t>Aluminium fluoride</t>
  </si>
  <si>
    <t>Aluminium nitrate</t>
  </si>
  <si>
    <t>13473-90-0</t>
  </si>
  <si>
    <t>Graphite</t>
  </si>
  <si>
    <t xml:space="preserve"> 7782-42-5</t>
  </si>
  <si>
    <t xml:space="preserve">S = Insoluble in water  </t>
  </si>
  <si>
    <t>Magnesium oxide</t>
  </si>
  <si>
    <t xml:space="preserve">1309-48-4 </t>
  </si>
  <si>
    <t>Ammonium bifluoride</t>
  </si>
  <si>
    <t>Ethyl lactate</t>
  </si>
  <si>
    <t>97-64-3</t>
  </si>
  <si>
    <t xml:space="preserve">S = Miscible with water  </t>
  </si>
  <si>
    <t xml:space="preserve">S = 630 g/L (20 ºC)  </t>
  </si>
  <si>
    <t>Spermidine</t>
  </si>
  <si>
    <t>145g/L</t>
  </si>
  <si>
    <t>Pyrophosphatase</t>
  </si>
  <si>
    <t>9024-82-2</t>
  </si>
  <si>
    <t>soluble as formulated (not known)</t>
  </si>
  <si>
    <t>9003-98-9</t>
  </si>
  <si>
    <t>DNAse </t>
  </si>
  <si>
    <t>RNAse inhibitor (murin protein) </t>
  </si>
  <si>
    <t>Capping enzyme</t>
  </si>
  <si>
    <t>solubility in water : 250 g/L  (20°C) </t>
  </si>
  <si>
    <t>Iron citrate trihydrate</t>
  </si>
  <si>
    <t>17217-76-4</t>
  </si>
  <si>
    <t>[µg/dose]</t>
  </si>
  <si>
    <t>[µgTOC/dose]</t>
  </si>
  <si>
    <t>64742-53-6 / 64742-49-0
64742-48-9 / 64741-96-4
64741-88-4 / 64742-54-7
64742-65-0 / 64742-52-5</t>
  </si>
  <si>
    <t>FNa</t>
  </si>
  <si>
    <t>124-20-9</t>
  </si>
  <si>
    <t>FeO4S</t>
  </si>
  <si>
    <t>C4H11NO2 / 105,14</t>
  </si>
  <si>
    <t>111-42-2</t>
  </si>
  <si>
    <t>1000 / miscible</t>
  </si>
  <si>
    <t>C12-14-alkyl(hydroxyethyl)dimethyl, ethoxylated, chloride</t>
  </si>
  <si>
    <t>1554325-20-0</t>
  </si>
  <si>
    <t>Lecithin</t>
  </si>
  <si>
    <t>malt extract</t>
  </si>
  <si>
    <t>Peptone, mycological</t>
  </si>
  <si>
    <t>Penicillin G potassium salt</t>
  </si>
  <si>
    <t>15686-71-2</t>
  </si>
  <si>
    <t>C16H17N3O4S</t>
  </si>
  <si>
    <t>8002-43-5</t>
  </si>
  <si>
    <t>C42H80NO8P</t>
  </si>
  <si>
    <t>8002-48-0</t>
  </si>
  <si>
    <t>91079-38-8</t>
  </si>
  <si>
    <t>69-57-8</t>
  </si>
  <si>
    <t>C16H17N2NaO4S.</t>
  </si>
  <si>
    <t>144-62-7</t>
  </si>
  <si>
    <t>Gentamycin sulfate</t>
  </si>
  <si>
    <t>Calcium sulfate dihydrate</t>
  </si>
  <si>
    <t>16068-46-5</t>
  </si>
  <si>
    <t>H3PO4KH</t>
  </si>
  <si>
    <t>Penicillin G soduim salt</t>
  </si>
  <si>
    <t>C16H17KN2O4S</t>
  </si>
  <si>
    <t>113-98-4</t>
  </si>
  <si>
    <t>Cellobiose</t>
  </si>
  <si>
    <t>528-50-7</t>
  </si>
  <si>
    <t>C12H22O11</t>
  </si>
  <si>
    <t>polyamine</t>
  </si>
  <si>
    <t>C7H19N3</t>
  </si>
  <si>
    <t>C14H24N2O7</t>
  </si>
  <si>
    <t>1695-77-8</t>
  </si>
  <si>
    <t>20 g/L</t>
  </si>
  <si>
    <t>C15H22N6O5S</t>
  </si>
  <si>
    <t>29908-03-0</t>
  </si>
  <si>
    <t>S-AdenosylMethionine</t>
  </si>
  <si>
    <t>142298-75-7</t>
  </si>
  <si>
    <t>9014-24-8</t>
  </si>
  <si>
    <t>RNA polymerase</t>
  </si>
  <si>
    <t>500 g/L</t>
  </si>
  <si>
    <t>antibiotic</t>
  </si>
  <si>
    <t>6,2 mg/L</t>
  </si>
  <si>
    <t>MgO</t>
  </si>
  <si>
    <t>C6H11FeO10</t>
  </si>
  <si>
    <t>10,4 g/L</t>
  </si>
  <si>
    <t>C10H16N5O14P3</t>
  </si>
  <si>
    <t>86-01-1</t>
  </si>
  <si>
    <t>C</t>
  </si>
  <si>
    <t>12,5 g/L</t>
  </si>
  <si>
    <t>Cephalexin</t>
  </si>
  <si>
    <t>1,4 g/L</t>
  </si>
  <si>
    <t>&gt; 50</t>
  </si>
  <si>
    <t>unspecified mixt</t>
  </si>
  <si>
    <t>428 g/L</t>
  </si>
  <si>
    <t>50 g/L</t>
  </si>
  <si>
    <t>C16H18N3NaO4S</t>
  </si>
  <si>
    <t xml:space="preserve">5,6 g/L (water at 25°C)  </t>
  </si>
  <si>
    <t>Al(F)3</t>
  </si>
  <si>
    <t>83,33 g/L (25 °C)</t>
  </si>
  <si>
    <t>C9H16N3O14P3</t>
  </si>
  <si>
    <t>65-47-4</t>
  </si>
  <si>
    <t>Cytosine 5'-triphosphate (CTP)</t>
  </si>
  <si>
    <t>≥ 150 mg/mL</t>
  </si>
  <si>
    <t>C9H15N2O15P3</t>
  </si>
  <si>
    <t>63-39-8</t>
  </si>
  <si>
    <t>Uridine 5'-triphosphate (UTP)</t>
  </si>
  <si>
    <t>quaternary ammonium</t>
  </si>
  <si>
    <t>Guanosine tri-phosphate (GTP)</t>
  </si>
  <si>
    <t>partially soluble in water 3 g/L</t>
  </si>
  <si>
    <t>Potassium dihydrogen phosphate</t>
  </si>
  <si>
    <t>assimilated to 69227-22-1</t>
  </si>
  <si>
    <t>PreF3 / pre-F3 antigen</t>
  </si>
  <si>
    <t>Lactone</t>
  </si>
  <si>
    <t>N/A protein crude extract</t>
  </si>
  <si>
    <t>N/A  protein related</t>
  </si>
  <si>
    <t>N/A mixt hydrocarbon</t>
  </si>
  <si>
    <t>N/A nucleic acid</t>
  </si>
  <si>
    <t>N/A Protein</t>
  </si>
  <si>
    <t>N/A inactivated viral extract</t>
  </si>
  <si>
    <t>API inactivated viral strain</t>
  </si>
  <si>
    <t>API protein related</t>
  </si>
  <si>
    <t xml:space="preserve"> related to QS21 / C83H130O46</t>
  </si>
  <si>
    <t>L-Methionine / D,L-Methionine</t>
  </si>
  <si>
    <t>63-68-3 / 59-51-8</t>
  </si>
  <si>
    <t>C7H6O2</t>
  </si>
  <si>
    <t>poorly soluble in water</t>
  </si>
  <si>
    <t>ND</t>
  </si>
  <si>
    <t>GSK4768069</t>
  </si>
  <si>
    <t>LAURETH-4</t>
  </si>
  <si>
    <t>Capto core</t>
  </si>
  <si>
    <t>Celite 545 / Celpure P1000</t>
  </si>
  <si>
    <t>NO(A)EL or LO(A)EL</t>
  </si>
  <si>
    <t xml:space="preserve">pharmacological activity </t>
  </si>
  <si>
    <t>CP1 fusion protein</t>
  </si>
  <si>
    <t>Potassium phosphoric acid</t>
  </si>
  <si>
    <t xml:space="preserve">skin sensitizer </t>
  </si>
  <si>
    <t>Spectinomycin, HCl penta hydrated</t>
  </si>
  <si>
    <t xml:space="preserve"> </t>
  </si>
  <si>
    <t>Ampicilline sodium salt</t>
  </si>
  <si>
    <t xml:space="preserve">Calcium Benzoate </t>
  </si>
  <si>
    <t>2090-05-3</t>
  </si>
  <si>
    <t>Sodium Benzoate</t>
  </si>
  <si>
    <t>532-32-1</t>
  </si>
  <si>
    <t>Potassium Benzoate</t>
  </si>
  <si>
    <t>582-25-2</t>
  </si>
  <si>
    <t>C14H10CaO4</t>
  </si>
  <si>
    <t>C7H5O2Na</t>
  </si>
  <si>
    <t xml:space="preserve">	C7H5KO2</t>
  </si>
  <si>
    <t>492 g/L</t>
  </si>
  <si>
    <t>272 g/L</t>
  </si>
  <si>
    <t>Pending : Tox. Request N° 202101210931</t>
  </si>
  <si>
    <t>Pending : Tox. Request N° 202012030450</t>
  </si>
  <si>
    <t>Pending: Tox. Request N° 202404260017</t>
  </si>
  <si>
    <t>Pending: Tox. Request N° 2024051507491</t>
  </si>
  <si>
    <t>Pending: Tox. Request N°202211210805</t>
  </si>
  <si>
    <t>Pending: Tox. Request N°202012030450</t>
  </si>
  <si>
    <t>Pending: Tox. Request N°202405170028</t>
  </si>
  <si>
    <t>Pending: Tox. Request N°202405170136</t>
  </si>
  <si>
    <t>Pending: Tox request N°202405170051</t>
  </si>
  <si>
    <t>Pending: Tox request N°2024051507492</t>
  </si>
  <si>
    <t>Pending: Tox request N°202405170342</t>
  </si>
  <si>
    <t>Pending: Tox. Request N°202405170258</t>
  </si>
  <si>
    <t>Pending: Tox. Request N°2024051507493</t>
  </si>
  <si>
    <t>Pending: Tox. Request N°202405170321</t>
  </si>
  <si>
    <t>Pending: Tox. Request N°202102220654</t>
  </si>
  <si>
    <t>&gt; 600 g/L</t>
  </si>
  <si>
    <t>Pending</t>
  </si>
  <si>
    <t>CLE-0000007889</t>
  </si>
  <si>
    <r>
      <t>Tox Value for Rinse Evaluation 
[µg</t>
    </r>
    <r>
      <rPr>
        <b/>
        <vertAlign val="subscript"/>
        <sz val="12"/>
        <color theme="1"/>
        <rFont val="Calibri"/>
        <family val="2"/>
        <scheme val="minor"/>
      </rPr>
      <t>TOC</t>
    </r>
    <r>
      <rPr>
        <b/>
        <sz val="12"/>
        <color theme="1"/>
        <rFont val="Calibri"/>
        <family val="2"/>
        <scheme val="minor"/>
      </rPr>
      <t>/dose]</t>
    </r>
  </si>
  <si>
    <r>
      <t>[µgAl</t>
    </r>
    <r>
      <rPr>
        <b/>
        <vertAlign val="superscript"/>
        <sz val="13"/>
        <color theme="1"/>
        <rFont val="Calibri"/>
        <family val="2"/>
        <scheme val="minor"/>
      </rPr>
      <t>3+</t>
    </r>
    <r>
      <rPr>
        <b/>
        <sz val="13"/>
        <color theme="1"/>
        <rFont val="Calibri"/>
        <family val="2"/>
        <scheme val="minor"/>
      </rPr>
      <t>/dose]</t>
    </r>
  </si>
  <si>
    <r>
      <t>AL</t>
    </r>
    <r>
      <rPr>
        <b/>
        <vertAlign val="superscript"/>
        <sz val="16"/>
        <color theme="1"/>
        <rFont val="Calibri"/>
        <family val="2"/>
        <scheme val="minor"/>
      </rPr>
      <t>3+</t>
    </r>
  </si>
  <si>
    <r>
      <t>ARL Al</t>
    </r>
    <r>
      <rPr>
        <b/>
        <vertAlign val="superscript"/>
        <sz val="12"/>
        <color theme="1"/>
        <rFont val="Calibri"/>
        <family val="2"/>
        <scheme val="minor"/>
      </rPr>
      <t>3+</t>
    </r>
  </si>
  <si>
    <r>
      <t>Al</t>
    </r>
    <r>
      <rPr>
        <b/>
        <vertAlign val="superscript"/>
        <sz val="16"/>
        <color theme="0"/>
        <rFont val="Calibri"/>
        <family val="2"/>
        <scheme val="minor"/>
      </rPr>
      <t>3+</t>
    </r>
  </si>
  <si>
    <t>Acceptance criteria
or Mitigation to perform</t>
  </si>
  <si>
    <t>Acceptance criteria
or Action/Mitigation to perform</t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</si>
  <si>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NNaO</t>
    </r>
    <r>
      <rPr>
        <vertAlign val="subscript"/>
        <sz val="12"/>
        <color theme="1"/>
        <rFont val="Calibri"/>
        <family val="2"/>
        <scheme val="minor"/>
      </rPr>
      <t>4</t>
    </r>
  </si>
  <si>
    <r>
      <t>C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8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2</t>
    </r>
  </si>
  <si>
    <r>
      <t xml:space="preserve"> C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S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</si>
  <si>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rFont val="Calibri"/>
        <family val="2"/>
        <scheme val="minor"/>
      </rPr>
      <t>8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10</t>
    </r>
    <r>
      <rPr>
        <sz val="12"/>
        <rFont val="Calibri"/>
        <family val="2"/>
        <scheme val="minor"/>
      </rPr>
      <t>N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</t>
    </r>
  </si>
  <si>
    <r>
      <t>C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9</t>
    </r>
    <r>
      <rPr>
        <sz val="12"/>
        <rFont val="Calibri"/>
        <family val="2"/>
        <scheme val="minor"/>
      </rPr>
      <t>NO</t>
    </r>
  </si>
  <si>
    <r>
      <t>C</t>
    </r>
    <r>
      <rPr>
        <vertAlign val="subscript"/>
        <sz val="12"/>
        <rFont val="Calibri"/>
        <family val="2"/>
        <scheme val="minor"/>
      </rPr>
      <t>6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14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</si>
  <si>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4</t>
    </r>
  </si>
  <si>
    <r>
      <t>C</t>
    </r>
    <r>
      <rPr>
        <vertAlign val="subscript"/>
        <sz val="12"/>
        <rFont val="Calibri"/>
        <family val="2"/>
        <scheme val="minor"/>
      </rPr>
      <t>6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10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</si>
  <si>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</si>
  <si>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5</t>
    </r>
  </si>
  <si>
    <r>
      <t>C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4</t>
    </r>
  </si>
  <si>
    <r>
      <t>C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16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P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</si>
  <si>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P</t>
    </r>
  </si>
  <si>
    <t>Adenovirus ChAd155</t>
  </si>
  <si>
    <r>
      <t>(C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)n with n=1</t>
    </r>
  </si>
  <si>
    <r>
      <t>C</t>
    </r>
    <r>
      <rPr>
        <vertAlign val="subscript"/>
        <sz val="12"/>
        <rFont val="Calibri"/>
        <family val="2"/>
        <scheme val="minor"/>
      </rPr>
      <t>12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23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 xml:space="preserve"> to C</t>
    </r>
    <r>
      <rPr>
        <vertAlign val="subscript"/>
        <sz val="12"/>
        <rFont val="Calibri"/>
        <family val="2"/>
        <scheme val="minor"/>
      </rPr>
      <t>15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29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2</t>
    </r>
  </si>
  <si>
    <r>
      <t>Alcohol ethoxylate propoxylated (C</t>
    </r>
    <r>
      <rPr>
        <vertAlign val="subscript"/>
        <sz val="12"/>
        <rFont val="Calibri"/>
        <family val="2"/>
        <scheme val="minor"/>
      </rPr>
      <t>12</t>
    </r>
    <r>
      <rPr>
        <sz val="12"/>
        <rFont val="Calibri"/>
        <family val="2"/>
        <scheme val="minor"/>
      </rPr>
      <t xml:space="preserve"> - C</t>
    </r>
    <r>
      <rPr>
        <vertAlign val="subscript"/>
        <sz val="12"/>
        <rFont val="Calibri"/>
        <family val="2"/>
        <scheme val="minor"/>
      </rPr>
      <t>15</t>
    </r>
    <r>
      <rPr>
        <sz val="12"/>
        <rFont val="Calibri"/>
        <family val="2"/>
        <scheme val="minor"/>
      </rPr>
      <t>)</t>
    </r>
  </si>
  <si>
    <r>
      <t>(C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4O</t>
    </r>
    <r>
      <rPr>
        <sz val="12"/>
        <rFont val="Calibri"/>
        <family val="2"/>
        <scheme val="minor"/>
      </rPr>
      <t>)1-3(CH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)10-13C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6</t>
    </r>
    <r>
      <rPr>
        <sz val="12"/>
        <rFont val="Calibri"/>
        <family val="2"/>
        <scheme val="minor"/>
      </rPr>
      <t>O</t>
    </r>
  </si>
  <si>
    <r>
      <t>Alcohol propoxylate ethoxylated (C</t>
    </r>
    <r>
      <rPr>
        <vertAlign val="subscript"/>
        <sz val="12"/>
        <rFont val="Calibri"/>
        <family val="2"/>
        <scheme val="minor"/>
      </rPr>
      <t xml:space="preserve">11 </t>
    </r>
    <r>
      <rPr>
        <sz val="12"/>
        <rFont val="Calibri"/>
        <family val="2"/>
        <scheme val="minor"/>
      </rPr>
      <t>- C</t>
    </r>
    <r>
      <rPr>
        <vertAlign val="subscript"/>
        <sz val="12"/>
        <rFont val="Calibri"/>
        <family val="2"/>
        <scheme val="minor"/>
      </rPr>
      <t>15</t>
    </r>
    <r>
      <rPr>
        <sz val="12"/>
        <rFont val="Calibri"/>
        <family val="2"/>
        <scheme val="minor"/>
      </rPr>
      <t>)</t>
    </r>
  </si>
  <si>
    <r>
      <t>C</t>
    </r>
    <r>
      <rPr>
        <vertAlign val="subscript"/>
        <sz val="12"/>
        <rFont val="Calibri"/>
        <family val="2"/>
        <scheme val="minor"/>
      </rPr>
      <t>15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37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</si>
  <si>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70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10</t>
    </r>
  </si>
  <si>
    <r>
      <t>R-(C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N)</t>
    </r>
    <r>
      <rPr>
        <vertAlign val="superscript"/>
        <sz val="12"/>
        <color theme="1"/>
        <rFont val="Calibri"/>
        <family val="2"/>
        <scheme val="minor"/>
      </rPr>
      <t>+</t>
    </r>
    <r>
      <rPr>
        <sz val="12"/>
        <color theme="1"/>
        <rFont val="Calibri"/>
        <family val="2"/>
        <scheme val="minor"/>
      </rPr>
      <t xml:space="preserve"> Cl</t>
    </r>
    <r>
      <rPr>
        <vertAlign val="superscript"/>
        <sz val="12"/>
        <color theme="1"/>
        <rFont val="Calibri"/>
        <family val="2"/>
        <scheme val="minor"/>
      </rPr>
      <t>-</t>
    </r>
    <r>
      <rPr>
        <sz val="12"/>
        <color theme="1"/>
        <rFont val="Calibri"/>
        <family val="2"/>
        <scheme val="minor"/>
      </rPr>
      <t xml:space="preserve">  R=coco oil</t>
    </r>
  </si>
  <si>
    <r>
      <t>Al</t>
    </r>
    <r>
      <rPr>
        <vertAlign val="sub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HNO</t>
    </r>
    <r>
      <rPr>
        <vertAlign val="subscript"/>
        <sz val="12"/>
        <rFont val="Calibri"/>
        <family val="2"/>
        <scheme val="minor"/>
      </rPr>
      <t>3</t>
    </r>
  </si>
  <si>
    <r>
      <t>Al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3</t>
    </r>
  </si>
  <si>
    <r>
      <t>Al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S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·18H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</si>
  <si>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H</t>
    </r>
    <r>
      <rPr>
        <vertAlign val="sub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PS</t>
    </r>
    <r>
      <rPr>
        <vertAlign val="subscript"/>
        <sz val="12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</si>
  <si>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2</t>
    </r>
  </si>
  <si>
    <r>
      <t>NH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HCO</t>
    </r>
    <r>
      <rPr>
        <vertAlign val="subscript"/>
        <sz val="12"/>
        <color theme="1"/>
        <rFont val="Calibri"/>
        <family val="2"/>
        <scheme val="minor"/>
      </rPr>
      <t>3</t>
    </r>
  </si>
  <si>
    <r>
      <t>F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H.H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N</t>
    </r>
  </si>
  <si>
    <r>
      <t>C</t>
    </r>
    <r>
      <rPr>
        <vertAlign val="subscript"/>
        <sz val="12"/>
        <color theme="1"/>
        <rFont val="Calibri"/>
        <family val="2"/>
        <scheme val="minor"/>
      </rPr>
      <t>47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73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17</t>
    </r>
  </si>
  <si>
    <r>
      <t>C</t>
    </r>
    <r>
      <rPr>
        <vertAlign val="subscript"/>
        <sz val="12"/>
        <rFont val="Calibri"/>
        <family val="2"/>
        <scheme val="minor"/>
      </rPr>
      <t>10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10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5</t>
    </r>
  </si>
  <si>
    <r>
      <t>C</t>
    </r>
    <r>
      <rPr>
        <vertAlign val="subscript"/>
        <sz val="12"/>
        <color theme="1"/>
        <rFont val="Calibri"/>
        <family val="2"/>
        <scheme val="minor"/>
      </rPr>
      <t>20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</si>
  <si>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6</t>
    </r>
  </si>
  <si>
    <r>
      <t>C</t>
    </r>
    <r>
      <rPr>
        <vertAlign val="subscript"/>
        <sz val="12"/>
        <color theme="1"/>
        <rFont val="Calibri"/>
        <family val="2"/>
        <scheme val="minor"/>
      </rPr>
      <t>22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23</t>
    </r>
    <r>
      <rPr>
        <sz val="12"/>
        <color theme="1"/>
        <rFont val="Calibri"/>
        <family val="2"/>
        <scheme val="minor"/>
      </rPr>
      <t>ClN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8</t>
    </r>
  </si>
  <si>
    <r>
      <t>N</t>
    </r>
    <r>
      <rPr>
        <vertAlign val="subscript"/>
        <sz val="12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</si>
  <si>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66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103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16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</si>
  <si>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6</t>
    </r>
  </si>
  <si>
    <r>
      <t>C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</si>
  <si>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</si>
  <si>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16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</si>
  <si>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OS</t>
    </r>
  </si>
  <si>
    <r>
      <t>C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10</t>
    </r>
  </si>
  <si>
    <r>
      <t>C</t>
    </r>
    <r>
      <rPr>
        <vertAlign val="subscript"/>
        <sz val="12"/>
        <rFont val="Calibri"/>
        <family val="2"/>
        <scheme val="minor"/>
      </rPr>
      <t>13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27</t>
    </r>
    <r>
      <rPr>
        <sz val="12"/>
        <rFont val="Calibri"/>
        <family val="2"/>
        <scheme val="minor"/>
      </rPr>
      <t>N</t>
    </r>
    <r>
      <rPr>
        <vertAlign val="sub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Si</t>
    </r>
  </si>
  <si>
    <r>
      <t>C</t>
    </r>
    <r>
      <rPr>
        <vertAlign val="subscript"/>
        <sz val="12"/>
        <rFont val="Calibri"/>
        <family val="2"/>
        <scheme val="minor"/>
      </rPr>
      <t>12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24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6</t>
    </r>
  </si>
  <si>
    <r>
      <t>C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32</t>
    </r>
    <r>
      <rPr>
        <sz val="12"/>
        <color theme="1"/>
        <rFont val="Calibri"/>
        <family val="2"/>
        <scheme val="minor"/>
      </rPr>
      <t>CaN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10</t>
    </r>
  </si>
  <si>
    <r>
      <t>CO</t>
    </r>
    <r>
      <rPr>
        <vertAlign val="subscript"/>
        <sz val="12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</si>
  <si>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19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42</t>
    </r>
    <r>
      <rPr>
        <sz val="12"/>
        <color theme="1"/>
        <rFont val="Calibri"/>
        <family val="2"/>
        <scheme val="minor"/>
      </rPr>
      <t>BrN</t>
    </r>
  </si>
  <si>
    <r>
      <t>C</t>
    </r>
    <r>
      <rPr>
        <vertAlign val="subscript"/>
        <sz val="12"/>
        <color theme="1"/>
        <rFont val="Calibri"/>
        <family val="2"/>
        <scheme val="minor"/>
      </rPr>
      <t>27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46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</si>
  <si>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ClNO</t>
    </r>
  </si>
  <si>
    <r>
      <t>Cr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</si>
  <si>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7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</si>
  <si>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·H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</si>
  <si>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RN</t>
    </r>
    <r>
      <rPr>
        <vertAlign val="superscript"/>
        <sz val="12"/>
        <rFont val="Calibri"/>
        <family val="2"/>
        <scheme val="minor"/>
      </rPr>
      <t>+</t>
    </r>
    <r>
      <rPr>
        <sz val="12"/>
        <rFont val="Calibri"/>
        <family val="2"/>
        <scheme val="minor"/>
      </rPr>
      <t>(CH</t>
    </r>
    <r>
      <rPr>
        <vertAlign val="sub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)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CH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CONHCH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CH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NCH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CH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OHCH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CH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COO</t>
    </r>
    <r>
      <rPr>
        <vertAlign val="superscript"/>
        <sz val="12"/>
        <rFont val="Calibri"/>
        <family val="2"/>
        <scheme val="minor"/>
      </rPr>
      <t>-</t>
    </r>
  </si>
  <si>
    <r>
      <t>(C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)n</t>
    </r>
  </si>
  <si>
    <r>
      <t>C</t>
    </r>
    <r>
      <rPr>
        <vertAlign val="subscript"/>
        <sz val="12"/>
        <rFont val="Calibri"/>
        <family val="2"/>
        <scheme val="minor"/>
      </rPr>
      <t>9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12</t>
    </r>
  </si>
  <si>
    <r>
      <t>C</t>
    </r>
    <r>
      <rPr>
        <vertAlign val="subscript"/>
        <sz val="12"/>
        <rFont val="Calibri"/>
        <family val="2"/>
        <scheme val="minor"/>
      </rPr>
      <t>9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12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2</t>
    </r>
  </si>
  <si>
    <r>
      <t>CuSO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·5H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</si>
  <si>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</si>
  <si>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15</t>
    </r>
    <r>
      <rPr>
        <sz val="12"/>
        <color theme="1"/>
        <rFont val="Calibri"/>
        <family val="2"/>
        <scheme val="minor"/>
      </rPr>
      <t>N</t>
    </r>
  </si>
  <si>
    <r>
      <t>HO[Si(CH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O]</t>
    </r>
    <r>
      <rPr>
        <vertAlign val="subscript"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H</t>
    </r>
  </si>
  <si>
    <r>
      <t>C</t>
    </r>
    <r>
      <rPr>
        <vertAlign val="subscript"/>
        <sz val="12"/>
        <color theme="1"/>
        <rFont val="Calibri"/>
        <family val="2"/>
        <scheme val="minor"/>
      </rPr>
      <t>44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84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P</t>
    </r>
  </si>
  <si>
    <r>
      <t>C</t>
    </r>
    <r>
      <rPr>
        <vertAlign val="subscript"/>
        <sz val="12"/>
        <color theme="1"/>
        <rFont val="Calibri"/>
        <family val="2"/>
        <scheme val="minor"/>
      </rPr>
      <t>94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178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25</t>
    </r>
    <r>
      <rPr>
        <sz val="12"/>
        <color theme="1"/>
        <rFont val="Calibri"/>
        <family val="2"/>
        <scheme val="minor"/>
      </rPr>
      <t>P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</si>
  <si>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Na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•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</si>
  <si>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Na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HPO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•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</si>
  <si>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33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54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</si>
  <si>
    <r>
      <t>C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29</t>
    </r>
    <r>
      <rPr>
        <sz val="12"/>
        <color theme="1"/>
        <rFont val="Calibri"/>
        <family val="2"/>
        <scheme val="minor"/>
      </rPr>
      <t>NaO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</si>
  <si>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</si>
  <si>
    <r>
      <t>C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</si>
  <si>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·HCl</t>
    </r>
  </si>
  <si>
    <r>
      <t>C</t>
    </r>
    <r>
      <rPr>
        <vertAlign val="subscript"/>
        <sz val="12"/>
        <color theme="1"/>
        <rFont val="Calibri"/>
        <family val="2"/>
        <scheme val="minor"/>
      </rPr>
      <t>28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44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</si>
  <si>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</si>
  <si>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</si>
  <si>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11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24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</si>
  <si>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rFont val="Calibri"/>
        <family val="2"/>
        <scheme val="minor"/>
      </rPr>
      <t>5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10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</si>
  <si>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</si>
  <si>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</si>
  <si>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16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8</t>
    </r>
  </si>
  <si>
    <r>
      <t>C</t>
    </r>
    <r>
      <rPr>
        <vertAlign val="subscript"/>
        <sz val="12"/>
        <color theme="1"/>
        <rFont val="Calibri"/>
        <family val="2"/>
        <scheme val="minor"/>
      </rPr>
      <t>19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19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6</t>
    </r>
  </si>
  <si>
    <r>
      <t>CH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</si>
  <si>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</si>
  <si>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rFont val="Calibri"/>
        <family val="2"/>
        <scheme val="minor"/>
      </rPr>
      <t>18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19</t>
    </r>
    <r>
      <rPr>
        <sz val="12"/>
        <rFont val="Calibri"/>
        <family val="2"/>
        <scheme val="minor"/>
      </rPr>
      <t>N</t>
    </r>
    <r>
      <rPr>
        <vertAlign val="subscript"/>
        <sz val="12"/>
        <rFont val="Calibri"/>
        <family val="2"/>
        <scheme val="minor"/>
      </rPr>
      <t>5</t>
    </r>
    <r>
      <rPr>
        <sz val="12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</si>
  <si>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•H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</si>
  <si>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</si>
  <si>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</si>
  <si>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</si>
  <si>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</si>
  <si>
    <r>
      <t>C</t>
    </r>
    <r>
      <rPr>
        <vertAlign val="subscript"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33</t>
    </r>
    <r>
      <rPr>
        <sz val="12"/>
        <color theme="1"/>
        <rFont val="Calibri"/>
        <family val="2"/>
        <scheme val="minor"/>
      </rPr>
      <t>FeN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</si>
  <si>
    <r>
      <t>C</t>
    </r>
    <r>
      <rPr>
        <vertAlign val="subscript"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32</t>
    </r>
    <r>
      <rPr>
        <sz val="12"/>
        <color theme="1"/>
        <rFont val="Calibri"/>
        <family val="2"/>
        <scheme val="minor"/>
      </rPr>
      <t>ClFeN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4</t>
    </r>
  </si>
  <si>
    <r>
      <t>C</t>
    </r>
    <r>
      <rPr>
        <vertAlign val="subscript"/>
        <sz val="12"/>
        <color theme="1"/>
        <rFont val="Calibri"/>
        <family val="2"/>
        <scheme val="minor"/>
      </rPr>
      <t>21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30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</si>
  <si>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</si>
  <si>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</si>
  <si>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</si>
  <si>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</si>
  <si>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36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11</t>
    </r>
    <r>
      <rPr>
        <sz val="12"/>
        <color theme="1"/>
        <rFont val="Calibri"/>
        <family val="2"/>
        <scheme val="minor"/>
      </rPr>
      <t>•H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SO</t>
    </r>
    <r>
      <rPr>
        <vertAlign val="subscript"/>
        <sz val="12"/>
        <color theme="1"/>
        <rFont val="Calibri"/>
        <family val="2"/>
        <scheme val="minor"/>
      </rPr>
      <t>4</t>
    </r>
  </si>
  <si>
    <r>
      <t>C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4</t>
    </r>
  </si>
  <si>
    <r>
      <t>C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</si>
  <si>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141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224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46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29</t>
    </r>
    <r>
      <rPr>
        <sz val="12"/>
        <color theme="1"/>
        <rFont val="Calibri"/>
        <family val="2"/>
        <scheme val="minor"/>
      </rPr>
      <t>S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</si>
  <si>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11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</si>
  <si>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</si>
  <si>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·HCl</t>
    </r>
  </si>
  <si>
    <r>
      <t>C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</si>
  <si>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4</t>
    </r>
  </si>
  <si>
    <r>
      <t>C</t>
    </r>
    <r>
      <rPr>
        <vertAlign val="subscript"/>
        <sz val="12"/>
        <rFont val="Calibri"/>
        <family val="2"/>
        <scheme val="minor"/>
      </rPr>
      <t>14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30</t>
    </r>
    <r>
      <rPr>
        <sz val="12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</si>
  <si>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</si>
  <si>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S·HCl</t>
    </r>
  </si>
  <si>
    <r>
      <t>C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S.HCl.H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</si>
  <si>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S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</si>
  <si>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4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</si>
  <si>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</si>
  <si>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</si>
  <si>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</si>
  <si>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</si>
  <si>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30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</si>
  <si>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</si>
  <si>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</si>
  <si>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·HCl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</si>
  <si>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</si>
  <si>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11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</si>
  <si>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</si>
  <si>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</si>
  <si>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</si>
  <si>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11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</si>
  <si>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11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2</t>
    </r>
  </si>
  <si>
    <r>
      <t>F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Mg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</si>
  <si>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6</t>
    </r>
  </si>
  <si>
    <r>
      <t>C</t>
    </r>
    <r>
      <rPr>
        <vertAlign val="subscript"/>
        <sz val="12"/>
        <rFont val="Calibri"/>
        <family val="2"/>
        <scheme val="minor"/>
      </rPr>
      <t>22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49</t>
    </r>
    <r>
      <rPr>
        <sz val="12"/>
        <rFont val="Calibri"/>
        <family val="2"/>
        <scheme val="minor"/>
      </rPr>
      <t>NO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</si>
  <si>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11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</si>
  <si>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CH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</si>
  <si>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</si>
  <si>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</si>
  <si>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19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</si>
  <si>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8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</si>
  <si>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NO</t>
    </r>
  </si>
  <si>
    <r>
      <t>C</t>
    </r>
    <r>
      <rPr>
        <vertAlign val="subscript"/>
        <sz val="12"/>
        <color theme="1"/>
        <rFont val="Calibri"/>
        <family val="2"/>
        <scheme val="minor"/>
      </rPr>
      <t>96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181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22</t>
    </r>
    <r>
      <rPr>
        <sz val="12"/>
        <color theme="1"/>
        <rFont val="Calibri"/>
        <family val="2"/>
        <scheme val="minor"/>
      </rPr>
      <t>P</t>
    </r>
  </si>
  <si>
    <r>
      <t>C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28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</si>
  <si>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41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</si>
  <si>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NNa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8</t>
    </r>
  </si>
  <si>
    <r>
      <t>C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</si>
  <si>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</si>
  <si>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21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27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P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</si>
  <si>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</si>
  <si>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15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28</t>
    </r>
    <r>
      <rPr>
        <sz val="12"/>
        <color theme="1"/>
        <rFont val="Calibri"/>
        <family val="2"/>
        <scheme val="minor"/>
      </rPr>
      <t>NNaO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</si>
  <si>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15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24</t>
    </r>
    <r>
      <rPr>
        <sz val="12"/>
        <color theme="1"/>
        <rFont val="Calibri"/>
        <family val="2"/>
        <scheme val="minor"/>
      </rPr>
      <t>(OCH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CH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OH</t>
    </r>
  </si>
  <si>
    <r>
      <t>C</t>
    </r>
    <r>
      <rPr>
        <vertAlign val="subscript"/>
        <sz val="12"/>
        <rFont val="Calibri"/>
        <family val="2"/>
        <scheme val="minor"/>
      </rPr>
      <t>15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24</t>
    </r>
    <r>
      <rPr>
        <sz val="12"/>
        <rFont val="Calibri"/>
        <family val="2"/>
        <scheme val="minor"/>
      </rPr>
      <t>O.(C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O)</t>
    </r>
    <r>
      <rPr>
        <vertAlign val="subscript"/>
        <sz val="12"/>
        <rFont val="Calibri"/>
        <family val="2"/>
        <scheme val="minor"/>
      </rPr>
      <t>n</t>
    </r>
    <r>
      <rPr>
        <sz val="12"/>
        <rFont val="Calibri"/>
        <family val="2"/>
        <scheme val="minor"/>
      </rPr>
      <t xml:space="preserve"> (n &lt; or = 10)</t>
    </r>
  </si>
  <si>
    <r>
      <t>C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</si>
  <si>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·2H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</si>
  <si>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6</t>
    </r>
  </si>
  <si>
    <r>
      <t>C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</si>
  <si>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16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</si>
  <si>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19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4</t>
    </r>
  </si>
  <si>
    <r>
      <t>C</t>
    </r>
    <r>
      <rPr>
        <vertAlign val="subscript"/>
        <sz val="12"/>
        <rFont val="Calibri"/>
        <family val="2"/>
        <scheme val="minor"/>
      </rPr>
      <t>5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12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</si>
  <si>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</si>
  <si>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19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</si>
  <si>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</si>
  <si>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FO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</si>
  <si>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4</t>
    </r>
  </si>
  <si>
    <r>
      <t>C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</si>
  <si>
    <r>
      <t>[-Si(CH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O-]n with n=1</t>
    </r>
  </si>
  <si>
    <r>
      <t>C</t>
    </r>
    <r>
      <rPr>
        <vertAlign val="subscript"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27</t>
    </r>
    <r>
      <rPr>
        <sz val="12"/>
        <color theme="1"/>
        <rFont val="Calibri"/>
        <family val="2"/>
        <scheme val="minor"/>
      </rPr>
      <t>(OCH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CH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</t>
    </r>
    <r>
      <rPr>
        <vertAlign val="subscript"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OH (n=12)</t>
    </r>
  </si>
  <si>
    <r>
      <t>C</t>
    </r>
    <r>
      <rPr>
        <vertAlign val="subscript"/>
        <sz val="12"/>
        <rFont val="Calibri"/>
        <family val="2"/>
        <scheme val="minor"/>
      </rPr>
      <t>24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58</t>
    </r>
    <r>
      <rPr>
        <sz val="12"/>
        <rFont val="Calibri"/>
        <family val="2"/>
        <scheme val="minor"/>
      </rPr>
      <t>S</t>
    </r>
    <r>
      <rPr>
        <vertAlign val="subscript"/>
        <sz val="12"/>
        <rFont val="Calibri"/>
        <family val="2"/>
        <scheme val="minor"/>
      </rPr>
      <t>15</t>
    </r>
  </si>
  <si>
    <r>
      <t>C</t>
    </r>
    <r>
      <rPr>
        <vertAlign val="subscript"/>
        <sz val="12"/>
        <rFont val="Calibri"/>
        <family val="2"/>
        <scheme val="minor"/>
      </rPr>
      <t>6</t>
    </r>
    <r>
      <rPr>
        <sz val="12"/>
        <rFont val="Calibri"/>
        <family val="2"/>
        <scheme val="minor"/>
      </rPr>
      <t>FeK</t>
    </r>
    <r>
      <rPr>
        <vertAlign val="sub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N</t>
    </r>
    <r>
      <rPr>
        <vertAlign val="subscript"/>
        <sz val="12"/>
        <rFont val="Calibri"/>
        <family val="2"/>
        <scheme val="minor"/>
      </rPr>
      <t>6</t>
    </r>
  </si>
  <si>
    <r>
      <t>C</t>
    </r>
    <r>
      <rPr>
        <vertAlign val="sub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8</t>
    </r>
  </si>
  <si>
    <r>
      <t>C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·2HCl</t>
    </r>
  </si>
  <si>
    <r>
      <t>C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·HCl</t>
    </r>
  </si>
  <si>
    <r>
      <t>C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11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·HCl</t>
    </r>
  </si>
  <si>
    <r>
      <t>C</t>
    </r>
    <r>
      <rPr>
        <vertAlign val="subscript"/>
        <sz val="12"/>
        <color theme="1"/>
        <rFont val="Calibri"/>
        <family val="2"/>
        <scheme val="minor"/>
      </rPr>
      <t>30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46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</si>
  <si>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</si>
  <si>
    <r>
      <t>C</t>
    </r>
    <r>
      <rPr>
        <vertAlign val="subscript"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20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6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</si>
  <si>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NaO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</si>
  <si>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NaO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·3H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</si>
  <si>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Na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7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</si>
  <si>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Na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·2H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</si>
  <si>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S•Na</t>
    </r>
  </si>
  <si>
    <r>
      <t>CH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BNNa</t>
    </r>
  </si>
  <si>
    <r>
      <t>C</t>
    </r>
    <r>
      <rPr>
        <vertAlign val="subscript"/>
        <sz val="12"/>
        <color theme="1"/>
        <rFont val="Calibri"/>
        <family val="2"/>
        <scheme val="minor"/>
      </rPr>
      <t>20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37</t>
    </r>
    <r>
      <rPr>
        <sz val="12"/>
        <color theme="1"/>
        <rFont val="Calibri"/>
        <family val="2"/>
        <scheme val="minor"/>
      </rPr>
      <t>NaO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</si>
  <si>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11</t>
    </r>
    <r>
      <rPr>
        <sz val="12"/>
        <color theme="1"/>
        <rFont val="Calibri"/>
        <family val="2"/>
        <scheme val="minor"/>
      </rPr>
      <t>NaO</t>
    </r>
    <r>
      <rPr>
        <vertAlign val="subscript"/>
        <sz val="12"/>
        <color theme="1"/>
        <rFont val="Calibri"/>
        <family val="2"/>
        <scheme val="minor"/>
      </rPr>
      <t>7</t>
    </r>
  </si>
  <si>
    <r>
      <t>C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29</t>
    </r>
    <r>
      <rPr>
        <sz val="12"/>
        <color theme="1"/>
        <rFont val="Calibri"/>
        <family val="2"/>
        <scheme val="minor"/>
      </rPr>
      <t>NaO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</si>
  <si>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rFont val="Calibri"/>
        <family val="2"/>
        <scheme val="minor"/>
      </rPr>
      <t>7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7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9</t>
    </r>
    <r>
      <rPr>
        <sz val="12"/>
        <rFont val="Calibri"/>
        <family val="2"/>
        <scheme val="minor"/>
      </rPr>
      <t>P.4Na</t>
    </r>
  </si>
  <si>
    <r>
      <t>(NaPO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)x</t>
    </r>
  </si>
  <si>
    <r>
      <t>C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•Na</t>
    </r>
  </si>
  <si>
    <r>
      <t>Na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Si</t>
    </r>
  </si>
  <si>
    <r>
      <t>Na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SO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</t>
    </r>
  </si>
  <si>
    <r>
      <t>Na2SO3 or 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S.2Na</t>
    </r>
  </si>
  <si>
    <r>
      <t>C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NaO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S</t>
    </r>
  </si>
  <si>
    <r>
      <t>Na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S</t>
    </r>
    <r>
      <rPr>
        <vertAlign val="subscript"/>
        <sz val="12"/>
        <color theme="1"/>
        <rFont val="Calibri"/>
        <family val="2"/>
        <scheme val="minor"/>
      </rPr>
      <t>2</t>
    </r>
  </si>
  <si>
    <r>
      <t>Na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P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</si>
  <si>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SNa</t>
    </r>
  </si>
  <si>
    <r>
      <t>C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36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</si>
  <si>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Mg</t>
    </r>
    <r>
      <rPr>
        <vertAlign val="sub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Si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10</t>
    </r>
    <r>
      <rPr>
        <sz val="12"/>
        <rFont val="Calibri"/>
        <family val="2"/>
        <scheme val="minor"/>
      </rPr>
      <t>(OH)</t>
    </r>
    <r>
      <rPr>
        <vertAlign val="subscript"/>
        <sz val="12"/>
        <rFont val="Calibri"/>
        <family val="2"/>
        <scheme val="minor"/>
      </rPr>
      <t>2</t>
    </r>
  </si>
  <si>
    <r>
      <t>K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P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</si>
  <si>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19</t>
    </r>
    <r>
      <rPr>
        <sz val="12"/>
        <color theme="1"/>
        <rFont val="Calibri"/>
        <family val="2"/>
        <scheme val="minor"/>
      </rPr>
      <t>ClN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P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</si>
  <si>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ClN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OS·HCl</t>
    </r>
  </si>
  <si>
    <r>
      <t>C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S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</si>
  <si>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HgNaO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S</t>
    </r>
  </si>
  <si>
    <r>
      <t>C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</si>
  <si>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</si>
  <si>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Na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P</t>
    </r>
  </si>
  <si>
    <r>
      <t>Na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P·12H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</si>
  <si>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11</t>
    </r>
    <r>
      <rPr>
        <sz val="12"/>
        <color theme="1"/>
        <rFont val="Calibri"/>
        <family val="2"/>
        <scheme val="minor"/>
      </rPr>
      <t>NO</t>
    </r>
    <r>
      <rPr>
        <vertAlign val="subscript"/>
        <sz val="12"/>
        <color theme="1"/>
        <rFont val="Calibri"/>
        <family val="2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</si>
  <si>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scheme val="minor"/>
      </rPr>
      <t>58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114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26</t>
    </r>
  </si>
  <si>
    <r>
      <t>C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</si>
  <si>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CH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</si>
  <si>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6</t>
    </r>
  </si>
  <si>
    <r>
      <t>C</t>
    </r>
    <r>
      <rPr>
        <vertAlign val="subscript"/>
        <sz val="12"/>
        <color theme="1"/>
        <rFont val="Calibri"/>
        <family val="2"/>
        <scheme val="minor"/>
      </rPr>
      <t>22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32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</si>
  <si>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r>
      <t>C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H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N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</si>
  <si>
    <t>Process / QC</t>
  </si>
  <si>
    <t xml:space="preserve">Aluminium chloride </t>
  </si>
  <si>
    <t xml:space="preserve">7446-70-0 </t>
  </si>
  <si>
    <t>CLE-0000000686</t>
  </si>
  <si>
    <t xml:space="preserve">Ammonium vanadate </t>
  </si>
  <si>
    <t>7803-55-6</t>
  </si>
  <si>
    <t>QC</t>
  </si>
  <si>
    <t>CLE-0000000494</t>
  </si>
  <si>
    <t>Barbital Sodium</t>
  </si>
  <si>
    <t>144-02-5</t>
  </si>
  <si>
    <t>C8H11N2NaO3</t>
  </si>
  <si>
    <t>CLE-0000003596</t>
  </si>
  <si>
    <t xml:space="preserve">Barium acetate </t>
  </si>
  <si>
    <t xml:space="preserve">543-80-6 </t>
  </si>
  <si>
    <t>CLE-0000000434</t>
  </si>
  <si>
    <t xml:space="preserve">Cadmium chloride anhydrous </t>
  </si>
  <si>
    <t xml:space="preserve">10108-64-2 </t>
  </si>
  <si>
    <t>CLE-0000000498</t>
  </si>
  <si>
    <t>Cadmium chloride hemipentahydrate</t>
  </si>
  <si>
    <t xml:space="preserve">7790-78-5 </t>
  </si>
  <si>
    <t>CLE-0000000438</t>
  </si>
  <si>
    <t xml:space="preserve">Cadmium sulfate octahydrate </t>
  </si>
  <si>
    <t xml:space="preserve">7790-84-3 </t>
  </si>
  <si>
    <t>CLE-0000000502</t>
  </si>
  <si>
    <t>15176-29-1</t>
  </si>
  <si>
    <t>CLE-0000000670</t>
  </si>
  <si>
    <t xml:space="preserve">Ferrous chloride tetrahydrate </t>
  </si>
  <si>
    <t>13478-10-9</t>
  </si>
  <si>
    <t>CLE-0000000510</t>
  </si>
  <si>
    <t>Gelatin</t>
  </si>
  <si>
    <t>9000-70-8</t>
  </si>
  <si>
    <t>C6H12O6</t>
  </si>
  <si>
    <t>67 mg/mL at 50 °C</t>
  </si>
  <si>
    <t>CLE-0000003634</t>
  </si>
  <si>
    <t>1310-53-8</t>
  </si>
  <si>
    <t>CLE-0000000418</t>
  </si>
  <si>
    <t xml:space="preserve">Hydrazine sulfate </t>
  </si>
  <si>
    <t>10034-93-2</t>
  </si>
  <si>
    <t>CLE-0000000698</t>
  </si>
  <si>
    <t xml:space="preserve">Mercuric Iodide </t>
  </si>
  <si>
    <t>7774-29-0</t>
  </si>
  <si>
    <t>HgI2</t>
  </si>
  <si>
    <t>CLE-0000000278</t>
  </si>
  <si>
    <t>Methenamine</t>
  </si>
  <si>
    <t>100-97-0</t>
  </si>
  <si>
    <t>CLE-0000000274</t>
  </si>
  <si>
    <t>PQRI</t>
  </si>
  <si>
    <t>CLE-0000000262</t>
  </si>
  <si>
    <t xml:space="preserve">Nickel chloride hexahydrate </t>
  </si>
  <si>
    <t>7791-20-0</t>
  </si>
  <si>
    <t>CLE-0000000211</t>
  </si>
  <si>
    <t xml:space="preserve">Potassium cyanate </t>
  </si>
  <si>
    <t>590-28-3</t>
  </si>
  <si>
    <t>CKNO</t>
  </si>
  <si>
    <t>CLE-0000000207</t>
  </si>
  <si>
    <t xml:space="preserve">Resazurin </t>
  </si>
  <si>
    <t>550-82-3</t>
  </si>
  <si>
    <t>CLE-0000003401</t>
  </si>
  <si>
    <t>Resorcinol</t>
  </si>
  <si>
    <t>108-46-3</t>
  </si>
  <si>
    <t>C6H6O2</t>
  </si>
  <si>
    <t>CLE-0000002336</t>
  </si>
  <si>
    <t xml:space="preserve">Rubidium chloride </t>
  </si>
  <si>
    <t>7791-11-9</t>
  </si>
  <si>
    <t>RbCl</t>
  </si>
  <si>
    <t>CLE-0000000600</t>
  </si>
  <si>
    <t xml:space="preserve">Sodium metavanadate </t>
  </si>
  <si>
    <t xml:space="preserve">13718-26-8 </t>
  </si>
  <si>
    <t>CLE-0000000215</t>
  </si>
  <si>
    <t xml:space="preserve">Sodium Persulfate </t>
  </si>
  <si>
    <t>7775-27-1</t>
  </si>
  <si>
    <t>CLE-0000000726</t>
  </si>
  <si>
    <t>Streptomycin Sulfate</t>
  </si>
  <si>
    <t>3810-74-0</t>
  </si>
  <si>
    <t>CLE-0000000226</t>
  </si>
  <si>
    <t xml:space="preserve">Titanium tetrachloride </t>
  </si>
  <si>
    <t>7550-45-0</t>
  </si>
  <si>
    <t>CLE-0000000604</t>
  </si>
  <si>
    <t>CLE-0000000378</t>
  </si>
  <si>
    <t>MHRA</t>
  </si>
  <si>
    <t>Cannot be increased</t>
  </si>
  <si>
    <t>Zinc Oxide</t>
  </si>
  <si>
    <t>ZnO</t>
  </si>
  <si>
    <t>CLE-0000000422</t>
  </si>
  <si>
    <t xml:space="preserve">Edoxudine EDU (5-ETHYL-2'-DEOXYURIDINE) </t>
  </si>
  <si>
    <r>
      <t>AlCl</t>
    </r>
    <r>
      <rPr>
        <vertAlign val="subscript"/>
        <sz val="12"/>
        <rFont val="Calibri"/>
        <family val="2"/>
        <scheme val="minor"/>
      </rPr>
      <t>3</t>
    </r>
  </si>
  <si>
    <r>
      <t>H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NO</t>
    </r>
    <r>
      <rPr>
        <vertAlign val="sub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V</t>
    </r>
  </si>
  <si>
    <r>
      <t>C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6</t>
    </r>
    <r>
      <rPr>
        <sz val="12"/>
        <rFont val="Calibri"/>
        <family val="2"/>
        <scheme val="minor"/>
      </rPr>
      <t>BaO</t>
    </r>
    <r>
      <rPr>
        <vertAlign val="subscript"/>
        <sz val="12"/>
        <rFont val="Calibri"/>
        <family val="2"/>
        <scheme val="minor"/>
      </rPr>
      <t>4</t>
    </r>
  </si>
  <si>
    <r>
      <t>CdCl</t>
    </r>
    <r>
      <rPr>
        <vertAlign val="subscript"/>
        <sz val="12"/>
        <rFont val="Calibri"/>
        <family val="2"/>
        <scheme val="minor"/>
      </rPr>
      <t>2</t>
    </r>
  </si>
  <si>
    <r>
      <t>Cd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Cl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10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5</t>
    </r>
  </si>
  <si>
    <r>
      <t>CdSO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.8H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</t>
    </r>
  </si>
  <si>
    <r>
      <t>C</t>
    </r>
    <r>
      <rPr>
        <vertAlign val="subscript"/>
        <sz val="12"/>
        <rFont val="Calibri"/>
        <family val="2"/>
        <scheme val="minor"/>
      </rPr>
      <t>11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16</t>
    </r>
    <r>
      <rPr>
        <sz val="12"/>
        <rFont val="Calibri"/>
        <family val="2"/>
        <scheme val="minor"/>
      </rPr>
      <t>N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5</t>
    </r>
  </si>
  <si>
    <r>
      <t>FeCl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.4H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</t>
    </r>
  </si>
  <si>
    <r>
      <t>GeO</t>
    </r>
    <r>
      <rPr>
        <vertAlign val="subscript"/>
        <sz val="12"/>
        <rFont val="Calibri"/>
        <family val="2"/>
        <scheme val="minor"/>
      </rPr>
      <t>2</t>
    </r>
  </si>
  <si>
    <t>Process /QC</t>
  </si>
  <si>
    <r>
      <t>H</t>
    </r>
    <r>
      <rPr>
        <vertAlign val="subscript"/>
        <sz val="12"/>
        <rFont val="Calibri"/>
        <family val="2"/>
        <scheme val="minor"/>
      </rPr>
      <t>6</t>
    </r>
    <r>
      <rPr>
        <sz val="12"/>
        <rFont val="Calibri"/>
        <family val="2"/>
        <scheme val="minor"/>
      </rPr>
      <t>N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>S</t>
    </r>
  </si>
  <si>
    <r>
      <t>C</t>
    </r>
    <r>
      <rPr>
        <vertAlign val="subscript"/>
        <sz val="12"/>
        <rFont val="Calibri"/>
        <family val="2"/>
        <scheme val="minor"/>
      </rPr>
      <t>6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12</t>
    </r>
    <r>
      <rPr>
        <sz val="12"/>
        <rFont val="Calibri"/>
        <family val="2"/>
        <scheme val="minor"/>
      </rPr>
      <t>N</t>
    </r>
    <r>
      <rPr>
        <vertAlign val="subscript"/>
        <sz val="12"/>
        <rFont val="Calibri"/>
        <family val="2"/>
        <scheme val="minor"/>
      </rPr>
      <t>4</t>
    </r>
  </si>
  <si>
    <r>
      <t>NiCl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.6H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</t>
    </r>
  </si>
  <si>
    <t>Process/ QC</t>
  </si>
  <si>
    <r>
      <t>C</t>
    </r>
    <r>
      <rPr>
        <vertAlign val="subscript"/>
        <sz val="12"/>
        <rFont val="Calibri"/>
        <family val="2"/>
        <scheme val="minor"/>
      </rPr>
      <t>12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7</t>
    </r>
    <r>
      <rPr>
        <sz val="12"/>
        <rFont val="Calibri"/>
        <family val="2"/>
        <scheme val="minor"/>
      </rPr>
      <t>NO</t>
    </r>
    <r>
      <rPr>
        <vertAlign val="subscript"/>
        <sz val="12"/>
        <rFont val="Calibri"/>
        <family val="2"/>
        <scheme val="minor"/>
      </rPr>
      <t>4</t>
    </r>
  </si>
  <si>
    <t>QC / Process</t>
  </si>
  <si>
    <r>
      <t>NaVO</t>
    </r>
    <r>
      <rPr>
        <vertAlign val="subscript"/>
        <sz val="12"/>
        <rFont val="Calibri"/>
        <family val="2"/>
        <scheme val="minor"/>
      </rPr>
      <t>3</t>
    </r>
  </si>
  <si>
    <r>
      <t>Na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S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8</t>
    </r>
  </si>
  <si>
    <r>
      <t>2C</t>
    </r>
    <r>
      <rPr>
        <vertAlign val="subscript"/>
        <sz val="12"/>
        <rFont val="Calibri"/>
        <family val="2"/>
        <scheme val="minor"/>
      </rPr>
      <t>21</t>
    </r>
    <r>
      <rPr>
        <sz val="12"/>
        <rFont val="Calibri"/>
        <family val="2"/>
        <scheme val="minor"/>
      </rPr>
      <t>H</t>
    </r>
    <r>
      <rPr>
        <vertAlign val="subscript"/>
        <sz val="12"/>
        <rFont val="Calibri"/>
        <family val="2"/>
        <scheme val="minor"/>
      </rPr>
      <t>39</t>
    </r>
    <r>
      <rPr>
        <sz val="12"/>
        <rFont val="Calibri"/>
        <family val="2"/>
        <scheme val="minor"/>
      </rPr>
      <t>N</t>
    </r>
    <r>
      <rPr>
        <vertAlign val="subscript"/>
        <sz val="12"/>
        <rFont val="Calibri"/>
        <family val="2"/>
        <scheme val="minor"/>
      </rPr>
      <t>7</t>
    </r>
    <r>
      <rPr>
        <sz val="12"/>
        <rFont val="Calibri"/>
        <family val="2"/>
        <scheme val="minor"/>
      </rPr>
      <t>O</t>
    </r>
    <r>
      <rPr>
        <vertAlign val="subscript"/>
        <sz val="12"/>
        <rFont val="Calibri"/>
        <family val="2"/>
        <scheme val="minor"/>
      </rPr>
      <t>12</t>
    </r>
    <r>
      <rPr>
        <sz val="12"/>
        <rFont val="Calibri"/>
        <family val="2"/>
        <scheme val="minor"/>
      </rPr>
      <t>.3H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SO</t>
    </r>
    <r>
      <rPr>
        <vertAlign val="subscript"/>
        <sz val="12"/>
        <rFont val="Calibri"/>
        <family val="2"/>
        <scheme val="minor"/>
      </rPr>
      <t>4</t>
    </r>
  </si>
  <si>
    <r>
      <t>TiCl</t>
    </r>
    <r>
      <rPr>
        <vertAlign val="subscript"/>
        <sz val="12"/>
        <rFont val="Calibri"/>
        <family val="2"/>
        <scheme val="minor"/>
      </rPr>
      <t>4</t>
    </r>
  </si>
  <si>
    <t>CLE-0000000386</t>
  </si>
  <si>
    <t>CLE-0000000382</t>
  </si>
  <si>
    <t>CLE-0000000462</t>
  </si>
  <si>
    <t>CLE-0000000406</t>
  </si>
  <si>
    <t>CLE-0000000410</t>
  </si>
  <si>
    <t>CLE-0000004080</t>
  </si>
  <si>
    <t>CLE-0000000238</t>
  </si>
  <si>
    <t>CLE-0000000514</t>
  </si>
  <si>
    <t>CLE-0000000230</t>
  </si>
  <si>
    <t>CLE-0000000534</t>
  </si>
  <si>
    <t>CLE-0000000640</t>
  </si>
  <si>
    <t>CLE-0000007667</t>
  </si>
  <si>
    <t>CLE-0000007673</t>
  </si>
  <si>
    <t>CLE-0000008277</t>
  </si>
  <si>
    <t>Sensitizer CLE-0000007673</t>
  </si>
  <si>
    <t>potent activity at low dose
CLE-0000007673</t>
  </si>
  <si>
    <t>Carcinogen TD50
CLE-0000007673</t>
  </si>
  <si>
    <t>genotoxic</t>
  </si>
  <si>
    <t>Carcinogen</t>
  </si>
  <si>
    <t xml:space="preserve">Germanium (IV) oxide </t>
  </si>
  <si>
    <t>Resazurin sodium</t>
  </si>
  <si>
    <t>Belgium all</t>
  </si>
  <si>
    <t>Dresden All</t>
  </si>
  <si>
    <t>Rosia All</t>
  </si>
  <si>
    <t>Singapore All</t>
  </si>
  <si>
    <t>CMO All</t>
  </si>
  <si>
    <t>CLE-0000006251</t>
  </si>
  <si>
    <t>CLE-0000021060</t>
  </si>
  <si>
    <t>VQD-AST-126559</t>
  </si>
  <si>
    <t>Update of the toxicological assessments</t>
  </si>
  <si>
    <t>VQD-AST-143383</t>
  </si>
  <si>
    <t>LTL approach cannot be applied</t>
  </si>
  <si>
    <t>Genotoxic</t>
  </si>
  <si>
    <t>Reproductive/developmental toxicant</t>
  </si>
  <si>
    <t>pharmacological activity</t>
  </si>
  <si>
    <t>Reproductive toxicity:</t>
  </si>
  <si>
    <t>VQD-AST-095881</t>
  </si>
  <si>
    <t>VQD-AST-097822</t>
  </si>
  <si>
    <t>Need dedicated facility</t>
  </si>
  <si>
    <t>VQD-AST-146216</t>
  </si>
  <si>
    <t>VQD-REF-047172</t>
  </si>
  <si>
    <t>VQD-AST-173263</t>
  </si>
  <si>
    <t>VQD-REF-047172 + Annex VQD-AST-173252</t>
  </si>
  <si>
    <t>VQD-AST-171051</t>
  </si>
  <si>
    <t>No except if adequatly justified</t>
  </si>
  <si>
    <t>VQD-AST-174199</t>
  </si>
  <si>
    <t>No or less than factor 10</t>
  </si>
  <si>
    <t>VQD-AST-173708</t>
  </si>
  <si>
    <t xml:space="preserve">VQD-AST-174947 </t>
  </si>
  <si>
    <t>VQD-AST-174936</t>
  </si>
  <si>
    <t>VQD-REF-047172 + Annex VQD-AST-171221</t>
  </si>
  <si>
    <t>p-coumaric acid</t>
  </si>
  <si>
    <t>Workbook TTCG4  v26.0</t>
  </si>
  <si>
    <t>Compound compilation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</si>
</sst>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0.0####"/>
    <numFmt numFmtId="166" formatCode="0.0000"/>
    <numFmt numFmtId="167" formatCode="0.00000"/>
    <numFmt numFmtId="168" formatCode="[$-409]d\-mmm\-yy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vertAlign val="superscript"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vertAlign val="superscript"/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vertAlign val="superscript"/>
      <sz val="13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u/>
      <sz val="7.5"/>
      <color indexed="12"/>
      <name val="Arial"/>
      <family val="2"/>
    </font>
    <font>
      <b/>
      <sz val="12"/>
      <name val="Calibri"/>
      <family val="2"/>
      <scheme val="minor"/>
    </font>
    <font>
      <vertAlign val="subscript"/>
      <sz val="12"/>
      <name val="Calibri"/>
      <family val="2"/>
      <scheme val="minor"/>
    </font>
    <font>
      <sz val="12"/>
      <color rgb="FF000000"/>
      <name val="Arial"/>
      <family val="2"/>
    </font>
    <font>
      <sz val="12"/>
      <name val="Arial"/>
      <family val="2"/>
    </font>
    <font>
      <vertAlign val="superscript"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</font>
    <font>
      <sz val="12"/>
      <color rgb="FF202124"/>
      <name val="Arial"/>
      <family val="2"/>
    </font>
    <font>
      <vertAlign val="superscript"/>
      <sz val="12"/>
      <name val="Calibri"/>
      <family val="2"/>
      <scheme val="minor"/>
    </font>
    <font>
      <sz val="12"/>
      <color theme="1"/>
      <name val="Arial"/>
      <family val="2"/>
    </font>
    <font>
      <sz val="12"/>
      <color rgb="FF4D5156"/>
      <name val="Arial"/>
      <family val="2"/>
    </font>
    <font>
      <sz val="12"/>
      <color rgb="FF1F497D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0" fontId="3" fillId="0" borderId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164" fontId="16" fillId="10" borderId="1" xfId="0" applyNumberFormat="1" applyFont="1" applyFill="1" applyBorder="1" applyAlignment="1">
      <alignment horizontal="center" vertical="center" wrapText="1"/>
    </xf>
    <xf numFmtId="164" fontId="17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165" fontId="14" fillId="9" borderId="5" xfId="0" applyNumberFormat="1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4" fillId="9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horizontal="center" vertical="center" wrapText="1"/>
    </xf>
    <xf numFmtId="1" fontId="17" fillId="11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textRotation="180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8" fillId="11" borderId="7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 vertical="center"/>
    </xf>
    <xf numFmtId="49" fontId="2" fillId="14" borderId="1" xfId="0" applyNumberFormat="1" applyFont="1" applyFill="1" applyBorder="1" applyAlignment="1">
      <alignment horizontal="center" vertical="center" wrapText="1"/>
    </xf>
    <xf numFmtId="164" fontId="17" fillId="14" borderId="1" xfId="0" applyNumberFormat="1" applyFont="1" applyFill="1" applyBorder="1" applyAlignment="1">
      <alignment horizontal="center" vertical="center" wrapText="1"/>
    </xf>
    <xf numFmtId="1" fontId="17" fillId="14" borderId="1" xfId="0" applyNumberFormat="1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4" fillId="14" borderId="9" xfId="0" applyFont="1" applyFill="1" applyBorder="1" applyAlignment="1">
      <alignment vertical="center" wrapText="1"/>
    </xf>
    <xf numFmtId="164" fontId="17" fillId="14" borderId="6" xfId="0" applyNumberFormat="1" applyFont="1" applyFill="1" applyBorder="1" applyAlignment="1">
      <alignment horizontal="center" vertical="center" wrapText="1"/>
    </xf>
    <xf numFmtId="0" fontId="14" fillId="14" borderId="5" xfId="0" applyFont="1" applyFill="1" applyBorder="1" applyAlignment="1">
      <alignment horizontal="center" vertical="center" wrapText="1"/>
    </xf>
    <xf numFmtId="0" fontId="8" fillId="14" borderId="6" xfId="0" applyFont="1" applyFill="1" applyBorder="1" applyAlignment="1">
      <alignment horizontal="center" vertical="center" wrapText="1"/>
    </xf>
    <xf numFmtId="164" fontId="8" fillId="14" borderId="6" xfId="0" applyNumberFormat="1" applyFont="1" applyFill="1" applyBorder="1" applyAlignment="1">
      <alignment horizontal="center" vertical="center" wrapText="1"/>
    </xf>
    <xf numFmtId="0" fontId="8" fillId="14" borderId="10" xfId="0" applyFont="1" applyFill="1" applyBorder="1" applyAlignment="1">
      <alignment horizontal="center" vertical="center" wrapText="1"/>
    </xf>
    <xf numFmtId="165" fontId="14" fillId="14" borderId="5" xfId="0" applyNumberFormat="1" applyFont="1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textRotation="180" wrapText="1"/>
    </xf>
    <xf numFmtId="0" fontId="0" fillId="14" borderId="1" xfId="0" applyFill="1" applyBorder="1" applyAlignment="1">
      <alignment textRotation="180"/>
    </xf>
    <xf numFmtId="0" fontId="0" fillId="14" borderId="5" xfId="0" applyFill="1" applyBorder="1"/>
    <xf numFmtId="0" fontId="0" fillId="9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3" fillId="9" borderId="9" xfId="0" applyFont="1" applyFill="1" applyBorder="1" applyAlignment="1">
      <alignment vertical="center" wrapText="1"/>
    </xf>
    <xf numFmtId="164" fontId="20" fillId="0" borderId="6" xfId="0" applyNumberFormat="1" applyFont="1" applyBorder="1" applyAlignment="1">
      <alignment horizontal="center" vertical="center"/>
    </xf>
    <xf numFmtId="164" fontId="20" fillId="13" borderId="6" xfId="0" applyNumberFormat="1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165" fontId="23" fillId="9" borderId="5" xfId="0" applyNumberFormat="1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165" fontId="23" fillId="9" borderId="5" xfId="0" applyNumberFormat="1" applyFont="1" applyFill="1" applyBorder="1" applyAlignment="1">
      <alignment vertical="center" wrapText="1"/>
    </xf>
    <xf numFmtId="1" fontId="20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/>
    </xf>
    <xf numFmtId="0" fontId="20" fillId="12" borderId="1" xfId="0" applyFont="1" applyFill="1" applyBorder="1"/>
    <xf numFmtId="0" fontId="20" fillId="0" borderId="1" xfId="1" applyFont="1" applyBorder="1" applyAlignment="1">
      <alignment horizontal="left" vertical="center" wrapText="1"/>
    </xf>
    <xf numFmtId="0" fontId="20" fillId="0" borderId="1" xfId="1" applyFont="1" applyBorder="1" applyAlignment="1">
      <alignment horizontal="center" vertical="center" wrapText="1"/>
    </xf>
    <xf numFmtId="166" fontId="20" fillId="0" borderId="1" xfId="0" applyNumberFormat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20" fillId="9" borderId="9" xfId="0" applyFont="1" applyFill="1" applyBorder="1"/>
    <xf numFmtId="0" fontId="9" fillId="0" borderId="1" xfId="0" applyFont="1" applyBorder="1"/>
    <xf numFmtId="0" fontId="25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/>
    </xf>
    <xf numFmtId="0" fontId="9" fillId="0" borderId="1" xfId="2" applyFont="1" applyBorder="1" applyAlignment="1">
      <alignment horizontal="left" vertical="center" wrapText="1"/>
    </xf>
    <xf numFmtId="49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20" fillId="0" borderId="1" xfId="0" applyFont="1" applyBorder="1"/>
    <xf numFmtId="0" fontId="26" fillId="0" borderId="1" xfId="1" applyFont="1" applyBorder="1" applyAlignment="1">
      <alignment horizontal="left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/>
    </xf>
    <xf numFmtId="166" fontId="20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wrapText="1"/>
    </xf>
    <xf numFmtId="49" fontId="9" fillId="0" borderId="1" xfId="0" applyNumberFormat="1" applyFont="1" applyBorder="1" applyAlignment="1">
      <alignment horizontal="left" vertical="center" wrapText="1"/>
    </xf>
    <xf numFmtId="0" fontId="9" fillId="0" borderId="1" xfId="3" applyFont="1" applyBorder="1" applyAlignment="1">
      <alignment horizontal="left" vertical="center" wrapText="1"/>
    </xf>
    <xf numFmtId="49" fontId="9" fillId="0" borderId="1" xfId="3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49" fontId="9" fillId="12" borderId="1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165" fontId="23" fillId="9" borderId="1" xfId="0" applyNumberFormat="1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/>
    </xf>
    <xf numFmtId="16" fontId="2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20" fillId="9" borderId="5" xfId="0" applyFont="1" applyFill="1" applyBorder="1" applyAlignment="1">
      <alignment horizontal="center" vertical="center"/>
    </xf>
    <xf numFmtId="0" fontId="20" fillId="9" borderId="5" xfId="0" applyFont="1" applyFill="1" applyBorder="1"/>
    <xf numFmtId="0" fontId="9" fillId="0" borderId="1" xfId="0" applyFont="1" applyBorder="1" applyAlignment="1">
      <alignment vertical="center"/>
    </xf>
    <xf numFmtId="0" fontId="31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9" fillId="0" borderId="1" xfId="4" applyFont="1" applyFill="1" applyBorder="1" applyAlignment="1" applyProtection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wrapText="1"/>
    </xf>
    <xf numFmtId="0" fontId="26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vertical="center"/>
    </xf>
    <xf numFmtId="3" fontId="9" fillId="12" borderId="1" xfId="0" applyNumberFormat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3" fillId="9" borderId="8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center" vertical="center" wrapText="1"/>
    </xf>
    <xf numFmtId="49" fontId="20" fillId="12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49" fontId="26" fillId="0" borderId="1" xfId="0" applyNumberFormat="1" applyFont="1" applyBorder="1" applyAlignment="1">
      <alignment horizontal="left" vertical="center" wrapText="1"/>
    </xf>
    <xf numFmtId="49" fontId="9" fillId="0" borderId="1" xfId="3" applyNumberFormat="1" applyFont="1" applyBorder="1" applyAlignment="1">
      <alignment horizontal="left" vertical="center" wrapText="1"/>
    </xf>
    <xf numFmtId="0" fontId="20" fillId="0" borderId="1" xfId="1" applyFont="1" applyBorder="1" applyAlignment="1">
      <alignment horizontal="left" vertical="center"/>
    </xf>
    <xf numFmtId="0" fontId="23" fillId="9" borderId="9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9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/>
    </xf>
    <xf numFmtId="0" fontId="23" fillId="9" borderId="0" xfId="0" applyFont="1" applyFill="1" applyAlignment="1">
      <alignment vertical="center" wrapText="1"/>
    </xf>
    <xf numFmtId="0" fontId="20" fillId="9" borderId="0" xfId="0" applyFont="1" applyFill="1"/>
    <xf numFmtId="164" fontId="9" fillId="7" borderId="2" xfId="0" applyNumberFormat="1" applyFont="1" applyFill="1" applyBorder="1" applyAlignment="1">
      <alignment horizontal="center" vertical="center" wrapText="1"/>
    </xf>
    <xf numFmtId="1" fontId="20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vertical="center" wrapText="1"/>
    </xf>
    <xf numFmtId="165" fontId="23" fillId="9" borderId="2" xfId="0" applyNumberFormat="1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/>
    </xf>
    <xf numFmtId="0" fontId="20" fillId="12" borderId="2" xfId="0" applyFont="1" applyFill="1" applyBorder="1"/>
    <xf numFmtId="1" fontId="20" fillId="0" borderId="1" xfId="0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wrapText="1"/>
    </xf>
    <xf numFmtId="0" fontId="26" fillId="0" borderId="1" xfId="2" applyFont="1" applyBorder="1" applyAlignment="1">
      <alignment horizontal="left" vertical="center" wrapText="1"/>
    </xf>
    <xf numFmtId="49" fontId="26" fillId="0" borderId="1" xfId="2" applyNumberFormat="1" applyFont="1" applyBorder="1" applyAlignment="1">
      <alignment horizontal="center" vertical="center" wrapText="1"/>
    </xf>
    <xf numFmtId="0" fontId="33" fillId="0" borderId="1" xfId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23" fillId="9" borderId="1" xfId="0" applyFont="1" applyFill="1" applyBorder="1" applyAlignment="1">
      <alignment vertical="center" wrapText="1"/>
    </xf>
    <xf numFmtId="165" fontId="23" fillId="9" borderId="1" xfId="0" applyNumberFormat="1" applyFont="1" applyFill="1" applyBorder="1" applyAlignment="1">
      <alignment vertical="center" wrapText="1"/>
    </xf>
    <xf numFmtId="0" fontId="20" fillId="9" borderId="1" xfId="0" applyFont="1" applyFill="1" applyBorder="1"/>
    <xf numFmtId="167" fontId="20" fillId="0" borderId="1" xfId="0" applyNumberFormat="1" applyFont="1" applyBorder="1" applyAlignment="1">
      <alignment horizontal="center" vertical="center"/>
    </xf>
    <xf numFmtId="49" fontId="35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6" fillId="0" borderId="1" xfId="1" applyFont="1" applyBorder="1" applyAlignment="1">
      <alignment vertical="center" wrapText="1"/>
    </xf>
    <xf numFmtId="0" fontId="20" fillId="0" borderId="1" xfId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9" fillId="9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/>
    </xf>
    <xf numFmtId="0" fontId="4" fillId="12" borderId="1" xfId="0" applyFont="1" applyFill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0" fillId="0" borderId="1" xfId="2" applyFont="1" applyBorder="1" applyAlignment="1">
      <alignment horizontal="center" vertical="center"/>
    </xf>
    <xf numFmtId="164" fontId="36" fillId="0" borderId="6" xfId="0" applyNumberFormat="1" applyFont="1" applyBorder="1" applyAlignment="1">
      <alignment horizontal="center" vertical="center"/>
    </xf>
    <xf numFmtId="0" fontId="0" fillId="14" borderId="5" xfId="0" applyFill="1" applyBorder="1" applyAlignment="1">
      <alignment textRotation="180"/>
    </xf>
    <xf numFmtId="0" fontId="2" fillId="8" borderId="1" xfId="0" applyFont="1" applyFill="1" applyBorder="1" applyAlignment="1">
      <alignment horizontal="center" vertical="center" wrapText="1"/>
    </xf>
    <xf numFmtId="0" fontId="38" fillId="15" borderId="7" xfId="0" applyFont="1" applyFill="1" applyBorder="1"/>
    <xf numFmtId="0" fontId="38" fillId="15" borderId="12" xfId="0" applyFont="1" applyFill="1" applyBorder="1"/>
    <xf numFmtId="164" fontId="38" fillId="15" borderId="1" xfId="0" applyNumberFormat="1" applyFont="1" applyFill="1" applyBorder="1" applyAlignment="1">
      <alignment horizontal="center"/>
    </xf>
    <xf numFmtId="168" fontId="37" fillId="15" borderId="1" xfId="0" applyNumberFormat="1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 vertical="center" wrapText="1"/>
    </xf>
    <xf numFmtId="2" fontId="20" fillId="0" borderId="6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49" fontId="9" fillId="0" borderId="4" xfId="0" applyNumberFormat="1" applyFont="1" applyBorder="1" applyAlignment="1">
      <alignment horizontal="left" vertical="center" wrapText="1"/>
    </xf>
    <xf numFmtId="49" fontId="9" fillId="0" borderId="0" xfId="0" applyNumberFormat="1" applyFont="1" applyAlignment="1">
      <alignment horizontal="center" vertical="center" wrapText="1"/>
    </xf>
    <xf numFmtId="166" fontId="20" fillId="0" borderId="2" xfId="0" applyNumberFormat="1" applyFont="1" applyBorder="1" applyAlignment="1">
      <alignment horizontal="center" vertical="center"/>
    </xf>
    <xf numFmtId="49" fontId="9" fillId="12" borderId="2" xfId="0" applyNumberFormat="1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vertical="center" wrapText="1"/>
    </xf>
    <xf numFmtId="0" fontId="20" fillId="9" borderId="8" xfId="0" applyFont="1" applyFill="1" applyBorder="1"/>
    <xf numFmtId="165" fontId="23" fillId="9" borderId="2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top" textRotation="180" wrapText="1"/>
    </xf>
    <xf numFmtId="0" fontId="0" fillId="3" borderId="1" xfId="0" applyFill="1" applyBorder="1" applyAlignment="1">
      <alignment horizontal="center" vertical="top" textRotation="180"/>
    </xf>
    <xf numFmtId="49" fontId="2" fillId="2" borderId="3" xfId="0" applyNumberFormat="1" applyFont="1" applyFill="1" applyBorder="1" applyAlignment="1">
      <alignment horizontal="center" vertical="top" textRotation="180" wrapText="1"/>
    </xf>
    <xf numFmtId="0" fontId="0" fillId="0" borderId="5" xfId="0" applyBorder="1" applyAlignment="1">
      <alignment horizontal="center" vertical="top" textRotation="180"/>
    </xf>
    <xf numFmtId="0" fontId="0" fillId="0" borderId="5" xfId="0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 textRotation="180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textRotation="180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12" fillId="10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164" fontId="2" fillId="8" borderId="1" xfId="0" applyNumberFormat="1" applyFont="1" applyFill="1" applyBorder="1" applyAlignment="1">
      <alignment horizontal="center" vertical="center" wrapText="1"/>
    </xf>
    <xf numFmtId="164" fontId="2" fillId="8" borderId="2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textRotation="180" wrapText="1"/>
    </xf>
  </cellXfs>
  <cellStyles count="6">
    <cellStyle name="Hyperlink" xfId="4" builtinId="8"/>
    <cellStyle name="Hyperlink 2" xfId="5" xr:uid="{E13BCE77-01E4-41FF-853A-B5CB2A3673AD}"/>
    <cellStyle name="Normal" xfId="0" builtinId="0"/>
    <cellStyle name="Normal 2 2" xfId="1" xr:uid="{556A97C3-DB5B-409C-A52C-66593C66B343}"/>
    <cellStyle name="Normal 4 2 2" xfId="3" xr:uid="{443E29E4-5106-49FB-A585-F197B4C87B64}"/>
    <cellStyle name="Normal 6" xfId="2" xr:uid="{010DBFD3-4E99-4227-96E6-4AC7C4F6F5D9}"/>
  </cellStyles>
  <dxfs count="86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66FF33"/>
      <color rgb="FFFF66FF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chem.ncbi.nlm.nih.gov/" TargetMode="External"/><Relationship Id="rId2" Type="http://schemas.openxmlformats.org/officeDocument/2006/relationships/hyperlink" Target="http://www.chemicalregister.com/2-Deoxy-D-Ribose/Suppliers/pid18261.htm" TargetMode="External"/><Relationship Id="rId1" Type="http://schemas.openxmlformats.org/officeDocument/2006/relationships/hyperlink" Target="http://www.sigmaaldrich.com/catalog/Lookup.do?N5=CAS+No.&amp;N3=mode+matchpartialmax&amp;N4=16788-57-1&amp;D7=0&amp;D10=&amp;N25=0&amp;N1=S_ID&amp;ST=RS&amp;F=P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E794-1A22-420E-9CF8-B5E210F792A6}">
  <sheetPr filterMode="1"/>
  <dimension ref="A1:CN767"/>
  <sheetViews>
    <sheetView tabSelected="1" view="pageBreakPreview" zoomScaleNormal="40" zoomScaleSheetLayoutView="100" workbookViewId="0">
      <pane xSplit="4" ySplit="5" topLeftCell="I61" activePane="bottomRight" state="frozen"/>
      <selection activeCell="H4" sqref="H4:H27"/>
      <selection pane="topRight" activeCell="H4" sqref="H4:H27"/>
      <selection pane="bottomLeft" activeCell="H4" sqref="H4:H27"/>
      <selection pane="bottomRight" activeCell="B61" sqref="B61"/>
    </sheetView>
  </sheetViews>
  <sheetFormatPr defaultColWidth="9.21875" defaultRowHeight="15.05" x14ac:dyDescent="0.3"/>
  <cols>
    <col min="1" max="1" width="63.21875" customWidth="1"/>
    <col min="2" max="2" width="23.21875" style="18" customWidth="1"/>
    <col min="3" max="3" width="21.77734375" style="1" customWidth="1"/>
    <col min="4" max="4" width="27.21875" style="1" customWidth="1"/>
    <col min="5" max="5" width="12.44140625" style="1" bestFit="1" customWidth="1"/>
    <col min="6" max="6" width="12.77734375" style="1" bestFit="1" customWidth="1"/>
    <col min="7" max="7" width="12.21875" style="1" bestFit="1" customWidth="1"/>
    <col min="8" max="8" width="18.21875" style="1" customWidth="1"/>
    <col min="9" max="9" width="24.21875" style="1" bestFit="1" customWidth="1"/>
    <col min="10" max="10" width="28" style="1" customWidth="1"/>
    <col min="11" max="11" width="16.21875" style="1" customWidth="1"/>
    <col min="12" max="12" width="16.21875" style="1" bestFit="1" customWidth="1"/>
    <col min="13" max="13" width="24.5546875" style="1" customWidth="1"/>
    <col min="14" max="14" width="40.77734375" style="1" bestFit="1" customWidth="1"/>
    <col min="15" max="15" width="21.5546875" style="1" customWidth="1"/>
    <col min="16" max="16" width="1.77734375" customWidth="1"/>
    <col min="17" max="17" width="17.77734375" style="1" bestFit="1" customWidth="1"/>
    <col min="18" max="18" width="22.77734375" style="1" bestFit="1" customWidth="1"/>
    <col min="19" max="19" width="24.44140625" style="1" bestFit="1" customWidth="1"/>
    <col min="20" max="20" width="1.77734375" style="1" customWidth="1"/>
    <col min="21" max="23" width="29.21875" style="1" bestFit="1" customWidth="1"/>
    <col min="24" max="24" width="33.77734375" style="1" bestFit="1" customWidth="1"/>
    <col min="25" max="25" width="2.21875" customWidth="1"/>
    <col min="26" max="27" width="6.77734375" style="1" customWidth="1"/>
    <col min="28" max="71" width="6.77734375" customWidth="1"/>
    <col min="72" max="72" width="7.5546875" customWidth="1"/>
    <col min="73" max="73" width="3.44140625" customWidth="1"/>
  </cols>
  <sheetData>
    <row r="1" spans="1:72" x14ac:dyDescent="0.3">
      <c r="A1" s="183" t="s">
        <v>2398</v>
      </c>
      <c r="B1" s="184" t="s">
        <v>2399</v>
      </c>
      <c r="C1" s="184"/>
      <c r="D1" s="185"/>
      <c r="E1" s="186"/>
      <c r="F1" s="185"/>
      <c r="G1" s="186"/>
      <c r="H1"/>
      <c r="I1"/>
      <c r="J1"/>
    </row>
    <row r="3" spans="1:72" s="46" customFormat="1" ht="55.5" customHeight="1" x14ac:dyDescent="0.3">
      <c r="A3" s="210" t="s">
        <v>0</v>
      </c>
      <c r="B3" s="210" t="s">
        <v>1</v>
      </c>
      <c r="C3" s="212" t="s">
        <v>988</v>
      </c>
      <c r="D3" s="212" t="s">
        <v>989</v>
      </c>
      <c r="E3" s="207" t="s">
        <v>990</v>
      </c>
      <c r="F3" s="207" t="s">
        <v>2031</v>
      </c>
      <c r="G3" s="214" t="s">
        <v>991</v>
      </c>
      <c r="H3" s="216" t="s">
        <v>992</v>
      </c>
      <c r="I3" s="212" t="s">
        <v>993</v>
      </c>
      <c r="J3" s="218" t="s">
        <v>1818</v>
      </c>
      <c r="K3" s="220" t="s">
        <v>1817</v>
      </c>
      <c r="L3" s="220"/>
      <c r="M3" s="222" t="s">
        <v>994</v>
      </c>
      <c r="N3" s="222" t="s">
        <v>995</v>
      </c>
      <c r="O3" s="222" t="s">
        <v>1785</v>
      </c>
      <c r="P3" s="45"/>
      <c r="Q3" s="224" t="s">
        <v>996</v>
      </c>
      <c r="R3" s="225"/>
      <c r="S3" s="224"/>
      <c r="T3" s="9"/>
      <c r="U3" s="209" t="s">
        <v>997</v>
      </c>
      <c r="V3" s="209"/>
      <c r="W3" s="209"/>
      <c r="X3" s="213" t="s">
        <v>998</v>
      </c>
      <c r="Y3" s="8"/>
      <c r="Z3" s="204" t="s">
        <v>1769</v>
      </c>
      <c r="AA3" s="204" t="s">
        <v>1770</v>
      </c>
      <c r="AB3" s="204" t="s">
        <v>1510</v>
      </c>
      <c r="AC3" s="204" t="s">
        <v>1511</v>
      </c>
      <c r="AD3" s="204" t="s">
        <v>1512</v>
      </c>
      <c r="AE3" s="204" t="s">
        <v>1513</v>
      </c>
      <c r="AF3" s="204" t="s">
        <v>1514</v>
      </c>
      <c r="AG3" s="204" t="s">
        <v>1515</v>
      </c>
      <c r="AH3" s="204" t="s">
        <v>1516</v>
      </c>
      <c r="AI3" s="204" t="s">
        <v>1517</v>
      </c>
      <c r="AJ3" s="204" t="s">
        <v>1518</v>
      </c>
      <c r="AK3" s="204" t="s">
        <v>1519</v>
      </c>
      <c r="AL3" s="204" t="s">
        <v>1520</v>
      </c>
      <c r="AM3" s="199" t="s">
        <v>2367</v>
      </c>
      <c r="AN3" s="204" t="s">
        <v>1521</v>
      </c>
      <c r="AO3" s="204" t="s">
        <v>1522</v>
      </c>
      <c r="AP3" s="199" t="s">
        <v>2368</v>
      </c>
      <c r="AQ3" s="204" t="s">
        <v>1523</v>
      </c>
      <c r="AR3" s="204" t="s">
        <v>1524</v>
      </c>
      <c r="AS3" s="204" t="s">
        <v>1525</v>
      </c>
      <c r="AT3" s="204" t="s">
        <v>1526</v>
      </c>
      <c r="AU3" s="204" t="s">
        <v>1527</v>
      </c>
      <c r="AV3" s="204" t="s">
        <v>1528</v>
      </c>
      <c r="AW3" s="199" t="s">
        <v>2369</v>
      </c>
      <c r="AX3" s="204" t="s">
        <v>1529</v>
      </c>
      <c r="AY3" s="204" t="s">
        <v>1530</v>
      </c>
      <c r="AZ3" s="204" t="s">
        <v>1531</v>
      </c>
      <c r="BA3" s="204" t="s">
        <v>1532</v>
      </c>
      <c r="BB3" s="199" t="s">
        <v>2370</v>
      </c>
      <c r="BC3" s="204" t="s">
        <v>1533</v>
      </c>
      <c r="BD3" s="204" t="s">
        <v>860</v>
      </c>
      <c r="BE3" s="204" t="s">
        <v>1534</v>
      </c>
      <c r="BF3" s="204" t="s">
        <v>1535</v>
      </c>
      <c r="BG3" s="204" t="s">
        <v>1536</v>
      </c>
      <c r="BH3" s="204" t="s">
        <v>1537</v>
      </c>
      <c r="BI3" s="204" t="s">
        <v>1538</v>
      </c>
      <c r="BJ3" s="204" t="s">
        <v>1539</v>
      </c>
      <c r="BK3" s="204" t="s">
        <v>1540</v>
      </c>
      <c r="BL3" s="204" t="s">
        <v>1541</v>
      </c>
      <c r="BM3" s="204" t="s">
        <v>1542</v>
      </c>
      <c r="BN3" s="204" t="s">
        <v>1543</v>
      </c>
      <c r="BO3" s="204" t="s">
        <v>1544</v>
      </c>
      <c r="BP3" s="204" t="s">
        <v>1545</v>
      </c>
      <c r="BQ3" s="204" t="s">
        <v>1546</v>
      </c>
      <c r="BR3" s="204" t="s">
        <v>1547</v>
      </c>
      <c r="BS3" s="199" t="s">
        <v>2371</v>
      </c>
      <c r="BT3" s="201" t="s">
        <v>1852</v>
      </c>
    </row>
    <row r="4" spans="1:72" ht="72.849999999999994" customHeight="1" x14ac:dyDescent="0.3">
      <c r="A4" s="211"/>
      <c r="B4" s="211"/>
      <c r="C4" s="210"/>
      <c r="D4" s="210"/>
      <c r="E4" s="208"/>
      <c r="F4" s="208"/>
      <c r="G4" s="215"/>
      <c r="H4" s="217"/>
      <c r="I4" s="210"/>
      <c r="J4" s="219"/>
      <c r="K4" s="221"/>
      <c r="L4" s="221"/>
      <c r="M4" s="223"/>
      <c r="N4" s="223"/>
      <c r="O4" s="222"/>
      <c r="P4" s="11"/>
      <c r="Q4" s="224"/>
      <c r="R4" s="225"/>
      <c r="S4" s="224"/>
      <c r="T4" s="25"/>
      <c r="U4" s="209" t="s">
        <v>990</v>
      </c>
      <c r="V4" s="209"/>
      <c r="W4" s="12" t="s">
        <v>2033</v>
      </c>
      <c r="X4" s="213"/>
      <c r="Y4" s="8"/>
      <c r="Z4" s="205"/>
      <c r="AA4" s="205"/>
      <c r="AB4" s="22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0"/>
      <c r="AN4" s="206"/>
      <c r="AO4" s="206"/>
      <c r="AP4" s="200"/>
      <c r="AQ4" s="206"/>
      <c r="AR4" s="206"/>
      <c r="AS4" s="206"/>
      <c r="AT4" s="206"/>
      <c r="AU4" s="206"/>
      <c r="AV4" s="206"/>
      <c r="AW4" s="200"/>
      <c r="AX4" s="206"/>
      <c r="AY4" s="206"/>
      <c r="AZ4" s="206"/>
      <c r="BA4" s="206"/>
      <c r="BB4" s="200"/>
      <c r="BC4" s="206"/>
      <c r="BD4" s="206"/>
      <c r="BE4" s="206"/>
      <c r="BF4" s="206"/>
      <c r="BG4" s="206"/>
      <c r="BH4" s="206"/>
      <c r="BI4" s="206"/>
      <c r="BJ4" s="206"/>
      <c r="BK4" s="206"/>
      <c r="BL4" s="206"/>
      <c r="BM4" s="206"/>
      <c r="BN4" s="206"/>
      <c r="BO4" s="206"/>
      <c r="BP4" s="206"/>
      <c r="BQ4" s="206"/>
      <c r="BR4" s="206"/>
      <c r="BS4" s="200"/>
      <c r="BT4" s="202"/>
    </row>
    <row r="5" spans="1:72" ht="20.3" x14ac:dyDescent="0.3">
      <c r="A5" s="212"/>
      <c r="B5" s="212"/>
      <c r="C5" s="212"/>
      <c r="D5" s="212"/>
      <c r="E5" s="207"/>
      <c r="F5" s="207"/>
      <c r="G5" s="214"/>
      <c r="H5" s="216"/>
      <c r="I5" s="212"/>
      <c r="J5" s="218"/>
      <c r="K5" s="182" t="s">
        <v>999</v>
      </c>
      <c r="L5" s="182" t="s">
        <v>1000</v>
      </c>
      <c r="M5" s="222"/>
      <c r="N5" s="222"/>
      <c r="O5" s="222"/>
      <c r="P5" s="11"/>
      <c r="Q5" s="2" t="s">
        <v>1001</v>
      </c>
      <c r="R5" s="2" t="s">
        <v>1002</v>
      </c>
      <c r="S5" s="2" t="s">
        <v>2032</v>
      </c>
      <c r="T5" s="25"/>
      <c r="U5" s="3" t="s">
        <v>1003</v>
      </c>
      <c r="V5" s="4" t="s">
        <v>1004</v>
      </c>
      <c r="W5" s="3" t="s">
        <v>1005</v>
      </c>
      <c r="X5" s="213"/>
      <c r="Y5" s="8"/>
      <c r="Z5" s="205"/>
      <c r="AA5" s="205"/>
      <c r="AB5" s="22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0"/>
      <c r="AN5" s="206"/>
      <c r="AO5" s="206"/>
      <c r="AP5" s="200"/>
      <c r="AQ5" s="206"/>
      <c r="AR5" s="206"/>
      <c r="AS5" s="206"/>
      <c r="AT5" s="206"/>
      <c r="AU5" s="206"/>
      <c r="AV5" s="206"/>
      <c r="AW5" s="200"/>
      <c r="AX5" s="206"/>
      <c r="AY5" s="206"/>
      <c r="AZ5" s="206"/>
      <c r="BA5" s="206"/>
      <c r="BB5" s="200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0"/>
      <c r="BT5" s="202"/>
    </row>
    <row r="6" spans="1:72" ht="32.75" hidden="1" x14ac:dyDescent="0.3">
      <c r="A6" s="212"/>
      <c r="B6" s="212"/>
      <c r="C6" s="212"/>
      <c r="D6" s="212"/>
      <c r="E6" s="5" t="s">
        <v>1006</v>
      </c>
      <c r="F6" s="5" t="s">
        <v>1006</v>
      </c>
      <c r="G6" s="13" t="s">
        <v>1007</v>
      </c>
      <c r="H6" s="14" t="s">
        <v>1008</v>
      </c>
      <c r="I6" s="212"/>
      <c r="J6" s="218"/>
      <c r="K6" s="15" t="s">
        <v>1009</v>
      </c>
      <c r="L6" s="15" t="s">
        <v>1009</v>
      </c>
      <c r="M6" s="222"/>
      <c r="N6" s="222"/>
      <c r="O6" s="222"/>
      <c r="P6" s="11"/>
      <c r="Q6" s="5" t="s">
        <v>1895</v>
      </c>
      <c r="R6" s="5" t="s">
        <v>1896</v>
      </c>
      <c r="S6" s="5" t="s">
        <v>2030</v>
      </c>
      <c r="T6" s="25"/>
      <c r="U6" s="6" t="s">
        <v>2034</v>
      </c>
      <c r="V6" s="7" t="s">
        <v>2029</v>
      </c>
      <c r="W6" s="6" t="s">
        <v>2034</v>
      </c>
      <c r="X6" s="24" t="s">
        <v>2035</v>
      </c>
      <c r="Y6" s="8"/>
      <c r="Z6" s="205"/>
      <c r="AA6" s="205"/>
      <c r="AB6" s="22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0"/>
      <c r="AN6" s="206"/>
      <c r="AO6" s="206"/>
      <c r="AP6" s="200"/>
      <c r="AQ6" s="206"/>
      <c r="AR6" s="206"/>
      <c r="AS6" s="206"/>
      <c r="AT6" s="206"/>
      <c r="AU6" s="206"/>
      <c r="AV6" s="206"/>
      <c r="AW6" s="200"/>
      <c r="AX6" s="206"/>
      <c r="AY6" s="206"/>
      <c r="AZ6" s="206"/>
      <c r="BA6" s="206"/>
      <c r="BB6" s="200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0"/>
      <c r="BT6" s="203"/>
    </row>
    <row r="7" spans="1:72" ht="20.95" hidden="1" customHeight="1" x14ac:dyDescent="0.3">
      <c r="A7" s="28"/>
      <c r="B7" s="28"/>
      <c r="C7" s="28"/>
      <c r="D7" s="28"/>
      <c r="E7" s="29"/>
      <c r="F7" s="29"/>
      <c r="G7" s="30"/>
      <c r="H7" s="31"/>
      <c r="I7" s="28"/>
      <c r="J7" s="31"/>
      <c r="K7" s="32"/>
      <c r="L7" s="32"/>
      <c r="M7" s="33"/>
      <c r="N7" s="33"/>
      <c r="O7" s="33"/>
      <c r="P7" s="34"/>
      <c r="Q7" s="35"/>
      <c r="R7" s="35"/>
      <c r="S7" s="35"/>
      <c r="T7" s="36"/>
      <c r="U7" s="37"/>
      <c r="V7" s="38"/>
      <c r="W7" s="37"/>
      <c r="X7" s="39"/>
      <c r="Y7" s="40"/>
      <c r="Z7" s="41"/>
      <c r="AA7" s="41"/>
      <c r="AB7" s="42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181"/>
      <c r="BT7" s="44"/>
    </row>
    <row r="8" spans="1:72" ht="18" hidden="1" customHeight="1" x14ac:dyDescent="0.3">
      <c r="A8" s="47" t="s">
        <v>1857</v>
      </c>
      <c r="B8" s="48" t="s">
        <v>1858</v>
      </c>
      <c r="C8" s="49" t="s">
        <v>1859</v>
      </c>
      <c r="D8" s="16" t="s">
        <v>1055</v>
      </c>
      <c r="E8" s="50">
        <v>45.9</v>
      </c>
      <c r="F8" s="50">
        <v>0</v>
      </c>
      <c r="G8" s="16">
        <v>2</v>
      </c>
      <c r="H8" s="16">
        <v>500</v>
      </c>
      <c r="I8" s="48" t="s">
        <v>1016</v>
      </c>
      <c r="J8" s="17" t="s">
        <v>2386</v>
      </c>
      <c r="K8" s="16">
        <v>50</v>
      </c>
      <c r="L8" s="16">
        <v>50</v>
      </c>
      <c r="M8" s="16" t="s">
        <v>1992</v>
      </c>
      <c r="N8" s="51"/>
      <c r="O8" s="63" t="str">
        <f t="shared" ref="O8:O24" si="0">IF(AND(ISBLANK(K8),ISBLANK(N8))," ",IF(ISBLANK(N8),"YES","NO"))</f>
        <v>YES</v>
      </c>
      <c r="P8" s="52"/>
      <c r="Q8" s="53">
        <f t="shared" ref="Q8:Q71" si="1">IF(K8="Pending","Pending",IF(AND(K8&lt;5000,O8="YES"),MIN(ROUNDDOWN(K8*25550/140,1),5000),IF(AND(K8&lt;5000,O8="NO"),K8,IF(K8&gt;=5000,5000))))</f>
        <v>5000</v>
      </c>
      <c r="R8" s="54">
        <f t="shared" ref="R8:R71" si="2">IF(Q8="Pending","Pending",IF(E8=0," ",ROUNDDOWN(Q8*E8/100,1)))</f>
        <v>2295</v>
      </c>
      <c r="S8" s="55" t="str">
        <f t="shared" ref="S8:S71" si="3">IF(Q8="Pending","Pending",IF(F8=0, " ",ROUNDDOWN(Q8*F8/100,1)))</f>
        <v xml:space="preserve"> </v>
      </c>
      <c r="T8" s="56"/>
      <c r="U8" s="57" t="str">
        <f t="shared" ref="U8:U71" si="4">IF(Q8="Pending","Pending",IF(R8= " ", " ", IF(R8&lt;20, "Mitigation", "100µg/100cm²")))</f>
        <v>100µg/100cm²</v>
      </c>
      <c r="V8" s="58">
        <f t="shared" ref="V8:V71" si="5">IF(R8=0, " ", R8)</f>
        <v>2295</v>
      </c>
      <c r="W8" s="58" t="str">
        <f t="shared" ref="W8:W71" si="6">IF(Q8="Pending","Pending",IF(S8= " ", " ", IF(S8&lt;20, "Mitigation", "100µg/100cm²")))</f>
        <v xml:space="preserve"> </v>
      </c>
      <c r="X8" s="59" t="str">
        <f t="shared" ref="X8:X71" si="7">IF(K8="","Pending",IF(AND(Q8=5000,G8&lt;4,SUM(E8,F8)=0),"Water criteria (conductivity)",IF(AND(Q8=5000,G8&gt;3,SUM(E8,F8)=0),"Mitigation",IF(AND(Q8&lt;5000,G8&gt;0,SUM(E8,F8)=0),"Mitigation",""))))</f>
        <v/>
      </c>
      <c r="Y8" s="60"/>
      <c r="Z8" s="16" t="s">
        <v>1987</v>
      </c>
      <c r="AA8" s="16" t="s">
        <v>1987</v>
      </c>
      <c r="AB8" s="16" t="s">
        <v>1987</v>
      </c>
      <c r="AC8" s="16" t="s">
        <v>1987</v>
      </c>
      <c r="AD8" s="16" t="s">
        <v>1987</v>
      </c>
      <c r="AE8" s="16" t="s">
        <v>1987</v>
      </c>
      <c r="AF8" s="16" t="s">
        <v>1987</v>
      </c>
      <c r="AG8" s="16" t="s">
        <v>1987</v>
      </c>
      <c r="AH8" s="16" t="s">
        <v>1987</v>
      </c>
      <c r="AI8" s="16" t="s">
        <v>1987</v>
      </c>
      <c r="AJ8" s="16" t="s">
        <v>1987</v>
      </c>
      <c r="AK8" s="16" t="s">
        <v>1987</v>
      </c>
      <c r="AL8" s="16" t="s">
        <v>1987</v>
      </c>
      <c r="AM8" s="16" t="s">
        <v>1987</v>
      </c>
      <c r="AN8" s="16" t="s">
        <v>1987</v>
      </c>
      <c r="AO8" s="16" t="s">
        <v>1987</v>
      </c>
      <c r="AP8" s="16" t="s">
        <v>1987</v>
      </c>
      <c r="AQ8" s="16" t="s">
        <v>1987</v>
      </c>
      <c r="AR8" s="16" t="s">
        <v>1987</v>
      </c>
      <c r="AS8" s="16" t="s">
        <v>1987</v>
      </c>
      <c r="AT8" s="16" t="s">
        <v>1987</v>
      </c>
      <c r="AU8" s="16" t="s">
        <v>1987</v>
      </c>
      <c r="AV8" s="16" t="s">
        <v>1987</v>
      </c>
      <c r="AW8" s="16" t="s">
        <v>1987</v>
      </c>
      <c r="AX8" s="16" t="s">
        <v>1987</v>
      </c>
      <c r="AY8" s="16" t="s">
        <v>1987</v>
      </c>
      <c r="AZ8" s="16" t="s">
        <v>1987</v>
      </c>
      <c r="BA8" s="16" t="s">
        <v>1987</v>
      </c>
      <c r="BB8" s="16" t="s">
        <v>1987</v>
      </c>
      <c r="BC8" s="16" t="s">
        <v>1987</v>
      </c>
      <c r="BD8" s="16" t="s">
        <v>1987</v>
      </c>
      <c r="BE8" s="16" t="s">
        <v>1987</v>
      </c>
      <c r="BF8" s="16" t="s">
        <v>1987</v>
      </c>
      <c r="BG8" s="16" t="s">
        <v>1987</v>
      </c>
      <c r="BH8" s="16" t="s">
        <v>1987</v>
      </c>
      <c r="BI8" s="16" t="s">
        <v>1987</v>
      </c>
      <c r="BJ8" s="16" t="s">
        <v>1987</v>
      </c>
      <c r="BK8" s="16" t="s">
        <v>1987</v>
      </c>
      <c r="BL8" s="16" t="s">
        <v>1987</v>
      </c>
      <c r="BM8" s="16" t="s">
        <v>1987</v>
      </c>
      <c r="BN8" s="16" t="s">
        <v>1987</v>
      </c>
      <c r="BO8" s="16" t="s">
        <v>1987</v>
      </c>
      <c r="BP8" s="16" t="s">
        <v>1987</v>
      </c>
      <c r="BQ8" s="16" t="s">
        <v>1987</v>
      </c>
      <c r="BR8" s="16" t="s">
        <v>1987</v>
      </c>
      <c r="BS8" s="16" t="s">
        <v>1987</v>
      </c>
      <c r="BT8" s="16" t="s">
        <v>1987</v>
      </c>
    </row>
    <row r="9" spans="1:72" ht="18" hidden="1" customHeight="1" x14ac:dyDescent="0.3">
      <c r="A9" s="47" t="s">
        <v>313</v>
      </c>
      <c r="B9" s="48" t="s">
        <v>314</v>
      </c>
      <c r="C9" s="16" t="s">
        <v>2036</v>
      </c>
      <c r="D9" s="49" t="s">
        <v>1114</v>
      </c>
      <c r="E9" s="50">
        <v>35.5</v>
      </c>
      <c r="F9" s="50">
        <v>0</v>
      </c>
      <c r="G9" s="61">
        <v>2</v>
      </c>
      <c r="H9" s="16">
        <v>417</v>
      </c>
      <c r="I9" s="48" t="s">
        <v>1016</v>
      </c>
      <c r="J9" s="16" t="s">
        <v>1151</v>
      </c>
      <c r="K9" s="49">
        <v>7500</v>
      </c>
      <c r="L9" s="49">
        <v>67500</v>
      </c>
      <c r="M9" s="62" t="s">
        <v>1014</v>
      </c>
      <c r="N9" s="51"/>
      <c r="O9" s="63" t="str">
        <f t="shared" si="0"/>
        <v>YES</v>
      </c>
      <c r="P9" s="52"/>
      <c r="Q9" s="53">
        <f t="shared" si="1"/>
        <v>5000</v>
      </c>
      <c r="R9" s="54">
        <f t="shared" si="2"/>
        <v>1775</v>
      </c>
      <c r="S9" s="55" t="str">
        <f t="shared" si="3"/>
        <v xml:space="preserve"> </v>
      </c>
      <c r="T9" s="56"/>
      <c r="U9" s="57" t="str">
        <f t="shared" si="4"/>
        <v>100µg/100cm²</v>
      </c>
      <c r="V9" s="58">
        <f t="shared" si="5"/>
        <v>1775</v>
      </c>
      <c r="W9" s="58" t="str">
        <f t="shared" si="6"/>
        <v xml:space="preserve"> </v>
      </c>
      <c r="X9" s="59" t="str">
        <f t="shared" si="7"/>
        <v/>
      </c>
      <c r="Y9" s="60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16" t="s">
        <v>675</v>
      </c>
      <c r="AK9" s="16" t="s">
        <v>675</v>
      </c>
      <c r="AL9" s="16" t="s">
        <v>675</v>
      </c>
      <c r="AM9" s="16" t="s">
        <v>675</v>
      </c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5"/>
    </row>
    <row r="10" spans="1:72" ht="18" hidden="1" customHeight="1" x14ac:dyDescent="0.3">
      <c r="A10" s="47" t="s">
        <v>1777</v>
      </c>
      <c r="B10" s="48" t="s">
        <v>1778</v>
      </c>
      <c r="C10" s="49" t="s">
        <v>1779</v>
      </c>
      <c r="D10" s="49" t="s">
        <v>1780</v>
      </c>
      <c r="E10" s="50">
        <v>19.28</v>
      </c>
      <c r="F10" s="50">
        <v>0</v>
      </c>
      <c r="G10" s="61">
        <v>2</v>
      </c>
      <c r="H10" s="16">
        <v>640</v>
      </c>
      <c r="I10" s="48" t="s">
        <v>1189</v>
      </c>
      <c r="J10" s="16" t="s">
        <v>1781</v>
      </c>
      <c r="K10" s="49">
        <v>5</v>
      </c>
      <c r="L10" s="49">
        <v>5</v>
      </c>
      <c r="M10" s="62" t="s">
        <v>1033</v>
      </c>
      <c r="N10" s="62" t="s">
        <v>1082</v>
      </c>
      <c r="O10" s="63" t="str">
        <f t="shared" si="0"/>
        <v>NO</v>
      </c>
      <c r="P10" s="52"/>
      <c r="Q10" s="53">
        <f t="shared" si="1"/>
        <v>5</v>
      </c>
      <c r="R10" s="54">
        <f t="shared" si="2"/>
        <v>0.9</v>
      </c>
      <c r="S10" s="55" t="str">
        <f t="shared" si="3"/>
        <v xml:space="preserve"> </v>
      </c>
      <c r="T10" s="56"/>
      <c r="U10" s="57" t="str">
        <f t="shared" si="4"/>
        <v>Mitigation</v>
      </c>
      <c r="V10" s="58">
        <f t="shared" si="5"/>
        <v>0.9</v>
      </c>
      <c r="W10" s="58" t="str">
        <f t="shared" si="6"/>
        <v xml:space="preserve"> </v>
      </c>
      <c r="X10" s="59" t="str">
        <f t="shared" si="7"/>
        <v/>
      </c>
      <c r="Y10" s="60"/>
      <c r="Z10" s="64"/>
      <c r="AA10" s="64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</row>
    <row r="11" spans="1:72" ht="18" hidden="1" customHeight="1" x14ac:dyDescent="0.3">
      <c r="A11" s="66" t="s">
        <v>414</v>
      </c>
      <c r="B11" s="49" t="s">
        <v>415</v>
      </c>
      <c r="C11" s="67" t="s">
        <v>1436</v>
      </c>
      <c r="D11" s="67" t="s">
        <v>1268</v>
      </c>
      <c r="E11" s="50">
        <v>36.4</v>
      </c>
      <c r="F11" s="50">
        <v>0</v>
      </c>
      <c r="G11" s="61">
        <v>5</v>
      </c>
      <c r="H11" s="68">
        <v>2.67</v>
      </c>
      <c r="I11" s="48" t="s">
        <v>1189</v>
      </c>
      <c r="J11" s="16" t="s">
        <v>2386</v>
      </c>
      <c r="K11" s="49">
        <v>50</v>
      </c>
      <c r="L11" s="49">
        <v>50</v>
      </c>
      <c r="M11" s="64"/>
      <c r="N11" s="64"/>
      <c r="O11" s="63" t="str">
        <f t="shared" si="0"/>
        <v>YES</v>
      </c>
      <c r="P11" s="52"/>
      <c r="Q11" s="53">
        <f t="shared" si="1"/>
        <v>5000</v>
      </c>
      <c r="R11" s="54">
        <f t="shared" si="2"/>
        <v>1820</v>
      </c>
      <c r="S11" s="55" t="str">
        <f t="shared" si="3"/>
        <v xml:space="preserve"> </v>
      </c>
      <c r="T11" s="56"/>
      <c r="U11" s="57" t="str">
        <f t="shared" si="4"/>
        <v>100µg/100cm²</v>
      </c>
      <c r="V11" s="58">
        <f t="shared" si="5"/>
        <v>1820</v>
      </c>
      <c r="W11" s="58" t="str">
        <f t="shared" si="6"/>
        <v xml:space="preserve"> </v>
      </c>
      <c r="X11" s="59" t="str">
        <f t="shared" si="7"/>
        <v/>
      </c>
      <c r="Y11" s="60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16" t="s">
        <v>675</v>
      </c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5"/>
    </row>
    <row r="12" spans="1:72" ht="18" hidden="1" customHeight="1" x14ac:dyDescent="0.3">
      <c r="A12" s="66" t="s">
        <v>736</v>
      </c>
      <c r="B12" s="69" t="s">
        <v>441</v>
      </c>
      <c r="C12" s="16" t="s">
        <v>1297</v>
      </c>
      <c r="D12" s="67" t="s">
        <v>1054</v>
      </c>
      <c r="E12" s="50">
        <v>30</v>
      </c>
      <c r="F12" s="50">
        <v>0</v>
      </c>
      <c r="G12" s="61">
        <v>2</v>
      </c>
      <c r="H12" s="16">
        <v>150</v>
      </c>
      <c r="I12" s="48" t="s">
        <v>1196</v>
      </c>
      <c r="J12" s="16" t="s">
        <v>1298</v>
      </c>
      <c r="K12" s="49">
        <v>5</v>
      </c>
      <c r="L12" s="49">
        <v>5</v>
      </c>
      <c r="M12" s="62" t="s">
        <v>1033</v>
      </c>
      <c r="N12" s="62" t="s">
        <v>1299</v>
      </c>
      <c r="O12" s="63" t="str">
        <f t="shared" si="0"/>
        <v>NO</v>
      </c>
      <c r="P12" s="52"/>
      <c r="Q12" s="53">
        <f t="shared" si="1"/>
        <v>5</v>
      </c>
      <c r="R12" s="54">
        <f t="shared" si="2"/>
        <v>1.5</v>
      </c>
      <c r="S12" s="55" t="str">
        <f t="shared" si="3"/>
        <v xml:space="preserve"> </v>
      </c>
      <c r="T12" s="56"/>
      <c r="U12" s="57" t="str">
        <f t="shared" si="4"/>
        <v>Mitigation</v>
      </c>
      <c r="V12" s="58">
        <f t="shared" si="5"/>
        <v>1.5</v>
      </c>
      <c r="W12" s="58" t="str">
        <f t="shared" si="6"/>
        <v xml:space="preserve"> </v>
      </c>
      <c r="X12" s="59" t="str">
        <f t="shared" si="7"/>
        <v/>
      </c>
      <c r="Y12" s="60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16" t="s">
        <v>675</v>
      </c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5"/>
    </row>
    <row r="13" spans="1:72" ht="15.75" hidden="1" x14ac:dyDescent="0.3">
      <c r="A13" s="47" t="s">
        <v>819</v>
      </c>
      <c r="B13" s="49" t="s">
        <v>820</v>
      </c>
      <c r="C13" s="16" t="s">
        <v>1584</v>
      </c>
      <c r="D13" s="16" t="s">
        <v>1273</v>
      </c>
      <c r="E13" s="50">
        <v>66.67</v>
      </c>
      <c r="F13" s="50">
        <v>0</v>
      </c>
      <c r="G13" s="16">
        <v>5</v>
      </c>
      <c r="H13" s="16">
        <v>10</v>
      </c>
      <c r="I13" s="16" t="s">
        <v>2241</v>
      </c>
      <c r="J13" s="17" t="s">
        <v>2346</v>
      </c>
      <c r="K13" s="16">
        <v>1.5</v>
      </c>
      <c r="L13" s="16">
        <v>1.5</v>
      </c>
      <c r="M13" s="16" t="s">
        <v>1036</v>
      </c>
      <c r="N13" s="64"/>
      <c r="O13" s="63" t="str">
        <f t="shared" si="0"/>
        <v>YES</v>
      </c>
      <c r="P13" s="52"/>
      <c r="Q13" s="53">
        <f t="shared" si="1"/>
        <v>273.7</v>
      </c>
      <c r="R13" s="54">
        <f t="shared" si="2"/>
        <v>182.4</v>
      </c>
      <c r="S13" s="55" t="str">
        <f t="shared" si="3"/>
        <v xml:space="preserve"> </v>
      </c>
      <c r="T13" s="56"/>
      <c r="U13" s="57" t="str">
        <f t="shared" si="4"/>
        <v>100µg/100cm²</v>
      </c>
      <c r="V13" s="58">
        <f t="shared" si="5"/>
        <v>182.4</v>
      </c>
      <c r="W13" s="57" t="str">
        <f t="shared" si="6"/>
        <v xml:space="preserve"> </v>
      </c>
      <c r="X13" s="59" t="str">
        <f t="shared" si="7"/>
        <v/>
      </c>
      <c r="Y13" s="60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16" t="s">
        <v>675</v>
      </c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5"/>
    </row>
    <row r="14" spans="1:72" ht="18" hidden="1" customHeight="1" x14ac:dyDescent="0.3">
      <c r="A14" s="47" t="s">
        <v>1658</v>
      </c>
      <c r="B14" s="48" t="s">
        <v>1659</v>
      </c>
      <c r="C14" s="49" t="s">
        <v>2037</v>
      </c>
      <c r="D14" s="67" t="s">
        <v>1210</v>
      </c>
      <c r="E14" s="50">
        <v>54.5</v>
      </c>
      <c r="F14" s="50">
        <v>0</v>
      </c>
      <c r="G14" s="61">
        <v>3</v>
      </c>
      <c r="H14" s="16" t="s">
        <v>1038</v>
      </c>
      <c r="I14" s="70" t="s">
        <v>1474</v>
      </c>
      <c r="J14" s="16" t="s">
        <v>1660</v>
      </c>
      <c r="K14" s="49">
        <v>420</v>
      </c>
      <c r="L14" s="49">
        <v>3800</v>
      </c>
      <c r="M14" s="49" t="s">
        <v>1030</v>
      </c>
      <c r="N14" s="51"/>
      <c r="O14" s="63" t="str">
        <f t="shared" si="0"/>
        <v>YES</v>
      </c>
      <c r="P14" s="52"/>
      <c r="Q14" s="53">
        <f t="shared" si="1"/>
        <v>5000</v>
      </c>
      <c r="R14" s="54">
        <f t="shared" si="2"/>
        <v>2725</v>
      </c>
      <c r="S14" s="55" t="str">
        <f t="shared" si="3"/>
        <v xml:space="preserve"> </v>
      </c>
      <c r="T14" s="56"/>
      <c r="U14" s="57" t="str">
        <f t="shared" si="4"/>
        <v>100µg/100cm²</v>
      </c>
      <c r="V14" s="58">
        <f t="shared" si="5"/>
        <v>2725</v>
      </c>
      <c r="W14" s="58" t="str">
        <f t="shared" si="6"/>
        <v xml:space="preserve"> </v>
      </c>
      <c r="X14" s="59" t="str">
        <f t="shared" si="7"/>
        <v/>
      </c>
      <c r="Y14" s="60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16" t="s">
        <v>675</v>
      </c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5"/>
    </row>
    <row r="15" spans="1:72" ht="18" hidden="1" customHeight="1" x14ac:dyDescent="0.3">
      <c r="A15" s="47" t="s">
        <v>803</v>
      </c>
      <c r="B15" s="71" t="s">
        <v>804</v>
      </c>
      <c r="C15" s="16" t="s">
        <v>2038</v>
      </c>
      <c r="D15" s="17" t="s">
        <v>1291</v>
      </c>
      <c r="E15" s="50">
        <v>31.2</v>
      </c>
      <c r="F15" s="50">
        <v>0</v>
      </c>
      <c r="G15" s="61">
        <v>3</v>
      </c>
      <c r="H15" s="16">
        <v>50</v>
      </c>
      <c r="I15" s="48" t="s">
        <v>1447</v>
      </c>
      <c r="J15" s="16" t="s">
        <v>1478</v>
      </c>
      <c r="K15" s="49">
        <v>5</v>
      </c>
      <c r="L15" s="49">
        <v>5</v>
      </c>
      <c r="M15" s="16"/>
      <c r="N15" s="16" t="s">
        <v>1449</v>
      </c>
      <c r="O15" s="63" t="str">
        <f t="shared" si="0"/>
        <v>NO</v>
      </c>
      <c r="P15" s="52"/>
      <c r="Q15" s="53">
        <f t="shared" si="1"/>
        <v>5</v>
      </c>
      <c r="R15" s="54">
        <f t="shared" si="2"/>
        <v>1.5</v>
      </c>
      <c r="S15" s="55" t="str">
        <f t="shared" si="3"/>
        <v xml:space="preserve"> </v>
      </c>
      <c r="T15" s="56"/>
      <c r="U15" s="57" t="str">
        <f t="shared" si="4"/>
        <v>Mitigation</v>
      </c>
      <c r="V15" s="58">
        <f t="shared" si="5"/>
        <v>1.5</v>
      </c>
      <c r="W15" s="58" t="str">
        <f t="shared" si="6"/>
        <v xml:space="preserve"> </v>
      </c>
      <c r="X15" s="59" t="str">
        <f t="shared" si="7"/>
        <v/>
      </c>
      <c r="Y15" s="60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16" t="s">
        <v>675</v>
      </c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16" t="s">
        <v>675</v>
      </c>
      <c r="BT15" s="65"/>
    </row>
    <row r="16" spans="1:72" ht="18" hidden="1" customHeight="1" x14ac:dyDescent="0.3">
      <c r="A16" s="47" t="s">
        <v>1682</v>
      </c>
      <c r="B16" s="48" t="s">
        <v>1683</v>
      </c>
      <c r="C16" s="49" t="s">
        <v>2039</v>
      </c>
      <c r="D16" s="16" t="s">
        <v>1054</v>
      </c>
      <c r="E16" s="50">
        <v>64</v>
      </c>
      <c r="F16" s="50">
        <v>0</v>
      </c>
      <c r="G16" s="61">
        <v>3</v>
      </c>
      <c r="H16" s="72">
        <v>18</v>
      </c>
      <c r="I16" s="70" t="s">
        <v>1474</v>
      </c>
      <c r="J16" s="16" t="s">
        <v>1684</v>
      </c>
      <c r="K16" s="49">
        <v>5.12</v>
      </c>
      <c r="L16" s="49">
        <v>46.1</v>
      </c>
      <c r="M16" s="49" t="s">
        <v>1284</v>
      </c>
      <c r="N16" s="49" t="s">
        <v>1629</v>
      </c>
      <c r="O16" s="63" t="str">
        <f t="shared" si="0"/>
        <v>NO</v>
      </c>
      <c r="P16" s="73"/>
      <c r="Q16" s="53">
        <f t="shared" si="1"/>
        <v>5.12</v>
      </c>
      <c r="R16" s="54">
        <f t="shared" si="2"/>
        <v>3.2</v>
      </c>
      <c r="S16" s="55" t="str">
        <f t="shared" si="3"/>
        <v xml:space="preserve"> </v>
      </c>
      <c r="T16" s="56"/>
      <c r="U16" s="57" t="str">
        <f t="shared" si="4"/>
        <v>Mitigation</v>
      </c>
      <c r="V16" s="58">
        <f t="shared" si="5"/>
        <v>3.2</v>
      </c>
      <c r="W16" s="58" t="str">
        <f t="shared" si="6"/>
        <v xml:space="preserve"> </v>
      </c>
      <c r="X16" s="59" t="str">
        <f t="shared" si="7"/>
        <v/>
      </c>
      <c r="Y16" s="60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16" t="s">
        <v>675</v>
      </c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5"/>
    </row>
    <row r="17" spans="1:72" ht="18" hidden="1" customHeight="1" x14ac:dyDescent="0.3">
      <c r="A17" s="47" t="s">
        <v>1704</v>
      </c>
      <c r="B17" s="48" t="s">
        <v>1705</v>
      </c>
      <c r="C17" s="49" t="s">
        <v>2040</v>
      </c>
      <c r="D17" s="16" t="s">
        <v>1273</v>
      </c>
      <c r="E17" s="50">
        <v>55.17</v>
      </c>
      <c r="F17" s="50">
        <v>0</v>
      </c>
      <c r="G17" s="61">
        <v>4</v>
      </c>
      <c r="H17" s="16">
        <v>110</v>
      </c>
      <c r="I17" s="70" t="s">
        <v>1474</v>
      </c>
      <c r="J17" s="16" t="s">
        <v>1706</v>
      </c>
      <c r="K17" s="49">
        <v>5</v>
      </c>
      <c r="L17" s="49">
        <v>5</v>
      </c>
      <c r="M17" s="49" t="s">
        <v>1033</v>
      </c>
      <c r="N17" s="49" t="s">
        <v>1047</v>
      </c>
      <c r="O17" s="63" t="str">
        <f t="shared" si="0"/>
        <v>NO</v>
      </c>
      <c r="P17" s="73"/>
      <c r="Q17" s="53">
        <f t="shared" si="1"/>
        <v>5</v>
      </c>
      <c r="R17" s="54">
        <f t="shared" si="2"/>
        <v>2.7</v>
      </c>
      <c r="S17" s="55" t="str">
        <f t="shared" si="3"/>
        <v xml:space="preserve"> </v>
      </c>
      <c r="T17" s="56"/>
      <c r="U17" s="57" t="str">
        <f t="shared" si="4"/>
        <v>Mitigation</v>
      </c>
      <c r="V17" s="58">
        <f t="shared" si="5"/>
        <v>2.7</v>
      </c>
      <c r="W17" s="58" t="str">
        <f t="shared" si="6"/>
        <v xml:space="preserve"> </v>
      </c>
      <c r="X17" s="59" t="str">
        <f t="shared" si="7"/>
        <v/>
      </c>
      <c r="Y17" s="60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16" t="s">
        <v>675</v>
      </c>
      <c r="AL17" s="16" t="s">
        <v>675</v>
      </c>
      <c r="AM17" s="16" t="s">
        <v>675</v>
      </c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5"/>
    </row>
    <row r="18" spans="1:72" ht="18" hidden="1" customHeight="1" x14ac:dyDescent="0.3">
      <c r="A18" s="47" t="s">
        <v>719</v>
      </c>
      <c r="B18" s="48" t="s">
        <v>720</v>
      </c>
      <c r="C18" s="49" t="s">
        <v>2041</v>
      </c>
      <c r="D18" s="16" t="s">
        <v>1028</v>
      </c>
      <c r="E18" s="50">
        <v>61.02</v>
      </c>
      <c r="F18" s="50">
        <v>0</v>
      </c>
      <c r="G18" s="61">
        <v>2</v>
      </c>
      <c r="H18" s="16" t="s">
        <v>1235</v>
      </c>
      <c r="I18" s="48" t="s">
        <v>1474</v>
      </c>
      <c r="J18" s="16" t="s">
        <v>1236</v>
      </c>
      <c r="K18" s="49">
        <v>50</v>
      </c>
      <c r="L18" s="49">
        <v>450</v>
      </c>
      <c r="M18" s="49" t="s">
        <v>1027</v>
      </c>
      <c r="N18" s="51"/>
      <c r="O18" s="63" t="str">
        <f t="shared" si="0"/>
        <v>YES</v>
      </c>
      <c r="P18" s="52"/>
      <c r="Q18" s="53">
        <f t="shared" si="1"/>
        <v>5000</v>
      </c>
      <c r="R18" s="54">
        <f t="shared" si="2"/>
        <v>3051</v>
      </c>
      <c r="S18" s="55" t="str">
        <f t="shared" si="3"/>
        <v xml:space="preserve"> </v>
      </c>
      <c r="T18" s="56"/>
      <c r="U18" s="57" t="str">
        <f t="shared" si="4"/>
        <v>100µg/100cm²</v>
      </c>
      <c r="V18" s="58">
        <f t="shared" si="5"/>
        <v>3051</v>
      </c>
      <c r="W18" s="58" t="str">
        <f t="shared" si="6"/>
        <v xml:space="preserve"> </v>
      </c>
      <c r="X18" s="59" t="str">
        <f t="shared" si="7"/>
        <v/>
      </c>
      <c r="Y18" s="60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16" t="s">
        <v>675</v>
      </c>
      <c r="AK18" s="64"/>
      <c r="AL18" s="64"/>
      <c r="AM18" s="16" t="s">
        <v>675</v>
      </c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16" t="s">
        <v>675</v>
      </c>
      <c r="AZ18" s="16" t="s">
        <v>675</v>
      </c>
      <c r="BA18" s="16" t="s">
        <v>675</v>
      </c>
      <c r="BB18" s="16" t="s">
        <v>675</v>
      </c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5"/>
    </row>
    <row r="19" spans="1:72" ht="18" hidden="1" customHeight="1" x14ac:dyDescent="0.3">
      <c r="A19" s="47" t="s">
        <v>304</v>
      </c>
      <c r="B19" s="48" t="s">
        <v>507</v>
      </c>
      <c r="C19" s="16" t="s">
        <v>2042</v>
      </c>
      <c r="D19" s="49" t="s">
        <v>1243</v>
      </c>
      <c r="E19" s="50">
        <v>44.78</v>
      </c>
      <c r="F19" s="50">
        <v>0</v>
      </c>
      <c r="G19" s="61">
        <v>3</v>
      </c>
      <c r="H19" s="16" t="s">
        <v>1038</v>
      </c>
      <c r="I19" s="48" t="s">
        <v>1016</v>
      </c>
      <c r="J19" s="16" t="s">
        <v>2386</v>
      </c>
      <c r="K19" s="49">
        <v>50</v>
      </c>
      <c r="L19" s="49">
        <v>50</v>
      </c>
      <c r="M19" s="64"/>
      <c r="N19" s="64"/>
      <c r="O19" s="63" t="str">
        <f t="shared" si="0"/>
        <v>YES</v>
      </c>
      <c r="P19" s="52"/>
      <c r="Q19" s="53">
        <f t="shared" si="1"/>
        <v>5000</v>
      </c>
      <c r="R19" s="54">
        <f t="shared" si="2"/>
        <v>2239</v>
      </c>
      <c r="S19" s="55" t="str">
        <f t="shared" si="3"/>
        <v xml:space="preserve"> </v>
      </c>
      <c r="T19" s="56"/>
      <c r="U19" s="57" t="str">
        <f t="shared" si="4"/>
        <v>100µg/100cm²</v>
      </c>
      <c r="V19" s="58">
        <f t="shared" si="5"/>
        <v>2239</v>
      </c>
      <c r="W19" s="58" t="str">
        <f t="shared" si="6"/>
        <v xml:space="preserve"> </v>
      </c>
      <c r="X19" s="59" t="str">
        <f t="shared" si="7"/>
        <v/>
      </c>
      <c r="Y19" s="60"/>
      <c r="Z19" s="64"/>
      <c r="AA19" s="64"/>
      <c r="AB19" s="64"/>
      <c r="AC19" s="64"/>
      <c r="AD19" s="64"/>
      <c r="AE19" s="64"/>
      <c r="AF19" s="64"/>
      <c r="AG19" s="64"/>
      <c r="AH19" s="64"/>
      <c r="AI19" s="16" t="s">
        <v>675</v>
      </c>
      <c r="AJ19" s="64"/>
      <c r="AK19" s="64"/>
      <c r="AL19" s="64"/>
      <c r="AM19" s="16" t="s">
        <v>675</v>
      </c>
      <c r="AN19" s="64"/>
      <c r="AO19" s="64"/>
      <c r="AP19" s="64"/>
      <c r="AQ19" s="64"/>
      <c r="AR19" s="64"/>
      <c r="AS19" s="16" t="s">
        <v>675</v>
      </c>
      <c r="AT19" s="64"/>
      <c r="AU19" s="64"/>
      <c r="AV19" s="64"/>
      <c r="AW19" s="64"/>
      <c r="AX19" s="16" t="s">
        <v>675</v>
      </c>
      <c r="AY19" s="64"/>
      <c r="AZ19" s="64"/>
      <c r="BA19" s="64"/>
      <c r="BB19" s="64"/>
      <c r="BC19" s="64"/>
      <c r="BD19" s="64"/>
      <c r="BE19" s="64"/>
      <c r="BF19" s="64"/>
      <c r="BG19" s="16" t="s">
        <v>675</v>
      </c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16" t="s">
        <v>675</v>
      </c>
      <c r="BT19" s="65"/>
    </row>
    <row r="20" spans="1:72" ht="18" hidden="1" customHeight="1" x14ac:dyDescent="0.3">
      <c r="A20" s="47" t="s">
        <v>1685</v>
      </c>
      <c r="B20" s="48" t="s">
        <v>1686</v>
      </c>
      <c r="C20" s="49" t="s">
        <v>2043</v>
      </c>
      <c r="D20" s="16" t="s">
        <v>1301</v>
      </c>
      <c r="E20" s="50">
        <v>55.38</v>
      </c>
      <c r="F20" s="50">
        <v>0</v>
      </c>
      <c r="G20" s="61">
        <v>3</v>
      </c>
      <c r="H20" s="72" t="s">
        <v>1687</v>
      </c>
      <c r="I20" s="70" t="s">
        <v>1474</v>
      </c>
      <c r="J20" s="16" t="s">
        <v>1688</v>
      </c>
      <c r="K20" s="49">
        <v>5</v>
      </c>
      <c r="L20" s="49">
        <v>5</v>
      </c>
      <c r="M20" s="49" t="s">
        <v>1033</v>
      </c>
      <c r="N20" s="49" t="s">
        <v>1047</v>
      </c>
      <c r="O20" s="63" t="str">
        <f t="shared" si="0"/>
        <v>NO</v>
      </c>
      <c r="P20" s="73"/>
      <c r="Q20" s="53">
        <f t="shared" si="1"/>
        <v>5</v>
      </c>
      <c r="R20" s="54">
        <f t="shared" si="2"/>
        <v>2.7</v>
      </c>
      <c r="S20" s="55" t="str">
        <f t="shared" si="3"/>
        <v xml:space="preserve"> </v>
      </c>
      <c r="T20" s="56"/>
      <c r="U20" s="57" t="str">
        <f t="shared" si="4"/>
        <v>Mitigation</v>
      </c>
      <c r="V20" s="58">
        <f t="shared" si="5"/>
        <v>2.7</v>
      </c>
      <c r="W20" s="58" t="str">
        <f t="shared" si="6"/>
        <v xml:space="preserve"> </v>
      </c>
      <c r="X20" s="59" t="str">
        <f t="shared" si="7"/>
        <v/>
      </c>
      <c r="Y20" s="60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16" t="s">
        <v>675</v>
      </c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5"/>
    </row>
    <row r="21" spans="1:72" ht="18" hidden="1" customHeight="1" x14ac:dyDescent="0.3">
      <c r="A21" s="47" t="s">
        <v>1663</v>
      </c>
      <c r="B21" s="48" t="s">
        <v>1664</v>
      </c>
      <c r="C21" s="49" t="s">
        <v>2375</v>
      </c>
      <c r="D21" s="16" t="s">
        <v>1055</v>
      </c>
      <c r="E21" s="50">
        <v>74.34</v>
      </c>
      <c r="F21" s="50">
        <v>0</v>
      </c>
      <c r="G21" s="61">
        <v>6</v>
      </c>
      <c r="H21" s="16" t="s">
        <v>1087</v>
      </c>
      <c r="I21" s="70" t="s">
        <v>1474</v>
      </c>
      <c r="J21" s="16" t="s">
        <v>1665</v>
      </c>
      <c r="K21" s="49">
        <v>5</v>
      </c>
      <c r="L21" s="49">
        <v>5</v>
      </c>
      <c r="M21" s="49" t="s">
        <v>1033</v>
      </c>
      <c r="N21" s="49" t="s">
        <v>1043</v>
      </c>
      <c r="O21" s="63" t="str">
        <f t="shared" si="0"/>
        <v>NO</v>
      </c>
      <c r="P21" s="73"/>
      <c r="Q21" s="53">
        <f t="shared" si="1"/>
        <v>5</v>
      </c>
      <c r="R21" s="54">
        <f t="shared" si="2"/>
        <v>3.7</v>
      </c>
      <c r="S21" s="55" t="str">
        <f t="shared" si="3"/>
        <v xml:space="preserve"> </v>
      </c>
      <c r="T21" s="56"/>
      <c r="U21" s="57" t="str">
        <f t="shared" si="4"/>
        <v>Mitigation</v>
      </c>
      <c r="V21" s="58">
        <f t="shared" si="5"/>
        <v>3.7</v>
      </c>
      <c r="W21" s="58" t="str">
        <f t="shared" si="6"/>
        <v xml:space="preserve"> </v>
      </c>
      <c r="X21" s="59" t="str">
        <f t="shared" si="7"/>
        <v/>
      </c>
      <c r="Y21" s="60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16" t="s">
        <v>675</v>
      </c>
      <c r="AK21" s="64"/>
      <c r="AL21" s="64"/>
      <c r="AM21" s="16" t="s">
        <v>675</v>
      </c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16" t="s">
        <v>675</v>
      </c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5"/>
    </row>
    <row r="22" spans="1:72" ht="18" hidden="1" customHeight="1" x14ac:dyDescent="0.3">
      <c r="A22" s="66" t="s">
        <v>1558</v>
      </c>
      <c r="B22" s="69" t="s">
        <v>424</v>
      </c>
      <c r="C22" s="67" t="s">
        <v>1445</v>
      </c>
      <c r="D22" s="67" t="s">
        <v>1273</v>
      </c>
      <c r="E22" s="50">
        <v>40.299999999999997</v>
      </c>
      <c r="F22" s="50">
        <v>0</v>
      </c>
      <c r="G22" s="61">
        <v>3</v>
      </c>
      <c r="H22" s="55">
        <v>64.900000000000006</v>
      </c>
      <c r="I22" s="48" t="s">
        <v>1016</v>
      </c>
      <c r="J22" s="16" t="s">
        <v>2386</v>
      </c>
      <c r="K22" s="49">
        <v>50</v>
      </c>
      <c r="L22" s="49">
        <v>50</v>
      </c>
      <c r="M22" s="64"/>
      <c r="N22" s="64"/>
      <c r="O22" s="63" t="str">
        <f t="shared" si="0"/>
        <v>YES</v>
      </c>
      <c r="P22" s="52"/>
      <c r="Q22" s="53">
        <f t="shared" si="1"/>
        <v>5000</v>
      </c>
      <c r="R22" s="54">
        <f t="shared" si="2"/>
        <v>2015</v>
      </c>
      <c r="S22" s="55" t="str">
        <f t="shared" si="3"/>
        <v xml:space="preserve"> </v>
      </c>
      <c r="T22" s="56"/>
      <c r="U22" s="57" t="str">
        <f t="shared" si="4"/>
        <v>100µg/100cm²</v>
      </c>
      <c r="V22" s="58">
        <f t="shared" si="5"/>
        <v>2015</v>
      </c>
      <c r="W22" s="58" t="str">
        <f t="shared" si="6"/>
        <v xml:space="preserve"> </v>
      </c>
      <c r="X22" s="59" t="str">
        <f t="shared" si="7"/>
        <v/>
      </c>
      <c r="Y22" s="60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16" t="s">
        <v>675</v>
      </c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5"/>
    </row>
    <row r="23" spans="1:72" ht="18" hidden="1" customHeight="1" x14ac:dyDescent="0.3">
      <c r="A23" s="47" t="s">
        <v>392</v>
      </c>
      <c r="B23" s="48" t="s">
        <v>393</v>
      </c>
      <c r="C23" s="49" t="s">
        <v>1208</v>
      </c>
      <c r="D23" s="49" t="s">
        <v>1028</v>
      </c>
      <c r="E23" s="50">
        <v>84.71</v>
      </c>
      <c r="F23" s="50">
        <v>0</v>
      </c>
      <c r="G23" s="61">
        <v>6</v>
      </c>
      <c r="H23" s="16">
        <v>0.7</v>
      </c>
      <c r="I23" s="48" t="s">
        <v>1196</v>
      </c>
      <c r="J23" s="16" t="s">
        <v>1209</v>
      </c>
      <c r="K23" s="49">
        <v>200</v>
      </c>
      <c r="L23" s="49">
        <v>1800</v>
      </c>
      <c r="M23" s="62" t="s">
        <v>1081</v>
      </c>
      <c r="N23" s="51"/>
      <c r="O23" s="63" t="str">
        <f t="shared" si="0"/>
        <v>YES</v>
      </c>
      <c r="P23" s="52"/>
      <c r="Q23" s="53">
        <f t="shared" si="1"/>
        <v>5000</v>
      </c>
      <c r="R23" s="54">
        <f t="shared" si="2"/>
        <v>4235.5</v>
      </c>
      <c r="S23" s="55" t="str">
        <f t="shared" si="3"/>
        <v xml:space="preserve"> </v>
      </c>
      <c r="T23" s="56"/>
      <c r="U23" s="57" t="str">
        <f t="shared" si="4"/>
        <v>100µg/100cm²</v>
      </c>
      <c r="V23" s="58">
        <f t="shared" si="5"/>
        <v>4235.5</v>
      </c>
      <c r="W23" s="58" t="str">
        <f t="shared" si="6"/>
        <v xml:space="preserve"> </v>
      </c>
      <c r="X23" s="59" t="str">
        <f t="shared" si="7"/>
        <v/>
      </c>
      <c r="Y23" s="60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16" t="s">
        <v>675</v>
      </c>
      <c r="AK23" s="64"/>
      <c r="AL23" s="64"/>
      <c r="AM23" s="16" t="s">
        <v>675</v>
      </c>
      <c r="AN23" s="64"/>
      <c r="AO23" s="64"/>
      <c r="AP23" s="64"/>
      <c r="AQ23" s="64"/>
      <c r="AR23" s="16" t="s">
        <v>675</v>
      </c>
      <c r="AS23" s="64"/>
      <c r="AT23" s="16" t="s">
        <v>675</v>
      </c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5"/>
    </row>
    <row r="24" spans="1:72" ht="18" hidden="1" customHeight="1" x14ac:dyDescent="0.3">
      <c r="A24" s="66" t="s">
        <v>492</v>
      </c>
      <c r="B24" s="69" t="s">
        <v>493</v>
      </c>
      <c r="C24" s="67" t="s">
        <v>1300</v>
      </c>
      <c r="D24" s="67" t="s">
        <v>1301</v>
      </c>
      <c r="E24" s="50">
        <v>54.9</v>
      </c>
      <c r="F24" s="50">
        <v>0</v>
      </c>
      <c r="G24" s="61">
        <v>1</v>
      </c>
      <c r="H24" s="16" t="s">
        <v>1261</v>
      </c>
      <c r="I24" s="48" t="s">
        <v>1196</v>
      </c>
      <c r="J24" s="16" t="s">
        <v>1302</v>
      </c>
      <c r="K24" s="49">
        <v>5</v>
      </c>
      <c r="L24" s="49">
        <v>5</v>
      </c>
      <c r="M24" s="62" t="s">
        <v>1033</v>
      </c>
      <c r="N24" s="62" t="s">
        <v>1303</v>
      </c>
      <c r="O24" s="63" t="str">
        <f t="shared" si="0"/>
        <v>NO</v>
      </c>
      <c r="P24" s="52"/>
      <c r="Q24" s="53">
        <f t="shared" si="1"/>
        <v>5</v>
      </c>
      <c r="R24" s="54">
        <f t="shared" si="2"/>
        <v>2.7</v>
      </c>
      <c r="S24" s="55" t="str">
        <f t="shared" si="3"/>
        <v xml:space="preserve"> </v>
      </c>
      <c r="T24" s="56"/>
      <c r="U24" s="57" t="str">
        <f t="shared" si="4"/>
        <v>Mitigation</v>
      </c>
      <c r="V24" s="58">
        <f t="shared" si="5"/>
        <v>2.7</v>
      </c>
      <c r="W24" s="58" t="str">
        <f t="shared" si="6"/>
        <v xml:space="preserve"> </v>
      </c>
      <c r="X24" s="59" t="str">
        <f t="shared" si="7"/>
        <v/>
      </c>
      <c r="Y24" s="60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16" t="s">
        <v>675</v>
      </c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5"/>
    </row>
    <row r="25" spans="1:72" ht="18" hidden="1" customHeight="1" x14ac:dyDescent="0.3">
      <c r="A25" s="74" t="s">
        <v>859</v>
      </c>
      <c r="B25" s="48" t="s">
        <v>856</v>
      </c>
      <c r="C25" s="16" t="s">
        <v>1585</v>
      </c>
      <c r="D25" s="16" t="s">
        <v>1301</v>
      </c>
      <c r="E25" s="50">
        <v>64.86</v>
      </c>
      <c r="F25" s="50">
        <v>0</v>
      </c>
      <c r="G25" s="16">
        <v>3</v>
      </c>
      <c r="H25" s="16">
        <v>100</v>
      </c>
      <c r="I25" s="16" t="s">
        <v>1016</v>
      </c>
      <c r="J25" s="16" t="s">
        <v>2013</v>
      </c>
      <c r="K25" s="16" t="s">
        <v>2027</v>
      </c>
      <c r="L25" s="16" t="s">
        <v>2027</v>
      </c>
      <c r="M25" s="64"/>
      <c r="N25" s="64"/>
      <c r="O25" s="16" t="s">
        <v>2027</v>
      </c>
      <c r="P25" s="52"/>
      <c r="Q25" s="53" t="str">
        <f t="shared" si="1"/>
        <v>Pending</v>
      </c>
      <c r="R25" s="54" t="str">
        <f t="shared" si="2"/>
        <v>Pending</v>
      </c>
      <c r="S25" s="55" t="str">
        <f t="shared" si="3"/>
        <v>Pending</v>
      </c>
      <c r="T25" s="56"/>
      <c r="U25" s="57" t="str">
        <f t="shared" si="4"/>
        <v>Pending</v>
      </c>
      <c r="V25" s="58" t="str">
        <f t="shared" si="5"/>
        <v>Pending</v>
      </c>
      <c r="W25" s="57" t="str">
        <f t="shared" si="6"/>
        <v>Pending</v>
      </c>
      <c r="X25" s="59" t="str">
        <f t="shared" si="7"/>
        <v/>
      </c>
      <c r="Y25" s="60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16" t="s">
        <v>675</v>
      </c>
      <c r="BL25" s="64"/>
      <c r="BM25" s="64"/>
      <c r="BN25" s="64"/>
      <c r="BO25" s="64"/>
      <c r="BP25" s="64"/>
      <c r="BQ25" s="64"/>
      <c r="BR25" s="64"/>
      <c r="BS25" s="16" t="s">
        <v>675</v>
      </c>
      <c r="BT25" s="65"/>
    </row>
    <row r="26" spans="1:72" ht="18" hidden="1" customHeight="1" x14ac:dyDescent="0.3">
      <c r="A26" s="75" t="s">
        <v>239</v>
      </c>
      <c r="B26" s="76" t="s">
        <v>459</v>
      </c>
      <c r="C26" s="16" t="s">
        <v>1499</v>
      </c>
      <c r="D26" s="16" t="s">
        <v>1483</v>
      </c>
      <c r="E26" s="50">
        <v>50</v>
      </c>
      <c r="F26" s="50">
        <v>0</v>
      </c>
      <c r="G26" s="16">
        <v>1</v>
      </c>
      <c r="H26" s="16" t="s">
        <v>1023</v>
      </c>
      <c r="I26" s="16" t="s">
        <v>1016</v>
      </c>
      <c r="J26" s="16" t="s">
        <v>2382</v>
      </c>
      <c r="K26" s="16">
        <v>50</v>
      </c>
      <c r="L26" s="16">
        <v>50</v>
      </c>
      <c r="M26" s="64"/>
      <c r="N26" s="64"/>
      <c r="O26" s="63" t="str">
        <f t="shared" ref="O26:O34" si="8">IF(AND(ISBLANK(K26),ISBLANK(N26))," ",IF(ISBLANK(N26),"YES","NO"))</f>
        <v>YES</v>
      </c>
      <c r="P26" s="52"/>
      <c r="Q26" s="53">
        <f t="shared" si="1"/>
        <v>5000</v>
      </c>
      <c r="R26" s="54">
        <f t="shared" si="2"/>
        <v>2500</v>
      </c>
      <c r="S26" s="55" t="str">
        <f t="shared" si="3"/>
        <v xml:space="preserve"> </v>
      </c>
      <c r="T26" s="56"/>
      <c r="U26" s="57" t="str">
        <f t="shared" si="4"/>
        <v>100µg/100cm²</v>
      </c>
      <c r="V26" s="58">
        <f t="shared" si="5"/>
        <v>2500</v>
      </c>
      <c r="W26" s="58" t="str">
        <f t="shared" si="6"/>
        <v xml:space="preserve"> </v>
      </c>
      <c r="X26" s="59" t="str">
        <f t="shared" si="7"/>
        <v/>
      </c>
      <c r="Y26" s="60"/>
      <c r="Z26" s="64"/>
      <c r="AA26" s="64"/>
      <c r="AB26" s="64"/>
      <c r="AC26" s="64"/>
      <c r="AD26" s="64"/>
      <c r="AE26" s="64"/>
      <c r="AF26" s="16" t="s">
        <v>675</v>
      </c>
      <c r="AG26" s="64"/>
      <c r="AH26" s="64"/>
      <c r="AI26" s="64"/>
      <c r="AJ26" s="64"/>
      <c r="AK26" s="64"/>
      <c r="AL26" s="64"/>
      <c r="AM26" s="16" t="s">
        <v>675</v>
      </c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5"/>
    </row>
    <row r="27" spans="1:72" ht="18" hidden="1" customHeight="1" x14ac:dyDescent="0.3">
      <c r="A27" s="75" t="s">
        <v>240</v>
      </c>
      <c r="B27" s="76" t="s">
        <v>459</v>
      </c>
      <c r="C27" s="16" t="s">
        <v>1499</v>
      </c>
      <c r="D27" s="16" t="s">
        <v>1483</v>
      </c>
      <c r="E27" s="50">
        <v>50</v>
      </c>
      <c r="F27" s="50">
        <v>0</v>
      </c>
      <c r="G27" s="16">
        <v>1</v>
      </c>
      <c r="H27" s="16" t="s">
        <v>1023</v>
      </c>
      <c r="I27" s="16" t="s">
        <v>1016</v>
      </c>
      <c r="J27" s="16" t="s">
        <v>2382</v>
      </c>
      <c r="K27" s="16">
        <v>50</v>
      </c>
      <c r="L27" s="16">
        <v>50</v>
      </c>
      <c r="M27" s="64"/>
      <c r="N27" s="64"/>
      <c r="O27" s="63" t="str">
        <f t="shared" si="8"/>
        <v>YES</v>
      </c>
      <c r="P27" s="52"/>
      <c r="Q27" s="53">
        <f t="shared" si="1"/>
        <v>5000</v>
      </c>
      <c r="R27" s="54">
        <f t="shared" si="2"/>
        <v>2500</v>
      </c>
      <c r="S27" s="55" t="str">
        <f t="shared" si="3"/>
        <v xml:space="preserve"> </v>
      </c>
      <c r="T27" s="56"/>
      <c r="U27" s="57" t="str">
        <f t="shared" si="4"/>
        <v>100µg/100cm²</v>
      </c>
      <c r="V27" s="58">
        <f t="shared" si="5"/>
        <v>2500</v>
      </c>
      <c r="W27" s="58" t="str">
        <f t="shared" si="6"/>
        <v xml:space="preserve"> </v>
      </c>
      <c r="X27" s="59" t="str">
        <f t="shared" si="7"/>
        <v/>
      </c>
      <c r="Y27" s="60"/>
      <c r="Z27" s="64"/>
      <c r="AA27" s="64"/>
      <c r="AB27" s="64"/>
      <c r="AC27" s="64"/>
      <c r="AD27" s="64"/>
      <c r="AE27" s="64"/>
      <c r="AF27" s="16" t="s">
        <v>675</v>
      </c>
      <c r="AG27" s="64"/>
      <c r="AH27" s="64"/>
      <c r="AI27" s="64"/>
      <c r="AJ27" s="64"/>
      <c r="AK27" s="64"/>
      <c r="AL27" s="64"/>
      <c r="AM27" s="16" t="s">
        <v>675</v>
      </c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5"/>
    </row>
    <row r="28" spans="1:72" ht="18" hidden="1" customHeight="1" x14ac:dyDescent="0.3">
      <c r="A28" s="75" t="s">
        <v>241</v>
      </c>
      <c r="B28" s="76" t="s">
        <v>459</v>
      </c>
      <c r="C28" s="16" t="s">
        <v>1499</v>
      </c>
      <c r="D28" s="16" t="s">
        <v>1483</v>
      </c>
      <c r="E28" s="50">
        <v>50</v>
      </c>
      <c r="F28" s="50">
        <v>0</v>
      </c>
      <c r="G28" s="16">
        <v>1</v>
      </c>
      <c r="H28" s="16" t="s">
        <v>1023</v>
      </c>
      <c r="I28" s="16" t="s">
        <v>1016</v>
      </c>
      <c r="J28" s="16" t="s">
        <v>2382</v>
      </c>
      <c r="K28" s="16">
        <v>50</v>
      </c>
      <c r="L28" s="16">
        <v>50</v>
      </c>
      <c r="M28" s="64"/>
      <c r="N28" s="64"/>
      <c r="O28" s="63" t="str">
        <f t="shared" si="8"/>
        <v>YES</v>
      </c>
      <c r="P28" s="52"/>
      <c r="Q28" s="53">
        <f t="shared" si="1"/>
        <v>5000</v>
      </c>
      <c r="R28" s="54">
        <f t="shared" si="2"/>
        <v>2500</v>
      </c>
      <c r="S28" s="55" t="str">
        <f t="shared" si="3"/>
        <v xml:space="preserve"> </v>
      </c>
      <c r="T28" s="56"/>
      <c r="U28" s="57" t="str">
        <f t="shared" si="4"/>
        <v>100µg/100cm²</v>
      </c>
      <c r="V28" s="58">
        <f t="shared" si="5"/>
        <v>2500</v>
      </c>
      <c r="W28" s="58" t="str">
        <f t="shared" si="6"/>
        <v xml:space="preserve"> </v>
      </c>
      <c r="X28" s="59" t="str">
        <f t="shared" si="7"/>
        <v/>
      </c>
      <c r="Y28" s="60"/>
      <c r="Z28" s="64"/>
      <c r="AA28" s="64"/>
      <c r="AB28" s="64"/>
      <c r="AC28" s="64"/>
      <c r="AD28" s="64"/>
      <c r="AE28" s="64"/>
      <c r="AF28" s="16" t="s">
        <v>675</v>
      </c>
      <c r="AG28" s="64"/>
      <c r="AH28" s="64"/>
      <c r="AI28" s="64"/>
      <c r="AJ28" s="64"/>
      <c r="AK28" s="64"/>
      <c r="AL28" s="64"/>
      <c r="AM28" s="16" t="s">
        <v>675</v>
      </c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5"/>
    </row>
    <row r="29" spans="1:72" ht="18" hidden="1" customHeight="1" x14ac:dyDescent="0.3">
      <c r="A29" s="77" t="s">
        <v>149</v>
      </c>
      <c r="B29" s="78" t="s">
        <v>150</v>
      </c>
      <c r="C29" s="16" t="s">
        <v>2044</v>
      </c>
      <c r="D29" s="79" t="s">
        <v>1011</v>
      </c>
      <c r="E29" s="50">
        <v>40</v>
      </c>
      <c r="F29" s="50">
        <v>0</v>
      </c>
      <c r="G29" s="61">
        <v>1</v>
      </c>
      <c r="H29" s="16" t="s">
        <v>1332</v>
      </c>
      <c r="I29" s="78" t="s">
        <v>1012</v>
      </c>
      <c r="J29" s="16" t="s">
        <v>2386</v>
      </c>
      <c r="K29" s="49">
        <v>50</v>
      </c>
      <c r="L29" s="49">
        <v>50</v>
      </c>
      <c r="M29" s="64"/>
      <c r="N29" s="64"/>
      <c r="O29" s="63" t="str">
        <f t="shared" si="8"/>
        <v>YES</v>
      </c>
      <c r="P29" s="52"/>
      <c r="Q29" s="53">
        <f t="shared" si="1"/>
        <v>5000</v>
      </c>
      <c r="R29" s="54">
        <f t="shared" si="2"/>
        <v>2000</v>
      </c>
      <c r="S29" s="55" t="str">
        <f t="shared" si="3"/>
        <v xml:space="preserve"> </v>
      </c>
      <c r="T29" s="56"/>
      <c r="U29" s="57" t="str">
        <f t="shared" si="4"/>
        <v>100µg/100cm²</v>
      </c>
      <c r="V29" s="58">
        <f t="shared" si="5"/>
        <v>2000</v>
      </c>
      <c r="W29" s="58" t="str">
        <f t="shared" si="6"/>
        <v xml:space="preserve"> </v>
      </c>
      <c r="X29" s="59" t="str">
        <f t="shared" si="7"/>
        <v/>
      </c>
      <c r="Y29" s="60"/>
      <c r="Z29" s="16" t="s">
        <v>675</v>
      </c>
      <c r="AA29" s="16" t="s">
        <v>675</v>
      </c>
      <c r="AB29" s="64"/>
      <c r="AC29" s="64"/>
      <c r="AD29" s="16" t="s">
        <v>675</v>
      </c>
      <c r="AE29" s="64"/>
      <c r="AF29" s="64"/>
      <c r="AG29" s="64"/>
      <c r="AH29" s="64"/>
      <c r="AI29" s="64"/>
      <c r="AJ29" s="16" t="s">
        <v>675</v>
      </c>
      <c r="AK29" s="64"/>
      <c r="AL29" s="64"/>
      <c r="AM29" s="16" t="s">
        <v>675</v>
      </c>
      <c r="AN29" s="64"/>
      <c r="AO29" s="64"/>
      <c r="AP29" s="64"/>
      <c r="AQ29" s="16" t="s">
        <v>675</v>
      </c>
      <c r="AR29" s="16" t="s">
        <v>675</v>
      </c>
      <c r="AS29" s="16" t="s">
        <v>675</v>
      </c>
      <c r="AT29" s="64"/>
      <c r="AU29" s="16" t="s">
        <v>675</v>
      </c>
      <c r="AV29" s="64"/>
      <c r="AW29" s="16" t="s">
        <v>675</v>
      </c>
      <c r="AX29" s="64"/>
      <c r="AY29" s="16" t="s">
        <v>675</v>
      </c>
      <c r="AZ29" s="16" t="s">
        <v>675</v>
      </c>
      <c r="BA29" s="16" t="s">
        <v>675</v>
      </c>
      <c r="BB29" s="16" t="s">
        <v>675</v>
      </c>
      <c r="BC29" s="16" t="s">
        <v>675</v>
      </c>
      <c r="BD29" s="64"/>
      <c r="BE29" s="64"/>
      <c r="BF29" s="64"/>
      <c r="BG29" s="64"/>
      <c r="BH29" s="64"/>
      <c r="BI29" s="64"/>
      <c r="BJ29" s="64"/>
      <c r="BK29" s="16" t="s">
        <v>675</v>
      </c>
      <c r="BL29" s="64"/>
      <c r="BM29" s="16" t="s">
        <v>675</v>
      </c>
      <c r="BN29" s="64"/>
      <c r="BO29" s="64"/>
      <c r="BP29" s="64"/>
      <c r="BQ29" s="64"/>
      <c r="BR29" s="64"/>
      <c r="BS29" s="16" t="s">
        <v>675</v>
      </c>
      <c r="BT29" s="65"/>
    </row>
    <row r="30" spans="1:72" ht="18" hidden="1" customHeight="1" x14ac:dyDescent="0.3">
      <c r="A30" s="47" t="s">
        <v>368</v>
      </c>
      <c r="B30" s="49" t="s">
        <v>369</v>
      </c>
      <c r="C30" s="49" t="s">
        <v>1360</v>
      </c>
      <c r="D30" s="49" t="s">
        <v>1273</v>
      </c>
      <c r="E30" s="50">
        <v>62</v>
      </c>
      <c r="F30" s="50">
        <v>0</v>
      </c>
      <c r="G30" s="61">
        <v>1</v>
      </c>
      <c r="H30" s="16" t="s">
        <v>1023</v>
      </c>
      <c r="I30" s="49" t="s">
        <v>1040</v>
      </c>
      <c r="J30" s="16" t="s">
        <v>2386</v>
      </c>
      <c r="K30" s="49">
        <v>50</v>
      </c>
      <c r="L30" s="49">
        <v>50</v>
      </c>
      <c r="M30" s="64"/>
      <c r="N30" s="64"/>
      <c r="O30" s="63" t="str">
        <f t="shared" si="8"/>
        <v>YES</v>
      </c>
      <c r="P30" s="52"/>
      <c r="Q30" s="53">
        <f t="shared" si="1"/>
        <v>5000</v>
      </c>
      <c r="R30" s="54">
        <f t="shared" si="2"/>
        <v>3100</v>
      </c>
      <c r="S30" s="55" t="str">
        <f t="shared" si="3"/>
        <v xml:space="preserve"> </v>
      </c>
      <c r="T30" s="56"/>
      <c r="U30" s="57" t="str">
        <f t="shared" si="4"/>
        <v>100µg/100cm²</v>
      </c>
      <c r="V30" s="58">
        <f t="shared" si="5"/>
        <v>3100</v>
      </c>
      <c r="W30" s="58" t="str">
        <f t="shared" si="6"/>
        <v xml:space="preserve"> </v>
      </c>
      <c r="X30" s="59" t="str">
        <f t="shared" si="7"/>
        <v/>
      </c>
      <c r="Y30" s="60"/>
      <c r="Z30" s="16" t="s">
        <v>675</v>
      </c>
      <c r="AA30" s="16" t="s">
        <v>675</v>
      </c>
      <c r="AB30" s="64"/>
      <c r="AC30" s="64"/>
      <c r="AD30" s="64"/>
      <c r="AE30" s="16" t="s">
        <v>675</v>
      </c>
      <c r="AF30" s="64"/>
      <c r="AG30" s="64"/>
      <c r="AH30" s="16" t="s">
        <v>675</v>
      </c>
      <c r="AI30" s="64"/>
      <c r="AJ30" s="16" t="s">
        <v>675</v>
      </c>
      <c r="AK30" s="16" t="s">
        <v>675</v>
      </c>
      <c r="AL30" s="16" t="s">
        <v>675</v>
      </c>
      <c r="AM30" s="16" t="s">
        <v>675</v>
      </c>
      <c r="AN30" s="64"/>
      <c r="AO30" s="64"/>
      <c r="AP30" s="64"/>
      <c r="AQ30" s="16" t="s">
        <v>675</v>
      </c>
      <c r="AR30" s="16" t="s">
        <v>675</v>
      </c>
      <c r="AS30" s="64"/>
      <c r="AT30" s="16" t="s">
        <v>675</v>
      </c>
      <c r="AU30" s="16" t="s">
        <v>675</v>
      </c>
      <c r="AV30" s="64"/>
      <c r="AW30" s="16" t="s">
        <v>675</v>
      </c>
      <c r="AX30" s="64"/>
      <c r="AY30" s="16" t="s">
        <v>675</v>
      </c>
      <c r="AZ30" s="16" t="s">
        <v>675</v>
      </c>
      <c r="BA30" s="16" t="s">
        <v>675</v>
      </c>
      <c r="BB30" s="16" t="s">
        <v>675</v>
      </c>
      <c r="BC30" s="16" t="s">
        <v>675</v>
      </c>
      <c r="BD30" s="64"/>
      <c r="BE30" s="64"/>
      <c r="BF30" s="64"/>
      <c r="BG30" s="64"/>
      <c r="BH30" s="64"/>
      <c r="BI30" s="64"/>
      <c r="BJ30" s="64"/>
      <c r="BK30" s="64"/>
      <c r="BL30" s="64"/>
      <c r="BM30" s="16" t="s">
        <v>675</v>
      </c>
      <c r="BN30" s="64"/>
      <c r="BO30" s="64"/>
      <c r="BP30" s="64"/>
      <c r="BQ30" s="64"/>
      <c r="BR30" s="64"/>
      <c r="BS30" s="16" t="s">
        <v>675</v>
      </c>
      <c r="BT30" s="65"/>
    </row>
    <row r="31" spans="1:72" ht="18" hidden="1" customHeight="1" x14ac:dyDescent="0.3">
      <c r="A31" s="47" t="s">
        <v>437</v>
      </c>
      <c r="B31" s="48" t="s">
        <v>641</v>
      </c>
      <c r="C31" s="49" t="s">
        <v>1359</v>
      </c>
      <c r="D31" s="49" t="s">
        <v>1101</v>
      </c>
      <c r="E31" s="50">
        <v>58.54</v>
      </c>
      <c r="F31" s="50">
        <v>0</v>
      </c>
      <c r="G31" s="61">
        <v>1</v>
      </c>
      <c r="H31" s="16" t="s">
        <v>1023</v>
      </c>
      <c r="I31" s="48" t="s">
        <v>1016</v>
      </c>
      <c r="J31" s="16" t="s">
        <v>2386</v>
      </c>
      <c r="K31" s="49">
        <v>50</v>
      </c>
      <c r="L31" s="49">
        <v>50</v>
      </c>
      <c r="M31" s="64"/>
      <c r="N31" s="64"/>
      <c r="O31" s="63" t="str">
        <f t="shared" si="8"/>
        <v>YES</v>
      </c>
      <c r="P31" s="52"/>
      <c r="Q31" s="53">
        <f t="shared" si="1"/>
        <v>5000</v>
      </c>
      <c r="R31" s="54">
        <f t="shared" si="2"/>
        <v>2927</v>
      </c>
      <c r="S31" s="55" t="str">
        <f t="shared" si="3"/>
        <v xml:space="preserve"> </v>
      </c>
      <c r="T31" s="56"/>
      <c r="U31" s="57" t="str">
        <f t="shared" si="4"/>
        <v>100µg/100cm²</v>
      </c>
      <c r="V31" s="58">
        <f t="shared" si="5"/>
        <v>2927</v>
      </c>
      <c r="W31" s="58" t="str">
        <f t="shared" si="6"/>
        <v xml:space="preserve"> </v>
      </c>
      <c r="X31" s="59" t="str">
        <f t="shared" si="7"/>
        <v/>
      </c>
      <c r="Y31" s="60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16" t="s">
        <v>675</v>
      </c>
      <c r="AS31" s="64"/>
      <c r="AT31" s="64"/>
      <c r="AU31" s="64"/>
      <c r="AV31" s="64"/>
      <c r="AW31" s="64"/>
      <c r="AX31" s="64"/>
      <c r="AY31" s="16" t="s">
        <v>675</v>
      </c>
      <c r="AZ31" s="64"/>
      <c r="BA31" s="64"/>
      <c r="BB31" s="64"/>
      <c r="BC31" s="64"/>
      <c r="BD31" s="64"/>
      <c r="BE31" s="16" t="s">
        <v>675</v>
      </c>
      <c r="BF31" s="64"/>
      <c r="BG31" s="64"/>
      <c r="BH31" s="64"/>
      <c r="BI31" s="64"/>
      <c r="BJ31" s="64"/>
      <c r="BK31" s="64"/>
      <c r="BL31" s="64"/>
      <c r="BM31" s="16" t="s">
        <v>675</v>
      </c>
      <c r="BN31" s="64"/>
      <c r="BO31" s="64"/>
      <c r="BP31" s="64"/>
      <c r="BQ31" s="64"/>
      <c r="BR31" s="64"/>
      <c r="BS31" s="16" t="s">
        <v>675</v>
      </c>
      <c r="BT31" s="65"/>
    </row>
    <row r="32" spans="1:72" ht="18" hidden="1" customHeight="1" x14ac:dyDescent="0.3">
      <c r="A32" s="47" t="s">
        <v>723</v>
      </c>
      <c r="B32" s="48" t="s">
        <v>458</v>
      </c>
      <c r="C32" s="16" t="s">
        <v>1238</v>
      </c>
      <c r="D32" s="49" t="s">
        <v>1011</v>
      </c>
      <c r="E32" s="50">
        <v>50</v>
      </c>
      <c r="F32" s="50">
        <v>0</v>
      </c>
      <c r="G32" s="61">
        <v>2</v>
      </c>
      <c r="H32" s="72">
        <v>1000</v>
      </c>
      <c r="I32" s="48" t="s">
        <v>1196</v>
      </c>
      <c r="J32" s="16" t="s">
        <v>1239</v>
      </c>
      <c r="K32" s="49">
        <v>250</v>
      </c>
      <c r="L32" s="49">
        <v>2250</v>
      </c>
      <c r="M32" s="62" t="s">
        <v>1027</v>
      </c>
      <c r="N32" s="51"/>
      <c r="O32" s="63" t="str">
        <f t="shared" si="8"/>
        <v>YES</v>
      </c>
      <c r="P32" s="52"/>
      <c r="Q32" s="53">
        <f t="shared" si="1"/>
        <v>5000</v>
      </c>
      <c r="R32" s="54">
        <f t="shared" si="2"/>
        <v>2500</v>
      </c>
      <c r="S32" s="55" t="str">
        <f t="shared" si="3"/>
        <v xml:space="preserve"> </v>
      </c>
      <c r="T32" s="56"/>
      <c r="U32" s="57" t="str">
        <f t="shared" si="4"/>
        <v>100µg/100cm²</v>
      </c>
      <c r="V32" s="58">
        <f t="shared" si="5"/>
        <v>2500</v>
      </c>
      <c r="W32" s="58" t="str">
        <f t="shared" si="6"/>
        <v xml:space="preserve"> </v>
      </c>
      <c r="X32" s="59" t="str">
        <f t="shared" si="7"/>
        <v/>
      </c>
      <c r="Y32" s="60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16" t="s">
        <v>675</v>
      </c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5"/>
    </row>
    <row r="33" spans="1:72" ht="18" hidden="1" customHeight="1" x14ac:dyDescent="0.3">
      <c r="A33" s="47" t="s">
        <v>86</v>
      </c>
      <c r="B33" s="48" t="s">
        <v>87</v>
      </c>
      <c r="C33" s="16" t="s">
        <v>2045</v>
      </c>
      <c r="D33" s="49" t="s">
        <v>1397</v>
      </c>
      <c r="E33" s="50">
        <v>44.44</v>
      </c>
      <c r="F33" s="50">
        <v>0</v>
      </c>
      <c r="G33" s="61">
        <v>6</v>
      </c>
      <c r="H33" s="16">
        <v>0.5</v>
      </c>
      <c r="I33" s="48" t="s">
        <v>1016</v>
      </c>
      <c r="J33" s="16" t="s">
        <v>2386</v>
      </c>
      <c r="K33" s="49">
        <v>50</v>
      </c>
      <c r="L33" s="49">
        <v>50</v>
      </c>
      <c r="M33" s="64"/>
      <c r="N33" s="64"/>
      <c r="O33" s="63" t="str">
        <f t="shared" si="8"/>
        <v>YES</v>
      </c>
      <c r="P33" s="52"/>
      <c r="Q33" s="53">
        <f t="shared" si="1"/>
        <v>5000</v>
      </c>
      <c r="R33" s="54">
        <f t="shared" si="2"/>
        <v>2222</v>
      </c>
      <c r="S33" s="55" t="str">
        <f t="shared" si="3"/>
        <v xml:space="preserve"> </v>
      </c>
      <c r="T33" s="56"/>
      <c r="U33" s="57" t="str">
        <f t="shared" si="4"/>
        <v>100µg/100cm²</v>
      </c>
      <c r="V33" s="58">
        <f t="shared" si="5"/>
        <v>2222</v>
      </c>
      <c r="W33" s="58" t="str">
        <f t="shared" si="6"/>
        <v xml:space="preserve"> </v>
      </c>
      <c r="X33" s="59" t="str">
        <f t="shared" si="7"/>
        <v/>
      </c>
      <c r="Y33" s="60"/>
      <c r="Z33" s="64"/>
      <c r="AA33" s="64"/>
      <c r="AB33" s="16" t="s">
        <v>675</v>
      </c>
      <c r="AC33" s="64"/>
      <c r="AD33" s="64"/>
      <c r="AE33" s="64"/>
      <c r="AF33" s="64"/>
      <c r="AG33" s="64"/>
      <c r="AH33" s="64"/>
      <c r="AI33" s="16" t="s">
        <v>675</v>
      </c>
      <c r="AJ33" s="64"/>
      <c r="AK33" s="16" t="s">
        <v>675</v>
      </c>
      <c r="AL33" s="16" t="s">
        <v>675</v>
      </c>
      <c r="AM33" s="16" t="s">
        <v>675</v>
      </c>
      <c r="AN33" s="64"/>
      <c r="AO33" s="64"/>
      <c r="AP33" s="64"/>
      <c r="AQ33" s="64"/>
      <c r="AR33" s="64"/>
      <c r="AS33" s="64"/>
      <c r="AT33" s="16" t="s">
        <v>675</v>
      </c>
      <c r="AU33" s="64"/>
      <c r="AV33" s="64"/>
      <c r="AW33" s="64"/>
      <c r="AX33" s="64"/>
      <c r="AY33" s="64"/>
      <c r="AZ33" s="64"/>
      <c r="BA33" s="16" t="s">
        <v>675</v>
      </c>
      <c r="BB33" s="16" t="s">
        <v>675</v>
      </c>
      <c r="BC33" s="64"/>
      <c r="BD33" s="64"/>
      <c r="BE33" s="64"/>
      <c r="BF33" s="64"/>
      <c r="BG33" s="16" t="s">
        <v>675</v>
      </c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16" t="s">
        <v>675</v>
      </c>
      <c r="BT33" s="65"/>
    </row>
    <row r="34" spans="1:72" ht="18" hidden="1" customHeight="1" x14ac:dyDescent="0.3">
      <c r="A34" s="47" t="s">
        <v>232</v>
      </c>
      <c r="B34" s="48" t="s">
        <v>233</v>
      </c>
      <c r="C34" s="49" t="s">
        <v>1462</v>
      </c>
      <c r="D34" s="49" t="s">
        <v>1397</v>
      </c>
      <c r="E34" s="50">
        <v>32.61</v>
      </c>
      <c r="F34" s="50">
        <v>0</v>
      </c>
      <c r="G34" s="61">
        <v>5</v>
      </c>
      <c r="H34" s="16">
        <v>4</v>
      </c>
      <c r="I34" s="48" t="s">
        <v>1016</v>
      </c>
      <c r="J34" s="16" t="s">
        <v>2386</v>
      </c>
      <c r="K34" s="49">
        <v>50</v>
      </c>
      <c r="L34" s="49">
        <v>50</v>
      </c>
      <c r="M34" s="64"/>
      <c r="N34" s="51"/>
      <c r="O34" s="63" t="str">
        <f t="shared" si="8"/>
        <v>YES</v>
      </c>
      <c r="P34" s="52"/>
      <c r="Q34" s="53">
        <f t="shared" si="1"/>
        <v>5000</v>
      </c>
      <c r="R34" s="54">
        <f t="shared" si="2"/>
        <v>1630.5</v>
      </c>
      <c r="S34" s="55" t="str">
        <f t="shared" si="3"/>
        <v xml:space="preserve"> </v>
      </c>
      <c r="T34" s="56"/>
      <c r="U34" s="57" t="str">
        <f t="shared" si="4"/>
        <v>100µg/100cm²</v>
      </c>
      <c r="V34" s="58">
        <f t="shared" si="5"/>
        <v>1630.5</v>
      </c>
      <c r="W34" s="58" t="str">
        <f t="shared" si="6"/>
        <v xml:space="preserve"> </v>
      </c>
      <c r="X34" s="59" t="str">
        <f t="shared" si="7"/>
        <v/>
      </c>
      <c r="Y34" s="60"/>
      <c r="Z34" s="64"/>
      <c r="AA34" s="64"/>
      <c r="AB34" s="64"/>
      <c r="AC34" s="64"/>
      <c r="AD34" s="64"/>
      <c r="AE34" s="16" t="s">
        <v>675</v>
      </c>
      <c r="AF34" s="16" t="s">
        <v>675</v>
      </c>
      <c r="AG34" s="64"/>
      <c r="AH34" s="64"/>
      <c r="AI34" s="16" t="s">
        <v>675</v>
      </c>
      <c r="AJ34" s="64"/>
      <c r="AK34" s="64"/>
      <c r="AL34" s="64"/>
      <c r="AM34" s="16" t="s">
        <v>675</v>
      </c>
      <c r="AN34" s="16" t="s">
        <v>675</v>
      </c>
      <c r="AO34" s="64"/>
      <c r="AP34" s="16" t="s">
        <v>675</v>
      </c>
      <c r="AQ34" s="64"/>
      <c r="AR34" s="64"/>
      <c r="AS34" s="16" t="s">
        <v>675</v>
      </c>
      <c r="AT34" s="16" t="s">
        <v>675</v>
      </c>
      <c r="AU34" s="16" t="s">
        <v>675</v>
      </c>
      <c r="AV34" s="64"/>
      <c r="AW34" s="16" t="s">
        <v>675</v>
      </c>
      <c r="AX34" s="16" t="s">
        <v>675</v>
      </c>
      <c r="AY34" s="64"/>
      <c r="AZ34" s="64"/>
      <c r="BA34" s="64"/>
      <c r="BB34" s="64"/>
      <c r="BC34" s="64"/>
      <c r="BD34" s="64"/>
      <c r="BE34" s="64"/>
      <c r="BF34" s="64"/>
      <c r="BG34" s="16" t="s">
        <v>675</v>
      </c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16" t="s">
        <v>675</v>
      </c>
      <c r="BT34" s="65"/>
    </row>
    <row r="35" spans="1:72" ht="18" hidden="1" customHeight="1" x14ac:dyDescent="0.3">
      <c r="A35" s="66" t="s">
        <v>512</v>
      </c>
      <c r="B35" s="69" t="s">
        <v>513</v>
      </c>
      <c r="C35" s="16" t="s">
        <v>2046</v>
      </c>
      <c r="D35" s="49" t="s">
        <v>1397</v>
      </c>
      <c r="E35" s="50">
        <v>44.9</v>
      </c>
      <c r="F35" s="50">
        <v>0</v>
      </c>
      <c r="G35" s="61">
        <v>5</v>
      </c>
      <c r="H35" s="68">
        <v>5</v>
      </c>
      <c r="I35" s="48" t="s">
        <v>1016</v>
      </c>
      <c r="J35" s="16" t="s">
        <v>2011</v>
      </c>
      <c r="K35" s="16" t="s">
        <v>2027</v>
      </c>
      <c r="L35" s="16" t="s">
        <v>2027</v>
      </c>
      <c r="M35" s="64"/>
      <c r="N35" s="64"/>
      <c r="O35" s="16" t="s">
        <v>2027</v>
      </c>
      <c r="P35" s="52"/>
      <c r="Q35" s="53" t="str">
        <f t="shared" si="1"/>
        <v>Pending</v>
      </c>
      <c r="R35" s="54" t="str">
        <f t="shared" si="2"/>
        <v>Pending</v>
      </c>
      <c r="S35" s="55" t="str">
        <f t="shared" si="3"/>
        <v>Pending</v>
      </c>
      <c r="T35" s="56"/>
      <c r="U35" s="57" t="str">
        <f t="shared" si="4"/>
        <v>Pending</v>
      </c>
      <c r="V35" s="58" t="str">
        <f t="shared" si="5"/>
        <v>Pending</v>
      </c>
      <c r="W35" s="57" t="str">
        <f t="shared" si="6"/>
        <v>Pending</v>
      </c>
      <c r="X35" s="59" t="str">
        <f t="shared" si="7"/>
        <v/>
      </c>
      <c r="Y35" s="60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16" t="s">
        <v>675</v>
      </c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5"/>
    </row>
    <row r="36" spans="1:72" ht="18" hidden="1" customHeight="1" x14ac:dyDescent="0.3">
      <c r="A36" s="80" t="s">
        <v>343</v>
      </c>
      <c r="B36" s="76" t="s">
        <v>344</v>
      </c>
      <c r="C36" s="16" t="s">
        <v>2047</v>
      </c>
      <c r="D36" s="49" t="s">
        <v>1397</v>
      </c>
      <c r="E36" s="50">
        <v>23.7</v>
      </c>
      <c r="F36" s="50">
        <v>0</v>
      </c>
      <c r="G36" s="61">
        <v>2</v>
      </c>
      <c r="H36" s="16">
        <v>1000</v>
      </c>
      <c r="I36" s="16" t="s">
        <v>1016</v>
      </c>
      <c r="J36" s="16" t="s">
        <v>2011</v>
      </c>
      <c r="K36" s="16" t="s">
        <v>2027</v>
      </c>
      <c r="L36" s="16" t="s">
        <v>2027</v>
      </c>
      <c r="M36" s="64"/>
      <c r="N36" s="64"/>
      <c r="O36" s="16" t="s">
        <v>2027</v>
      </c>
      <c r="P36" s="52"/>
      <c r="Q36" s="53" t="str">
        <f t="shared" si="1"/>
        <v>Pending</v>
      </c>
      <c r="R36" s="54" t="str">
        <f t="shared" si="2"/>
        <v>Pending</v>
      </c>
      <c r="S36" s="55" t="str">
        <f t="shared" si="3"/>
        <v>Pending</v>
      </c>
      <c r="T36" s="56"/>
      <c r="U36" s="57" t="str">
        <f t="shared" si="4"/>
        <v>Pending</v>
      </c>
      <c r="V36" s="58" t="str">
        <f t="shared" si="5"/>
        <v>Pending</v>
      </c>
      <c r="W36" s="57" t="str">
        <f t="shared" si="6"/>
        <v>Pending</v>
      </c>
      <c r="X36" s="59" t="str">
        <f t="shared" si="7"/>
        <v/>
      </c>
      <c r="Y36" s="60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16" t="s">
        <v>675</v>
      </c>
      <c r="AO36" s="64"/>
      <c r="AP36" s="16" t="s">
        <v>675</v>
      </c>
      <c r="AQ36" s="64"/>
      <c r="AR36" s="64"/>
      <c r="AS36" s="16" t="s">
        <v>675</v>
      </c>
      <c r="AT36" s="64"/>
      <c r="AU36" s="16" t="s">
        <v>675</v>
      </c>
      <c r="AV36" s="64"/>
      <c r="AW36" s="16" t="s">
        <v>675</v>
      </c>
      <c r="AX36" s="16" t="s">
        <v>675</v>
      </c>
      <c r="AY36" s="64"/>
      <c r="AZ36" s="64"/>
      <c r="BA36" s="64"/>
      <c r="BB36" s="64"/>
      <c r="BC36" s="64"/>
      <c r="BD36" s="16" t="s">
        <v>675</v>
      </c>
      <c r="BE36" s="64"/>
      <c r="BF36" s="64"/>
      <c r="BG36" s="16" t="s">
        <v>675</v>
      </c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16" t="s">
        <v>675</v>
      </c>
      <c r="BT36" s="65"/>
    </row>
    <row r="37" spans="1:72" ht="18" hidden="1" customHeight="1" x14ac:dyDescent="0.3">
      <c r="A37" s="47" t="s">
        <v>211</v>
      </c>
      <c r="B37" s="48" t="s">
        <v>212</v>
      </c>
      <c r="C37" s="16" t="s">
        <v>2048</v>
      </c>
      <c r="D37" s="49" t="s">
        <v>1397</v>
      </c>
      <c r="E37" s="50">
        <v>34.58</v>
      </c>
      <c r="F37" s="50">
        <v>0</v>
      </c>
      <c r="G37" s="61">
        <v>5</v>
      </c>
      <c r="H37" s="16">
        <v>10</v>
      </c>
      <c r="I37" s="48" t="s">
        <v>1016</v>
      </c>
      <c r="J37" s="16" t="s">
        <v>2386</v>
      </c>
      <c r="K37" s="49">
        <v>50</v>
      </c>
      <c r="L37" s="49">
        <v>50</v>
      </c>
      <c r="M37" s="64"/>
      <c r="N37" s="64"/>
      <c r="O37" s="63" t="str">
        <f t="shared" ref="O37:O68" si="9">IF(AND(ISBLANK(K37),ISBLANK(N37))," ",IF(ISBLANK(N37),"YES","NO"))</f>
        <v>YES</v>
      </c>
      <c r="P37" s="52"/>
      <c r="Q37" s="53">
        <f t="shared" si="1"/>
        <v>5000</v>
      </c>
      <c r="R37" s="54">
        <f t="shared" si="2"/>
        <v>1729</v>
      </c>
      <c r="S37" s="55" t="str">
        <f t="shared" si="3"/>
        <v xml:space="preserve"> </v>
      </c>
      <c r="T37" s="56"/>
      <c r="U37" s="57" t="str">
        <f t="shared" si="4"/>
        <v>100µg/100cm²</v>
      </c>
      <c r="V37" s="58">
        <f t="shared" si="5"/>
        <v>1729</v>
      </c>
      <c r="W37" s="58" t="str">
        <f t="shared" si="6"/>
        <v xml:space="preserve"> </v>
      </c>
      <c r="X37" s="59" t="str">
        <f t="shared" si="7"/>
        <v/>
      </c>
      <c r="Y37" s="60"/>
      <c r="Z37" s="64"/>
      <c r="AA37" s="64"/>
      <c r="AB37" s="64"/>
      <c r="AC37" s="64"/>
      <c r="AD37" s="64"/>
      <c r="AE37" s="16" t="s">
        <v>675</v>
      </c>
      <c r="AF37" s="16" t="s">
        <v>675</v>
      </c>
      <c r="AG37" s="64"/>
      <c r="AH37" s="64"/>
      <c r="AI37" s="16" t="s">
        <v>675</v>
      </c>
      <c r="AJ37" s="64"/>
      <c r="AK37" s="64"/>
      <c r="AL37" s="64"/>
      <c r="AM37" s="16" t="s">
        <v>675</v>
      </c>
      <c r="AN37" s="16" t="s">
        <v>675</v>
      </c>
      <c r="AO37" s="64"/>
      <c r="AP37" s="16" t="s">
        <v>675</v>
      </c>
      <c r="AQ37" s="64"/>
      <c r="AR37" s="64"/>
      <c r="AS37" s="16" t="s">
        <v>675</v>
      </c>
      <c r="AT37" s="16" t="s">
        <v>675</v>
      </c>
      <c r="AU37" s="64"/>
      <c r="AV37" s="64"/>
      <c r="AW37" s="64"/>
      <c r="AX37" s="16" t="s">
        <v>675</v>
      </c>
      <c r="AY37" s="64"/>
      <c r="AZ37" s="64"/>
      <c r="BA37" s="64"/>
      <c r="BB37" s="64"/>
      <c r="BC37" s="64"/>
      <c r="BD37" s="64"/>
      <c r="BE37" s="64"/>
      <c r="BF37" s="64"/>
      <c r="BG37" s="16" t="s">
        <v>675</v>
      </c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16" t="s">
        <v>675</v>
      </c>
      <c r="BT37" s="65"/>
    </row>
    <row r="38" spans="1:72" ht="18" hidden="1" customHeight="1" x14ac:dyDescent="0.3">
      <c r="A38" s="81" t="s">
        <v>2049</v>
      </c>
      <c r="B38" s="76" t="s">
        <v>459</v>
      </c>
      <c r="C38" s="16" t="s">
        <v>1499</v>
      </c>
      <c r="D38" s="16" t="s">
        <v>1483</v>
      </c>
      <c r="E38" s="50">
        <v>50</v>
      </c>
      <c r="F38" s="50">
        <v>0</v>
      </c>
      <c r="G38" s="16">
        <v>1</v>
      </c>
      <c r="H38" s="16" t="s">
        <v>1023</v>
      </c>
      <c r="I38" s="16" t="s">
        <v>1016</v>
      </c>
      <c r="J38" s="16" t="s">
        <v>2382</v>
      </c>
      <c r="K38" s="16">
        <v>50</v>
      </c>
      <c r="L38" s="16">
        <v>50</v>
      </c>
      <c r="M38" s="64"/>
      <c r="N38" s="64"/>
      <c r="O38" s="63" t="str">
        <f t="shared" si="9"/>
        <v>YES</v>
      </c>
      <c r="P38" s="52"/>
      <c r="Q38" s="53">
        <f t="shared" si="1"/>
        <v>5000</v>
      </c>
      <c r="R38" s="54">
        <f t="shared" si="2"/>
        <v>2500</v>
      </c>
      <c r="S38" s="55" t="str">
        <f t="shared" si="3"/>
        <v xml:space="preserve"> </v>
      </c>
      <c r="T38" s="56"/>
      <c r="U38" s="57" t="str">
        <f t="shared" si="4"/>
        <v>100µg/100cm²</v>
      </c>
      <c r="V38" s="58">
        <f t="shared" si="5"/>
        <v>2500</v>
      </c>
      <c r="W38" s="58" t="str">
        <f t="shared" si="6"/>
        <v xml:space="preserve"> </v>
      </c>
      <c r="X38" s="59" t="str">
        <f t="shared" si="7"/>
        <v/>
      </c>
      <c r="Y38" s="60"/>
      <c r="Z38" s="64"/>
      <c r="AA38" s="64"/>
      <c r="AB38" s="64"/>
      <c r="AC38" s="64"/>
      <c r="AD38" s="64"/>
      <c r="AE38" s="82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16" t="s">
        <v>675</v>
      </c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5"/>
    </row>
    <row r="39" spans="1:72" ht="18" hidden="1" customHeight="1" x14ac:dyDescent="0.3">
      <c r="A39" s="81" t="s">
        <v>861</v>
      </c>
      <c r="B39" s="76" t="s">
        <v>459</v>
      </c>
      <c r="C39" s="16" t="s">
        <v>1499</v>
      </c>
      <c r="D39" s="16" t="s">
        <v>1483</v>
      </c>
      <c r="E39" s="50">
        <v>50</v>
      </c>
      <c r="F39" s="50">
        <v>0</v>
      </c>
      <c r="G39" s="16">
        <v>1</v>
      </c>
      <c r="H39" s="16" t="s">
        <v>1023</v>
      </c>
      <c r="I39" s="16" t="s">
        <v>1016</v>
      </c>
      <c r="J39" s="16" t="s">
        <v>2382</v>
      </c>
      <c r="K39" s="16">
        <v>50</v>
      </c>
      <c r="L39" s="16">
        <v>50</v>
      </c>
      <c r="M39" s="64"/>
      <c r="N39" s="64"/>
      <c r="O39" s="63" t="str">
        <f t="shared" si="9"/>
        <v>YES</v>
      </c>
      <c r="P39" s="52"/>
      <c r="Q39" s="53">
        <f t="shared" si="1"/>
        <v>5000</v>
      </c>
      <c r="R39" s="54">
        <f t="shared" si="2"/>
        <v>2500</v>
      </c>
      <c r="S39" s="55" t="str">
        <f t="shared" si="3"/>
        <v xml:space="preserve"> </v>
      </c>
      <c r="T39" s="56"/>
      <c r="U39" s="57" t="str">
        <f t="shared" si="4"/>
        <v>100µg/100cm²</v>
      </c>
      <c r="V39" s="58">
        <f t="shared" si="5"/>
        <v>2500</v>
      </c>
      <c r="W39" s="58" t="str">
        <f t="shared" si="6"/>
        <v xml:space="preserve"> </v>
      </c>
      <c r="X39" s="59" t="str">
        <f t="shared" si="7"/>
        <v/>
      </c>
      <c r="Y39" s="60"/>
      <c r="Z39" s="64"/>
      <c r="AA39" s="64"/>
      <c r="AB39" s="64"/>
      <c r="AC39" s="64"/>
      <c r="AD39" s="64"/>
      <c r="AE39" s="83" t="s">
        <v>675</v>
      </c>
      <c r="AF39" s="64"/>
      <c r="AG39" s="64"/>
      <c r="AH39" s="64"/>
      <c r="AI39" s="64"/>
      <c r="AJ39" s="64"/>
      <c r="AK39" s="64"/>
      <c r="AL39" s="64"/>
      <c r="AM39" s="16" t="s">
        <v>675</v>
      </c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5"/>
    </row>
    <row r="40" spans="1:72" ht="18" hidden="1" customHeight="1" x14ac:dyDescent="0.3">
      <c r="A40" s="84" t="s">
        <v>242</v>
      </c>
      <c r="B40" s="49" t="s">
        <v>243</v>
      </c>
      <c r="C40" s="70" t="s">
        <v>1334</v>
      </c>
      <c r="D40" s="70" t="s">
        <v>1011</v>
      </c>
      <c r="E40" s="50">
        <v>49.3</v>
      </c>
      <c r="F40" s="50">
        <v>0</v>
      </c>
      <c r="G40" s="61">
        <v>4</v>
      </c>
      <c r="H40" s="71" t="s">
        <v>1335</v>
      </c>
      <c r="I40" s="49" t="s">
        <v>1016</v>
      </c>
      <c r="J40" s="16" t="s">
        <v>2386</v>
      </c>
      <c r="K40" s="49">
        <v>50</v>
      </c>
      <c r="L40" s="49">
        <v>50</v>
      </c>
      <c r="M40" s="64"/>
      <c r="N40" s="64"/>
      <c r="O40" s="63" t="str">
        <f t="shared" si="9"/>
        <v>YES</v>
      </c>
      <c r="P40" s="52"/>
      <c r="Q40" s="53">
        <f t="shared" si="1"/>
        <v>5000</v>
      </c>
      <c r="R40" s="54">
        <f t="shared" si="2"/>
        <v>2465</v>
      </c>
      <c r="S40" s="55" t="str">
        <f t="shared" si="3"/>
        <v xml:space="preserve"> </v>
      </c>
      <c r="T40" s="56"/>
      <c r="U40" s="57" t="str">
        <f t="shared" si="4"/>
        <v>100µg/100cm²</v>
      </c>
      <c r="V40" s="58">
        <f t="shared" si="5"/>
        <v>2465</v>
      </c>
      <c r="W40" s="58" t="str">
        <f t="shared" si="6"/>
        <v xml:space="preserve"> </v>
      </c>
      <c r="X40" s="59" t="str">
        <f t="shared" si="7"/>
        <v/>
      </c>
      <c r="Y40" s="60"/>
      <c r="Z40" s="64"/>
      <c r="AA40" s="64"/>
      <c r="AB40" s="64"/>
      <c r="AC40" s="64"/>
      <c r="AD40" s="64"/>
      <c r="AE40" s="64"/>
      <c r="AF40" s="16" t="s">
        <v>675</v>
      </c>
      <c r="AG40" s="64"/>
      <c r="AH40" s="16" t="s">
        <v>675</v>
      </c>
      <c r="AI40" s="64"/>
      <c r="AJ40" s="64"/>
      <c r="AK40" s="16" t="s">
        <v>675</v>
      </c>
      <c r="AL40" s="16" t="s">
        <v>675</v>
      </c>
      <c r="AM40" s="16" t="s">
        <v>675</v>
      </c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5"/>
    </row>
    <row r="41" spans="1:72" ht="18" hidden="1" customHeight="1" x14ac:dyDescent="0.3">
      <c r="A41" s="47" t="s">
        <v>370</v>
      </c>
      <c r="B41" s="49" t="s">
        <v>371</v>
      </c>
      <c r="C41" s="49" t="s">
        <v>1365</v>
      </c>
      <c r="D41" s="49" t="s">
        <v>1114</v>
      </c>
      <c r="E41" s="50">
        <v>41.38</v>
      </c>
      <c r="F41" s="50">
        <v>0</v>
      </c>
      <c r="G41" s="61">
        <v>3</v>
      </c>
      <c r="H41" s="16">
        <v>100</v>
      </c>
      <c r="I41" s="49" t="s">
        <v>1016</v>
      </c>
      <c r="J41" s="16" t="s">
        <v>2386</v>
      </c>
      <c r="K41" s="49">
        <v>50</v>
      </c>
      <c r="L41" s="49">
        <v>50</v>
      </c>
      <c r="M41" s="64"/>
      <c r="N41" s="64"/>
      <c r="O41" s="63" t="str">
        <f t="shared" si="9"/>
        <v>YES</v>
      </c>
      <c r="P41" s="52"/>
      <c r="Q41" s="53">
        <f t="shared" si="1"/>
        <v>5000</v>
      </c>
      <c r="R41" s="54">
        <f t="shared" si="2"/>
        <v>2069</v>
      </c>
      <c r="S41" s="55" t="str">
        <f t="shared" si="3"/>
        <v xml:space="preserve"> </v>
      </c>
      <c r="T41" s="56"/>
      <c r="U41" s="57" t="str">
        <f t="shared" si="4"/>
        <v>100µg/100cm²</v>
      </c>
      <c r="V41" s="58">
        <f t="shared" si="5"/>
        <v>2069</v>
      </c>
      <c r="W41" s="58" t="str">
        <f t="shared" si="6"/>
        <v xml:space="preserve"> </v>
      </c>
      <c r="X41" s="59" t="str">
        <f t="shared" si="7"/>
        <v/>
      </c>
      <c r="Y41" s="60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16" t="s">
        <v>675</v>
      </c>
      <c r="AR41" s="64"/>
      <c r="AS41" s="64"/>
      <c r="AT41" s="64"/>
      <c r="AU41" s="64"/>
      <c r="AV41" s="64"/>
      <c r="AW41" s="64"/>
      <c r="AX41" s="64"/>
      <c r="AY41" s="16" t="s">
        <v>675</v>
      </c>
      <c r="AZ41" s="16" t="s">
        <v>675</v>
      </c>
      <c r="BA41" s="64"/>
      <c r="BB41" s="16" t="s">
        <v>675</v>
      </c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5"/>
    </row>
    <row r="42" spans="1:72" ht="18" hidden="1" customHeight="1" x14ac:dyDescent="0.3">
      <c r="A42" s="47" t="s">
        <v>374</v>
      </c>
      <c r="B42" s="48" t="s">
        <v>375</v>
      </c>
      <c r="C42" s="16" t="s">
        <v>2050</v>
      </c>
      <c r="D42" s="49" t="s">
        <v>1243</v>
      </c>
      <c r="E42" s="50">
        <v>47.06</v>
      </c>
      <c r="F42" s="50">
        <v>0</v>
      </c>
      <c r="G42" s="61">
        <v>7</v>
      </c>
      <c r="H42" s="16" t="s">
        <v>1105</v>
      </c>
      <c r="I42" s="48" t="s">
        <v>1016</v>
      </c>
      <c r="J42" s="16" t="s">
        <v>2386</v>
      </c>
      <c r="K42" s="49">
        <v>50</v>
      </c>
      <c r="L42" s="49">
        <v>50</v>
      </c>
      <c r="M42" s="64"/>
      <c r="N42" s="64"/>
      <c r="O42" s="63" t="str">
        <f t="shared" si="9"/>
        <v>YES</v>
      </c>
      <c r="P42" s="52"/>
      <c r="Q42" s="53">
        <f t="shared" si="1"/>
        <v>5000</v>
      </c>
      <c r="R42" s="54">
        <f t="shared" si="2"/>
        <v>2353</v>
      </c>
      <c r="S42" s="55" t="str">
        <f t="shared" si="3"/>
        <v xml:space="preserve"> </v>
      </c>
      <c r="T42" s="56"/>
      <c r="U42" s="57" t="str">
        <f t="shared" si="4"/>
        <v>100µg/100cm²</v>
      </c>
      <c r="V42" s="58">
        <f t="shared" si="5"/>
        <v>2353</v>
      </c>
      <c r="W42" s="58" t="str">
        <f t="shared" si="6"/>
        <v xml:space="preserve"> </v>
      </c>
      <c r="X42" s="59" t="str">
        <f t="shared" si="7"/>
        <v/>
      </c>
      <c r="Y42" s="60"/>
      <c r="Z42" s="16" t="s">
        <v>675</v>
      </c>
      <c r="AA42" s="16" t="s">
        <v>675</v>
      </c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16" t="s">
        <v>675</v>
      </c>
      <c r="AN42" s="64"/>
      <c r="AO42" s="64"/>
      <c r="AP42" s="64"/>
      <c r="AQ42" s="16" t="s">
        <v>675</v>
      </c>
      <c r="AR42" s="64"/>
      <c r="AS42" s="16" t="s">
        <v>675</v>
      </c>
      <c r="AT42" s="64"/>
      <c r="AU42" s="16" t="s">
        <v>675</v>
      </c>
      <c r="AV42" s="64"/>
      <c r="AW42" s="16" t="s">
        <v>675</v>
      </c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5"/>
    </row>
    <row r="43" spans="1:72" ht="18" hidden="1" customHeight="1" x14ac:dyDescent="0.3">
      <c r="A43" s="47" t="s">
        <v>771</v>
      </c>
      <c r="B43" s="48" t="s">
        <v>500</v>
      </c>
      <c r="C43" s="49" t="s">
        <v>1415</v>
      </c>
      <c r="D43" s="49" t="s">
        <v>1114</v>
      </c>
      <c r="E43" s="50">
        <v>30</v>
      </c>
      <c r="F43" s="50">
        <v>0</v>
      </c>
      <c r="G43" s="61">
        <v>3</v>
      </c>
      <c r="H43" s="85" t="s">
        <v>1416</v>
      </c>
      <c r="I43" s="48" t="s">
        <v>1196</v>
      </c>
      <c r="J43" s="16" t="s">
        <v>2386</v>
      </c>
      <c r="K43" s="49">
        <v>50</v>
      </c>
      <c r="L43" s="49">
        <v>50</v>
      </c>
      <c r="M43" s="64"/>
      <c r="N43" s="64"/>
      <c r="O43" s="63" t="str">
        <f t="shared" si="9"/>
        <v>YES</v>
      </c>
      <c r="P43" s="52"/>
      <c r="Q43" s="53">
        <f t="shared" si="1"/>
        <v>5000</v>
      </c>
      <c r="R43" s="54">
        <f t="shared" si="2"/>
        <v>1500</v>
      </c>
      <c r="S43" s="55" t="str">
        <f t="shared" si="3"/>
        <v xml:space="preserve"> </v>
      </c>
      <c r="T43" s="56"/>
      <c r="U43" s="57" t="str">
        <f t="shared" si="4"/>
        <v>100µg/100cm²</v>
      </c>
      <c r="V43" s="58">
        <f t="shared" si="5"/>
        <v>1500</v>
      </c>
      <c r="W43" s="58" t="str">
        <f t="shared" si="6"/>
        <v xml:space="preserve"> </v>
      </c>
      <c r="X43" s="59" t="str">
        <f t="shared" si="7"/>
        <v/>
      </c>
      <c r="Y43" s="60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16" t="s">
        <v>675</v>
      </c>
      <c r="AK43" s="64"/>
      <c r="AL43" s="64"/>
      <c r="AM43" s="16" t="s">
        <v>675</v>
      </c>
      <c r="AN43" s="64"/>
      <c r="AO43" s="64"/>
      <c r="AP43" s="64"/>
      <c r="AQ43" s="64"/>
      <c r="AR43" s="64"/>
      <c r="AS43" s="16" t="s">
        <v>675</v>
      </c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5"/>
    </row>
    <row r="44" spans="1:72" ht="18" hidden="1" customHeight="1" x14ac:dyDescent="0.3">
      <c r="A44" s="80" t="s">
        <v>235</v>
      </c>
      <c r="B44" s="86" t="s">
        <v>236</v>
      </c>
      <c r="C44" s="87" t="s">
        <v>1586</v>
      </c>
      <c r="D44" s="16" t="s">
        <v>1104</v>
      </c>
      <c r="E44" s="50">
        <v>70</v>
      </c>
      <c r="F44" s="50">
        <v>0</v>
      </c>
      <c r="G44" s="16">
        <v>7</v>
      </c>
      <c r="H44" s="16" t="s">
        <v>1425</v>
      </c>
      <c r="I44" s="16" t="s">
        <v>1016</v>
      </c>
      <c r="J44" s="16" t="s">
        <v>1988</v>
      </c>
      <c r="K44" s="87">
        <v>100</v>
      </c>
      <c r="L44" s="87" t="s">
        <v>1987</v>
      </c>
      <c r="M44" s="64"/>
      <c r="N44" s="16" t="s">
        <v>2321</v>
      </c>
      <c r="O44" s="63" t="str">
        <f t="shared" si="9"/>
        <v>NO</v>
      </c>
      <c r="P44" s="52"/>
      <c r="Q44" s="53">
        <f t="shared" si="1"/>
        <v>100</v>
      </c>
      <c r="R44" s="54">
        <f t="shared" si="2"/>
        <v>70</v>
      </c>
      <c r="S44" s="55" t="str">
        <f t="shared" si="3"/>
        <v xml:space="preserve"> </v>
      </c>
      <c r="T44" s="56"/>
      <c r="U44" s="57" t="str">
        <f t="shared" si="4"/>
        <v>100µg/100cm²</v>
      </c>
      <c r="V44" s="58">
        <f t="shared" si="5"/>
        <v>70</v>
      </c>
      <c r="W44" s="58" t="str">
        <f t="shared" si="6"/>
        <v xml:space="preserve"> </v>
      </c>
      <c r="X44" s="59" t="str">
        <f t="shared" si="7"/>
        <v/>
      </c>
      <c r="Y44" s="60"/>
      <c r="Z44" s="64"/>
      <c r="AA44" s="64"/>
      <c r="AB44" s="64"/>
      <c r="AC44" s="64"/>
      <c r="AD44" s="64"/>
      <c r="AE44" s="16" t="s">
        <v>675</v>
      </c>
      <c r="AF44" s="16" t="s">
        <v>675</v>
      </c>
      <c r="AG44" s="64"/>
      <c r="AH44" s="64"/>
      <c r="AI44" s="64"/>
      <c r="AJ44" s="64"/>
      <c r="AK44" s="64"/>
      <c r="AL44" s="64"/>
      <c r="AM44" s="16" t="s">
        <v>675</v>
      </c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5"/>
    </row>
    <row r="45" spans="1:72" ht="18" hidden="1" customHeight="1" x14ac:dyDescent="0.3">
      <c r="A45" s="80" t="s">
        <v>244</v>
      </c>
      <c r="B45" s="86" t="s">
        <v>237</v>
      </c>
      <c r="C45" s="87" t="s">
        <v>1587</v>
      </c>
      <c r="D45" s="16" t="s">
        <v>1104</v>
      </c>
      <c r="E45" s="50">
        <v>75</v>
      </c>
      <c r="F45" s="50">
        <v>0</v>
      </c>
      <c r="G45" s="16">
        <v>7</v>
      </c>
      <c r="H45" s="16" t="s">
        <v>1425</v>
      </c>
      <c r="I45" s="16" t="s">
        <v>1016</v>
      </c>
      <c r="J45" s="16" t="s">
        <v>1988</v>
      </c>
      <c r="K45" s="87">
        <v>100</v>
      </c>
      <c r="L45" s="87" t="s">
        <v>1987</v>
      </c>
      <c r="M45" s="64"/>
      <c r="N45" s="16" t="s">
        <v>2321</v>
      </c>
      <c r="O45" s="63" t="str">
        <f t="shared" si="9"/>
        <v>NO</v>
      </c>
      <c r="P45" s="52"/>
      <c r="Q45" s="53">
        <f t="shared" si="1"/>
        <v>100</v>
      </c>
      <c r="R45" s="54">
        <f t="shared" si="2"/>
        <v>75</v>
      </c>
      <c r="S45" s="55" t="str">
        <f t="shared" si="3"/>
        <v xml:space="preserve"> </v>
      </c>
      <c r="T45" s="56"/>
      <c r="U45" s="57" t="str">
        <f t="shared" si="4"/>
        <v>100µg/100cm²</v>
      </c>
      <c r="V45" s="58">
        <f t="shared" si="5"/>
        <v>75</v>
      </c>
      <c r="W45" s="58" t="str">
        <f t="shared" si="6"/>
        <v xml:space="preserve"> </v>
      </c>
      <c r="X45" s="59" t="str">
        <f t="shared" si="7"/>
        <v/>
      </c>
      <c r="Y45" s="60"/>
      <c r="Z45" s="64"/>
      <c r="AA45" s="64"/>
      <c r="AB45" s="64"/>
      <c r="AC45" s="64"/>
      <c r="AD45" s="64"/>
      <c r="AE45" s="16" t="s">
        <v>675</v>
      </c>
      <c r="AF45" s="16" t="s">
        <v>675</v>
      </c>
      <c r="AG45" s="64"/>
      <c r="AH45" s="64"/>
      <c r="AI45" s="64"/>
      <c r="AJ45" s="64"/>
      <c r="AK45" s="64"/>
      <c r="AL45" s="64"/>
      <c r="AM45" s="16" t="s">
        <v>675</v>
      </c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5"/>
    </row>
    <row r="46" spans="1:72" ht="18" hidden="1" customHeight="1" x14ac:dyDescent="0.3">
      <c r="A46" s="47" t="s">
        <v>1729</v>
      </c>
      <c r="B46" s="48" t="s">
        <v>1730</v>
      </c>
      <c r="C46" s="49" t="s">
        <v>2051</v>
      </c>
      <c r="D46" s="16" t="s">
        <v>1163</v>
      </c>
      <c r="E46" s="50">
        <v>85.2</v>
      </c>
      <c r="F46" s="50">
        <v>0</v>
      </c>
      <c r="G46" s="16">
        <v>1</v>
      </c>
      <c r="H46" s="16" t="s">
        <v>1731</v>
      </c>
      <c r="I46" s="70" t="s">
        <v>1474</v>
      </c>
      <c r="J46" s="16" t="s">
        <v>2386</v>
      </c>
      <c r="K46" s="49">
        <v>50</v>
      </c>
      <c r="L46" s="49">
        <v>50</v>
      </c>
      <c r="M46" s="64"/>
      <c r="N46" s="64"/>
      <c r="O46" s="63" t="str">
        <f t="shared" si="9"/>
        <v>YES</v>
      </c>
      <c r="P46" s="52"/>
      <c r="Q46" s="53">
        <f t="shared" si="1"/>
        <v>5000</v>
      </c>
      <c r="R46" s="54">
        <f t="shared" si="2"/>
        <v>4260</v>
      </c>
      <c r="S46" s="55" t="str">
        <f t="shared" si="3"/>
        <v xml:space="preserve"> </v>
      </c>
      <c r="T46" s="56"/>
      <c r="U46" s="57" t="str">
        <f t="shared" si="4"/>
        <v>100µg/100cm²</v>
      </c>
      <c r="V46" s="58">
        <f t="shared" si="5"/>
        <v>4260</v>
      </c>
      <c r="W46" s="58" t="str">
        <f t="shared" si="6"/>
        <v xml:space="preserve"> </v>
      </c>
      <c r="X46" s="59" t="str">
        <f t="shared" si="7"/>
        <v/>
      </c>
      <c r="Y46" s="60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16" t="s">
        <v>675</v>
      </c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5"/>
    </row>
    <row r="47" spans="1:72" ht="18" hidden="1" customHeight="1" x14ac:dyDescent="0.3">
      <c r="A47" s="47" t="s">
        <v>2052</v>
      </c>
      <c r="B47" s="48" t="s">
        <v>1717</v>
      </c>
      <c r="C47" s="49" t="s">
        <v>2053</v>
      </c>
      <c r="D47" s="16" t="s">
        <v>1163</v>
      </c>
      <c r="E47" s="50">
        <v>70.83</v>
      </c>
      <c r="F47" s="50">
        <v>0</v>
      </c>
      <c r="G47" s="16">
        <v>1</v>
      </c>
      <c r="H47" s="16" t="s">
        <v>1023</v>
      </c>
      <c r="I47" s="70" t="s">
        <v>1474</v>
      </c>
      <c r="J47" s="16" t="s">
        <v>2386</v>
      </c>
      <c r="K47" s="49">
        <v>50</v>
      </c>
      <c r="L47" s="49">
        <v>50</v>
      </c>
      <c r="M47" s="64"/>
      <c r="N47" s="64"/>
      <c r="O47" s="63" t="str">
        <f t="shared" si="9"/>
        <v>YES</v>
      </c>
      <c r="P47" s="52"/>
      <c r="Q47" s="53">
        <f t="shared" si="1"/>
        <v>5000</v>
      </c>
      <c r="R47" s="54">
        <f t="shared" si="2"/>
        <v>3541.5</v>
      </c>
      <c r="S47" s="55" t="str">
        <f t="shared" si="3"/>
        <v xml:space="preserve"> </v>
      </c>
      <c r="T47" s="56"/>
      <c r="U47" s="57" t="str">
        <f t="shared" si="4"/>
        <v>100µg/100cm²</v>
      </c>
      <c r="V47" s="58">
        <f t="shared" si="5"/>
        <v>3541.5</v>
      </c>
      <c r="W47" s="58" t="str">
        <f t="shared" si="6"/>
        <v xml:space="preserve"> </v>
      </c>
      <c r="X47" s="59" t="str">
        <f t="shared" si="7"/>
        <v/>
      </c>
      <c r="Y47" s="60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16" t="s">
        <v>675</v>
      </c>
      <c r="AK47" s="64"/>
      <c r="AL47" s="64"/>
      <c r="AM47" s="16" t="s">
        <v>675</v>
      </c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16" t="s">
        <v>675</v>
      </c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5"/>
    </row>
    <row r="48" spans="1:72" ht="18" hidden="1" customHeight="1" x14ac:dyDescent="0.3">
      <c r="A48" s="47" t="s">
        <v>2054</v>
      </c>
      <c r="B48" s="48" t="s">
        <v>1786</v>
      </c>
      <c r="C48" s="49" t="s">
        <v>2055</v>
      </c>
      <c r="D48" s="16" t="s">
        <v>1163</v>
      </c>
      <c r="E48" s="50">
        <v>70.59</v>
      </c>
      <c r="F48" s="50">
        <v>0</v>
      </c>
      <c r="G48" s="16">
        <v>1</v>
      </c>
      <c r="H48" s="16" t="s">
        <v>1023</v>
      </c>
      <c r="I48" s="70" t="s">
        <v>1474</v>
      </c>
      <c r="J48" s="16" t="s">
        <v>2386</v>
      </c>
      <c r="K48" s="49">
        <v>50</v>
      </c>
      <c r="L48" s="49">
        <v>50</v>
      </c>
      <c r="M48" s="64"/>
      <c r="N48" s="64"/>
      <c r="O48" s="63" t="str">
        <f t="shared" si="9"/>
        <v>YES</v>
      </c>
      <c r="P48" s="52"/>
      <c r="Q48" s="53">
        <f t="shared" si="1"/>
        <v>5000</v>
      </c>
      <c r="R48" s="54">
        <f t="shared" si="2"/>
        <v>3529.5</v>
      </c>
      <c r="S48" s="55" t="str">
        <f t="shared" si="3"/>
        <v xml:space="preserve"> </v>
      </c>
      <c r="T48" s="56"/>
      <c r="U48" s="57" t="str">
        <f t="shared" si="4"/>
        <v>100µg/100cm²</v>
      </c>
      <c r="V48" s="58">
        <f t="shared" si="5"/>
        <v>3529.5</v>
      </c>
      <c r="W48" s="58" t="str">
        <f t="shared" si="6"/>
        <v xml:space="preserve"> </v>
      </c>
      <c r="X48" s="59" t="str">
        <f t="shared" si="7"/>
        <v/>
      </c>
      <c r="Y48" s="60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16" t="s">
        <v>675</v>
      </c>
      <c r="AK48" s="64"/>
      <c r="AL48" s="64"/>
      <c r="AM48" s="16" t="s">
        <v>675</v>
      </c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16" t="s">
        <v>675</v>
      </c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5"/>
    </row>
    <row r="49" spans="1:72" ht="18" hidden="1" customHeight="1" x14ac:dyDescent="0.3">
      <c r="A49" s="66" t="s">
        <v>1822</v>
      </c>
      <c r="B49" s="69" t="s">
        <v>455</v>
      </c>
      <c r="C49" s="16" t="s">
        <v>2056</v>
      </c>
      <c r="D49" s="16" t="s">
        <v>1163</v>
      </c>
      <c r="E49" s="50">
        <v>63.9</v>
      </c>
      <c r="F49" s="50">
        <v>0</v>
      </c>
      <c r="G49" s="61">
        <v>1</v>
      </c>
      <c r="H49" s="16" t="s">
        <v>1418</v>
      </c>
      <c r="I49" s="48" t="s">
        <v>1196</v>
      </c>
      <c r="J49" s="16" t="s">
        <v>2386</v>
      </c>
      <c r="K49" s="49">
        <v>50</v>
      </c>
      <c r="L49" s="49">
        <v>50</v>
      </c>
      <c r="M49" s="64"/>
      <c r="N49" s="64"/>
      <c r="O49" s="63" t="str">
        <f t="shared" si="9"/>
        <v>YES</v>
      </c>
      <c r="P49" s="52"/>
      <c r="Q49" s="53">
        <f t="shared" si="1"/>
        <v>5000</v>
      </c>
      <c r="R49" s="54">
        <f t="shared" si="2"/>
        <v>3195</v>
      </c>
      <c r="S49" s="55" t="str">
        <f t="shared" si="3"/>
        <v xml:space="preserve"> </v>
      </c>
      <c r="T49" s="56"/>
      <c r="U49" s="57" t="str">
        <f t="shared" si="4"/>
        <v>100µg/100cm²</v>
      </c>
      <c r="V49" s="58">
        <f t="shared" si="5"/>
        <v>3195</v>
      </c>
      <c r="W49" s="58" t="str">
        <f t="shared" si="6"/>
        <v xml:space="preserve"> </v>
      </c>
      <c r="X49" s="59" t="str">
        <f t="shared" si="7"/>
        <v/>
      </c>
      <c r="Y49" s="60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16" t="s">
        <v>675</v>
      </c>
      <c r="AT49" s="64"/>
      <c r="AU49" s="64"/>
      <c r="AV49" s="16" t="s">
        <v>675</v>
      </c>
      <c r="AW49" s="16" t="s">
        <v>675</v>
      </c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5"/>
    </row>
    <row r="50" spans="1:72" ht="18" hidden="1" customHeight="1" x14ac:dyDescent="0.3">
      <c r="A50" s="80" t="s">
        <v>1745</v>
      </c>
      <c r="B50" s="48" t="s">
        <v>793</v>
      </c>
      <c r="C50" s="16" t="s">
        <v>2057</v>
      </c>
      <c r="D50" s="16" t="s">
        <v>1163</v>
      </c>
      <c r="E50" s="50">
        <v>64.41</v>
      </c>
      <c r="F50" s="50">
        <v>0</v>
      </c>
      <c r="G50" s="16">
        <v>2</v>
      </c>
      <c r="H50" s="16" t="s">
        <v>1787</v>
      </c>
      <c r="I50" s="70" t="s">
        <v>1474</v>
      </c>
      <c r="J50" s="16" t="s">
        <v>1470</v>
      </c>
      <c r="K50" s="49">
        <v>50</v>
      </c>
      <c r="L50" s="88">
        <v>450</v>
      </c>
      <c r="M50" s="16" t="s">
        <v>1471</v>
      </c>
      <c r="N50" s="16" t="s">
        <v>1448</v>
      </c>
      <c r="O50" s="63" t="str">
        <f t="shared" si="9"/>
        <v>NO</v>
      </c>
      <c r="P50" s="73"/>
      <c r="Q50" s="53">
        <f t="shared" si="1"/>
        <v>50</v>
      </c>
      <c r="R50" s="54">
        <f t="shared" si="2"/>
        <v>32.200000000000003</v>
      </c>
      <c r="S50" s="55" t="str">
        <f t="shared" si="3"/>
        <v xml:space="preserve"> </v>
      </c>
      <c r="T50" s="56"/>
      <c r="U50" s="57" t="str">
        <f t="shared" si="4"/>
        <v>100µg/100cm²</v>
      </c>
      <c r="V50" s="58">
        <f t="shared" si="5"/>
        <v>32.200000000000003</v>
      </c>
      <c r="W50" s="58" t="str">
        <f t="shared" si="6"/>
        <v xml:space="preserve"> </v>
      </c>
      <c r="X50" s="59" t="str">
        <f t="shared" si="7"/>
        <v/>
      </c>
      <c r="Y50" s="60"/>
      <c r="Z50" s="16" t="s">
        <v>675</v>
      </c>
      <c r="AA50" s="16" t="s">
        <v>675</v>
      </c>
      <c r="AB50" s="16" t="s">
        <v>675</v>
      </c>
      <c r="AC50" s="64"/>
      <c r="AD50" s="64"/>
      <c r="AE50" s="16" t="s">
        <v>675</v>
      </c>
      <c r="AF50" s="16" t="s">
        <v>675</v>
      </c>
      <c r="AG50" s="16" t="s">
        <v>675</v>
      </c>
      <c r="AH50" s="64"/>
      <c r="AI50" s="16" t="s">
        <v>675</v>
      </c>
      <c r="AJ50" s="16" t="s">
        <v>675</v>
      </c>
      <c r="AK50" s="16" t="s">
        <v>675</v>
      </c>
      <c r="AL50" s="16" t="s">
        <v>675</v>
      </c>
      <c r="AM50" s="16" t="s">
        <v>675</v>
      </c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5"/>
    </row>
    <row r="51" spans="1:72" ht="18" hidden="1" customHeight="1" x14ac:dyDescent="0.3">
      <c r="A51" s="47" t="s">
        <v>1823</v>
      </c>
      <c r="B51" s="48" t="s">
        <v>588</v>
      </c>
      <c r="C51" s="49" t="s">
        <v>1472</v>
      </c>
      <c r="D51" s="49" t="s">
        <v>1163</v>
      </c>
      <c r="E51" s="50">
        <v>66.260000000000005</v>
      </c>
      <c r="F51" s="50">
        <v>0</v>
      </c>
      <c r="G51" s="61">
        <v>3</v>
      </c>
      <c r="H51" s="16" t="s">
        <v>1473</v>
      </c>
      <c r="I51" s="70" t="s">
        <v>1474</v>
      </c>
      <c r="J51" s="16" t="s">
        <v>1475</v>
      </c>
      <c r="K51" s="49">
        <v>250</v>
      </c>
      <c r="L51" s="49">
        <v>2250</v>
      </c>
      <c r="M51" s="62" t="s">
        <v>1027</v>
      </c>
      <c r="N51" s="51"/>
      <c r="O51" s="63" t="str">
        <f t="shared" si="9"/>
        <v>YES</v>
      </c>
      <c r="P51" s="52"/>
      <c r="Q51" s="53">
        <f t="shared" si="1"/>
        <v>5000</v>
      </c>
      <c r="R51" s="54">
        <f t="shared" si="2"/>
        <v>3313</v>
      </c>
      <c r="S51" s="55" t="str">
        <f t="shared" si="3"/>
        <v xml:space="preserve"> </v>
      </c>
      <c r="T51" s="56"/>
      <c r="U51" s="57" t="str">
        <f t="shared" si="4"/>
        <v>100µg/100cm²</v>
      </c>
      <c r="V51" s="58">
        <f t="shared" si="5"/>
        <v>3313</v>
      </c>
      <c r="W51" s="58" t="str">
        <f t="shared" si="6"/>
        <v xml:space="preserve"> </v>
      </c>
      <c r="X51" s="59" t="str">
        <f t="shared" si="7"/>
        <v/>
      </c>
      <c r="Y51" s="60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16" t="s">
        <v>675</v>
      </c>
      <c r="AU51" s="64"/>
      <c r="AV51" s="64"/>
      <c r="AW51" s="64"/>
      <c r="AX51" s="64"/>
      <c r="AY51" s="64"/>
      <c r="AZ51" s="64"/>
      <c r="BA51" s="64"/>
      <c r="BB51" s="64"/>
      <c r="BC51" s="16" t="s">
        <v>675</v>
      </c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5"/>
    </row>
    <row r="52" spans="1:72" ht="18" hidden="1" customHeight="1" x14ac:dyDescent="0.3">
      <c r="A52" s="47" t="s">
        <v>768</v>
      </c>
      <c r="B52" s="48" t="s">
        <v>769</v>
      </c>
      <c r="C52" s="49" t="s">
        <v>1414</v>
      </c>
      <c r="D52" s="49" t="s">
        <v>1417</v>
      </c>
      <c r="E52" s="50">
        <v>47.6</v>
      </c>
      <c r="F52" s="50">
        <v>0</v>
      </c>
      <c r="G52" s="61">
        <v>3</v>
      </c>
      <c r="H52" s="16" t="s">
        <v>1263</v>
      </c>
      <c r="I52" s="48" t="s">
        <v>1189</v>
      </c>
      <c r="J52" s="16" t="s">
        <v>2386</v>
      </c>
      <c r="K52" s="49">
        <v>50</v>
      </c>
      <c r="L52" s="49">
        <v>50</v>
      </c>
      <c r="M52" s="64"/>
      <c r="N52" s="64"/>
      <c r="O52" s="63" t="str">
        <f t="shared" si="9"/>
        <v>YES</v>
      </c>
      <c r="P52" s="52"/>
      <c r="Q52" s="53">
        <f t="shared" si="1"/>
        <v>5000</v>
      </c>
      <c r="R52" s="54">
        <f t="shared" si="2"/>
        <v>2380</v>
      </c>
      <c r="S52" s="55" t="str">
        <f t="shared" si="3"/>
        <v xml:space="preserve"> </v>
      </c>
      <c r="T52" s="56"/>
      <c r="U52" s="57" t="str">
        <f t="shared" si="4"/>
        <v>100µg/100cm²</v>
      </c>
      <c r="V52" s="58">
        <f t="shared" si="5"/>
        <v>2380</v>
      </c>
      <c r="W52" s="58" t="str">
        <f t="shared" si="6"/>
        <v xml:space="preserve"> </v>
      </c>
      <c r="X52" s="59" t="str">
        <f t="shared" si="7"/>
        <v/>
      </c>
      <c r="Y52" s="60"/>
      <c r="Z52" s="16" t="s">
        <v>1987</v>
      </c>
      <c r="AA52" s="16" t="s">
        <v>1987</v>
      </c>
      <c r="AB52" s="16" t="s">
        <v>1987</v>
      </c>
      <c r="AC52" s="16" t="s">
        <v>1987</v>
      </c>
      <c r="AD52" s="16" t="s">
        <v>1987</v>
      </c>
      <c r="AE52" s="16" t="s">
        <v>1987</v>
      </c>
      <c r="AF52" s="16" t="s">
        <v>1987</v>
      </c>
      <c r="AG52" s="16" t="s">
        <v>1987</v>
      </c>
      <c r="AH52" s="16" t="s">
        <v>1987</v>
      </c>
      <c r="AI52" s="16" t="s">
        <v>1987</v>
      </c>
      <c r="AJ52" s="16" t="s">
        <v>1987</v>
      </c>
      <c r="AK52" s="16" t="s">
        <v>1987</v>
      </c>
      <c r="AL52" s="16" t="s">
        <v>1987</v>
      </c>
      <c r="AM52" s="16" t="s">
        <v>1987</v>
      </c>
      <c r="AN52" s="16" t="s">
        <v>1987</v>
      </c>
      <c r="AO52" s="16" t="s">
        <v>1987</v>
      </c>
      <c r="AP52" s="16" t="s">
        <v>1987</v>
      </c>
      <c r="AQ52" s="16" t="s">
        <v>1987</v>
      </c>
      <c r="AR52" s="16" t="s">
        <v>1987</v>
      </c>
      <c r="AS52" s="16" t="s">
        <v>1987</v>
      </c>
      <c r="AT52" s="16" t="s">
        <v>1987</v>
      </c>
      <c r="AU52" s="16" t="s">
        <v>1987</v>
      </c>
      <c r="AV52" s="16" t="s">
        <v>1987</v>
      </c>
      <c r="AW52" s="16" t="s">
        <v>1987</v>
      </c>
      <c r="AX52" s="16" t="s">
        <v>1987</v>
      </c>
      <c r="AY52" s="16" t="s">
        <v>1987</v>
      </c>
      <c r="AZ52" s="16" t="s">
        <v>1987</v>
      </c>
      <c r="BA52" s="16" t="s">
        <v>1987</v>
      </c>
      <c r="BB52" s="16" t="s">
        <v>1987</v>
      </c>
      <c r="BC52" s="16" t="s">
        <v>1987</v>
      </c>
      <c r="BD52" s="16" t="s">
        <v>1987</v>
      </c>
      <c r="BE52" s="16" t="s">
        <v>1987</v>
      </c>
      <c r="BF52" s="16" t="s">
        <v>1987</v>
      </c>
      <c r="BG52" s="16" t="s">
        <v>1987</v>
      </c>
      <c r="BH52" s="16" t="s">
        <v>1987</v>
      </c>
      <c r="BI52" s="16" t="s">
        <v>1987</v>
      </c>
      <c r="BJ52" s="16" t="s">
        <v>1987</v>
      </c>
      <c r="BK52" s="16" t="s">
        <v>1987</v>
      </c>
      <c r="BL52" s="16" t="s">
        <v>1987</v>
      </c>
      <c r="BM52" s="16" t="s">
        <v>1987</v>
      </c>
      <c r="BN52" s="16" t="s">
        <v>1987</v>
      </c>
      <c r="BO52" s="16" t="s">
        <v>1987</v>
      </c>
      <c r="BP52" s="16" t="s">
        <v>1987</v>
      </c>
      <c r="BQ52" s="16" t="s">
        <v>1987</v>
      </c>
      <c r="BR52" s="16" t="s">
        <v>1987</v>
      </c>
      <c r="BS52" s="16" t="s">
        <v>1987</v>
      </c>
      <c r="BT52" s="16" t="s">
        <v>1987</v>
      </c>
    </row>
    <row r="53" spans="1:72" ht="18" hidden="1" customHeight="1" x14ac:dyDescent="0.3">
      <c r="A53" s="47" t="s">
        <v>2242</v>
      </c>
      <c r="B53" s="49" t="s">
        <v>2243</v>
      </c>
      <c r="C53" s="49" t="s">
        <v>2326</v>
      </c>
      <c r="D53" s="49" t="s">
        <v>1114</v>
      </c>
      <c r="E53" s="50">
        <v>0</v>
      </c>
      <c r="F53" s="50">
        <v>20.23</v>
      </c>
      <c r="G53" s="173">
        <v>2</v>
      </c>
      <c r="H53" s="173">
        <v>450</v>
      </c>
      <c r="I53" s="48" t="s">
        <v>1016</v>
      </c>
      <c r="J53" s="16" t="s">
        <v>2244</v>
      </c>
      <c r="K53" s="174">
        <v>12</v>
      </c>
      <c r="L53" s="174">
        <v>108</v>
      </c>
      <c r="M53" s="174" t="s">
        <v>1053</v>
      </c>
      <c r="N53" s="171"/>
      <c r="O53" s="63" t="str">
        <f t="shared" si="9"/>
        <v>YES</v>
      </c>
      <c r="P53" s="73"/>
      <c r="Q53" s="53">
        <f t="shared" si="1"/>
        <v>2190</v>
      </c>
      <c r="R53" s="54" t="str">
        <f t="shared" si="2"/>
        <v xml:space="preserve"> </v>
      </c>
      <c r="S53" s="55">
        <f t="shared" si="3"/>
        <v>443</v>
      </c>
      <c r="T53" s="105"/>
      <c r="U53" s="57" t="str">
        <f t="shared" si="4"/>
        <v xml:space="preserve"> </v>
      </c>
      <c r="V53" s="58" t="str">
        <f t="shared" si="5"/>
        <v xml:space="preserve"> </v>
      </c>
      <c r="W53" s="57" t="str">
        <f t="shared" si="6"/>
        <v>100µg/100cm²</v>
      </c>
      <c r="X53" s="59" t="str">
        <f t="shared" si="7"/>
        <v/>
      </c>
      <c r="Y53" s="106"/>
      <c r="Z53" s="16" t="s">
        <v>1987</v>
      </c>
      <c r="AA53" s="16" t="s">
        <v>1987</v>
      </c>
      <c r="AB53" s="16" t="s">
        <v>1987</v>
      </c>
      <c r="AC53" s="16" t="s">
        <v>1987</v>
      </c>
      <c r="AD53" s="16" t="s">
        <v>1987</v>
      </c>
      <c r="AE53" s="16" t="s">
        <v>1987</v>
      </c>
      <c r="AF53" s="16" t="s">
        <v>1987</v>
      </c>
      <c r="AG53" s="16" t="s">
        <v>1987</v>
      </c>
      <c r="AH53" s="16" t="s">
        <v>1987</v>
      </c>
      <c r="AI53" s="16" t="s">
        <v>1987</v>
      </c>
      <c r="AJ53" s="16" t="s">
        <v>1987</v>
      </c>
      <c r="AK53" s="16" t="s">
        <v>1987</v>
      </c>
      <c r="AL53" s="16" t="s">
        <v>1987</v>
      </c>
      <c r="AM53" s="16" t="s">
        <v>1987</v>
      </c>
      <c r="AN53" s="16" t="s">
        <v>1987</v>
      </c>
      <c r="AO53" s="16" t="s">
        <v>1987</v>
      </c>
      <c r="AP53" s="16" t="s">
        <v>1987</v>
      </c>
      <c r="AQ53" s="16" t="s">
        <v>1987</v>
      </c>
      <c r="AR53" s="16" t="s">
        <v>1987</v>
      </c>
      <c r="AS53" s="16" t="s">
        <v>1987</v>
      </c>
      <c r="AT53" s="16" t="s">
        <v>1987</v>
      </c>
      <c r="AU53" s="16" t="s">
        <v>1987</v>
      </c>
      <c r="AV53" s="16" t="s">
        <v>1987</v>
      </c>
      <c r="AW53" s="16" t="s">
        <v>1987</v>
      </c>
      <c r="AX53" s="16" t="s">
        <v>1987</v>
      </c>
      <c r="AY53" s="16" t="s">
        <v>1987</v>
      </c>
      <c r="AZ53" s="16" t="s">
        <v>1987</v>
      </c>
      <c r="BA53" s="16" t="s">
        <v>1987</v>
      </c>
      <c r="BB53" s="16" t="s">
        <v>1987</v>
      </c>
      <c r="BC53" s="16" t="s">
        <v>1987</v>
      </c>
      <c r="BD53" s="16" t="s">
        <v>1987</v>
      </c>
      <c r="BE53" s="16" t="s">
        <v>1987</v>
      </c>
      <c r="BF53" s="16" t="s">
        <v>1987</v>
      </c>
      <c r="BG53" s="16" t="s">
        <v>1987</v>
      </c>
      <c r="BH53" s="16" t="s">
        <v>1987</v>
      </c>
      <c r="BI53" s="16" t="s">
        <v>1987</v>
      </c>
      <c r="BJ53" s="16" t="s">
        <v>1987</v>
      </c>
      <c r="BK53" s="16" t="s">
        <v>1987</v>
      </c>
      <c r="BL53" s="16" t="s">
        <v>1987</v>
      </c>
      <c r="BM53" s="16" t="s">
        <v>1987</v>
      </c>
      <c r="BN53" s="16" t="s">
        <v>1987</v>
      </c>
      <c r="BO53" s="16" t="s">
        <v>1987</v>
      </c>
      <c r="BP53" s="16" t="s">
        <v>1987</v>
      </c>
      <c r="BQ53" s="16" t="s">
        <v>1987</v>
      </c>
      <c r="BR53" s="16" t="s">
        <v>1987</v>
      </c>
      <c r="BS53" s="16" t="s">
        <v>1987</v>
      </c>
      <c r="BT53" s="16" t="s">
        <v>1987</v>
      </c>
    </row>
    <row r="54" spans="1:72" ht="18" hidden="1" customHeight="1" x14ac:dyDescent="0.3">
      <c r="A54" s="47" t="s">
        <v>548</v>
      </c>
      <c r="B54" s="49" t="s">
        <v>549</v>
      </c>
      <c r="C54" s="49" t="s">
        <v>1328</v>
      </c>
      <c r="D54" s="49" t="s">
        <v>1114</v>
      </c>
      <c r="E54" s="50">
        <v>0</v>
      </c>
      <c r="F54" s="50">
        <v>11.2</v>
      </c>
      <c r="G54" s="61">
        <v>2</v>
      </c>
      <c r="H54" s="16">
        <v>477</v>
      </c>
      <c r="I54" s="48" t="s">
        <v>1016</v>
      </c>
      <c r="J54" s="16" t="s">
        <v>1329</v>
      </c>
      <c r="K54" s="49">
        <v>72.8</v>
      </c>
      <c r="L54" s="49">
        <v>655</v>
      </c>
      <c r="M54" s="62" t="s">
        <v>1021</v>
      </c>
      <c r="N54" s="64"/>
      <c r="O54" s="63" t="str">
        <f t="shared" si="9"/>
        <v>YES</v>
      </c>
      <c r="P54" s="52"/>
      <c r="Q54" s="53">
        <f t="shared" si="1"/>
        <v>5000</v>
      </c>
      <c r="R54" s="54" t="str">
        <f t="shared" si="2"/>
        <v xml:space="preserve"> </v>
      </c>
      <c r="S54" s="55">
        <f t="shared" si="3"/>
        <v>560</v>
      </c>
      <c r="T54" s="56"/>
      <c r="U54" s="57" t="str">
        <f t="shared" si="4"/>
        <v xml:space="preserve"> </v>
      </c>
      <c r="V54" s="58" t="str">
        <f t="shared" si="5"/>
        <v xml:space="preserve"> </v>
      </c>
      <c r="W54" s="57" t="str">
        <f t="shared" si="6"/>
        <v>100µg/100cm²</v>
      </c>
      <c r="X54" s="59" t="str">
        <f t="shared" si="7"/>
        <v/>
      </c>
      <c r="Y54" s="60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16" t="s">
        <v>675</v>
      </c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16" t="s">
        <v>675</v>
      </c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5"/>
    </row>
    <row r="55" spans="1:72" ht="18" hidden="1" customHeight="1" x14ac:dyDescent="0.3">
      <c r="A55" s="80" t="s">
        <v>1870</v>
      </c>
      <c r="B55" s="76" t="s">
        <v>1869</v>
      </c>
      <c r="C55" s="87" t="s">
        <v>1958</v>
      </c>
      <c r="D55" s="16" t="s">
        <v>1498</v>
      </c>
      <c r="E55" s="50">
        <v>0</v>
      </c>
      <c r="F55" s="50">
        <v>32.130000000000003</v>
      </c>
      <c r="G55" s="16">
        <v>5</v>
      </c>
      <c r="H55" s="16" t="s">
        <v>1957</v>
      </c>
      <c r="I55" s="16" t="s">
        <v>1016</v>
      </c>
      <c r="J55" s="16" t="s">
        <v>2012</v>
      </c>
      <c r="K55" s="16">
        <v>30</v>
      </c>
      <c r="L55" s="16">
        <v>270</v>
      </c>
      <c r="M55" s="64"/>
      <c r="N55" s="64"/>
      <c r="O55" s="63" t="str">
        <f t="shared" si="9"/>
        <v>YES</v>
      </c>
      <c r="P55" s="52"/>
      <c r="Q55" s="53">
        <f t="shared" si="1"/>
        <v>5000</v>
      </c>
      <c r="R55" s="54" t="str">
        <f t="shared" si="2"/>
        <v xml:space="preserve"> </v>
      </c>
      <c r="S55" s="55">
        <f t="shared" si="3"/>
        <v>1606.5</v>
      </c>
      <c r="T55" s="56"/>
      <c r="U55" s="57" t="str">
        <f t="shared" si="4"/>
        <v xml:space="preserve"> </v>
      </c>
      <c r="V55" s="58" t="str">
        <f t="shared" si="5"/>
        <v xml:space="preserve"> </v>
      </c>
      <c r="W55" s="57" t="str">
        <f t="shared" si="6"/>
        <v>100µg/100cm²</v>
      </c>
      <c r="X55" s="59" t="str">
        <f t="shared" si="7"/>
        <v/>
      </c>
      <c r="Y55" s="60"/>
      <c r="Z55" s="16" t="s">
        <v>1987</v>
      </c>
      <c r="AA55" s="16" t="s">
        <v>1987</v>
      </c>
      <c r="AB55" s="16" t="s">
        <v>1987</v>
      </c>
      <c r="AC55" s="16" t="s">
        <v>1987</v>
      </c>
      <c r="AD55" s="16" t="s">
        <v>1987</v>
      </c>
      <c r="AE55" s="16" t="s">
        <v>1987</v>
      </c>
      <c r="AF55" s="16" t="s">
        <v>1987</v>
      </c>
      <c r="AG55" s="16" t="s">
        <v>1987</v>
      </c>
      <c r="AH55" s="16" t="s">
        <v>1987</v>
      </c>
      <c r="AI55" s="16" t="s">
        <v>1987</v>
      </c>
      <c r="AJ55" s="16" t="s">
        <v>1987</v>
      </c>
      <c r="AK55" s="16" t="s">
        <v>1987</v>
      </c>
      <c r="AL55" s="16" t="s">
        <v>1987</v>
      </c>
      <c r="AM55" s="16" t="s">
        <v>1987</v>
      </c>
      <c r="AN55" s="16" t="s">
        <v>1987</v>
      </c>
      <c r="AO55" s="16" t="s">
        <v>1987</v>
      </c>
      <c r="AP55" s="16" t="s">
        <v>1987</v>
      </c>
      <c r="AQ55" s="16" t="s">
        <v>1987</v>
      </c>
      <c r="AR55" s="16" t="s">
        <v>1987</v>
      </c>
      <c r="AS55" s="16" t="s">
        <v>1987</v>
      </c>
      <c r="AT55" s="16" t="s">
        <v>1987</v>
      </c>
      <c r="AU55" s="16" t="s">
        <v>1987</v>
      </c>
      <c r="AV55" s="16" t="s">
        <v>1987</v>
      </c>
      <c r="AW55" s="16" t="s">
        <v>1987</v>
      </c>
      <c r="AX55" s="16" t="s">
        <v>1987</v>
      </c>
      <c r="AY55" s="16" t="s">
        <v>1987</v>
      </c>
      <c r="AZ55" s="16" t="s">
        <v>1987</v>
      </c>
      <c r="BA55" s="16" t="s">
        <v>1987</v>
      </c>
      <c r="BB55" s="16" t="s">
        <v>1987</v>
      </c>
      <c r="BC55" s="16" t="s">
        <v>1987</v>
      </c>
      <c r="BD55" s="16" t="s">
        <v>1987</v>
      </c>
      <c r="BE55" s="16" t="s">
        <v>1987</v>
      </c>
      <c r="BF55" s="16" t="s">
        <v>1987</v>
      </c>
      <c r="BG55" s="16" t="s">
        <v>1987</v>
      </c>
      <c r="BH55" s="16" t="s">
        <v>1987</v>
      </c>
      <c r="BI55" s="16" t="s">
        <v>1987</v>
      </c>
      <c r="BJ55" s="16" t="s">
        <v>1987</v>
      </c>
      <c r="BK55" s="16" t="s">
        <v>1987</v>
      </c>
      <c r="BL55" s="16" t="s">
        <v>1987</v>
      </c>
      <c r="BM55" s="16" t="s">
        <v>1987</v>
      </c>
      <c r="BN55" s="16" t="s">
        <v>1987</v>
      </c>
      <c r="BO55" s="16" t="s">
        <v>1987</v>
      </c>
      <c r="BP55" s="16" t="s">
        <v>1987</v>
      </c>
      <c r="BQ55" s="16" t="s">
        <v>1987</v>
      </c>
      <c r="BR55" s="16" t="s">
        <v>1987</v>
      </c>
      <c r="BS55" s="16" t="s">
        <v>1987</v>
      </c>
      <c r="BT55" s="16" t="s">
        <v>1987</v>
      </c>
    </row>
    <row r="56" spans="1:72" ht="18" hidden="1" customHeight="1" x14ac:dyDescent="0.3">
      <c r="A56" s="84" t="s">
        <v>88</v>
      </c>
      <c r="B56" s="49" t="s">
        <v>89</v>
      </c>
      <c r="C56" s="70" t="s">
        <v>1015</v>
      </c>
      <c r="D56" s="70" t="s">
        <v>1011</v>
      </c>
      <c r="E56" s="50">
        <v>0</v>
      </c>
      <c r="F56" s="50">
        <v>34.6</v>
      </c>
      <c r="G56" s="61">
        <v>7</v>
      </c>
      <c r="H56" s="16">
        <v>1.5E-3</v>
      </c>
      <c r="I56" s="49" t="s">
        <v>1016</v>
      </c>
      <c r="J56" s="16" t="s">
        <v>1017</v>
      </c>
      <c r="K56" s="62">
        <v>500</v>
      </c>
      <c r="L56" s="62">
        <v>4500</v>
      </c>
      <c r="M56" s="62" t="s">
        <v>1018</v>
      </c>
      <c r="N56" s="51"/>
      <c r="O56" s="63" t="str">
        <f t="shared" si="9"/>
        <v>YES</v>
      </c>
      <c r="P56" s="52"/>
      <c r="Q56" s="53">
        <f t="shared" si="1"/>
        <v>5000</v>
      </c>
      <c r="R56" s="54" t="str">
        <f t="shared" si="2"/>
        <v xml:space="preserve"> </v>
      </c>
      <c r="S56" s="55">
        <f t="shared" si="3"/>
        <v>1730</v>
      </c>
      <c r="T56" s="56"/>
      <c r="U56" s="57" t="str">
        <f t="shared" si="4"/>
        <v xml:space="preserve"> </v>
      </c>
      <c r="V56" s="58" t="str">
        <f t="shared" si="5"/>
        <v xml:space="preserve"> </v>
      </c>
      <c r="W56" s="57" t="str">
        <f t="shared" si="6"/>
        <v>100µg/100cm²</v>
      </c>
      <c r="X56" s="59" t="str">
        <f t="shared" si="7"/>
        <v/>
      </c>
      <c r="Y56" s="60"/>
      <c r="Z56" s="64"/>
      <c r="AA56" s="64"/>
      <c r="AB56" s="64"/>
      <c r="AC56" s="16" t="s">
        <v>675</v>
      </c>
      <c r="AD56" s="64"/>
      <c r="AE56" s="16" t="s">
        <v>675</v>
      </c>
      <c r="AF56" s="16" t="s">
        <v>675</v>
      </c>
      <c r="AG56" s="64"/>
      <c r="AH56" s="64"/>
      <c r="AI56" s="64"/>
      <c r="AJ56" s="16" t="s">
        <v>675</v>
      </c>
      <c r="AK56" s="64"/>
      <c r="AL56" s="64"/>
      <c r="AM56" s="16" t="s">
        <v>675</v>
      </c>
      <c r="AN56" s="16" t="s">
        <v>675</v>
      </c>
      <c r="AO56" s="64"/>
      <c r="AP56" s="16" t="s">
        <v>675</v>
      </c>
      <c r="AQ56" s="64"/>
      <c r="AR56" s="64"/>
      <c r="AS56" s="16" t="s">
        <v>675</v>
      </c>
      <c r="AT56" s="64"/>
      <c r="AU56" s="64"/>
      <c r="AV56" s="16" t="s">
        <v>675</v>
      </c>
      <c r="AW56" s="16" t="s">
        <v>675</v>
      </c>
      <c r="AX56" s="16" t="s">
        <v>675</v>
      </c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5"/>
    </row>
    <row r="57" spans="1:72" ht="18" hidden="1" customHeight="1" x14ac:dyDescent="0.3">
      <c r="A57" s="80" t="s">
        <v>1871</v>
      </c>
      <c r="B57" s="76" t="s">
        <v>1872</v>
      </c>
      <c r="C57" s="87" t="s">
        <v>2058</v>
      </c>
      <c r="D57" s="16" t="s">
        <v>1498</v>
      </c>
      <c r="E57" s="50">
        <v>0</v>
      </c>
      <c r="F57" s="50">
        <v>12.67</v>
      </c>
      <c r="G57" s="16">
        <v>3</v>
      </c>
      <c r="H57" s="16">
        <v>42.99</v>
      </c>
      <c r="I57" s="16" t="s">
        <v>1016</v>
      </c>
      <c r="J57" s="16" t="s">
        <v>2012</v>
      </c>
      <c r="K57" s="16">
        <v>1850</v>
      </c>
      <c r="L57" s="16">
        <v>16650</v>
      </c>
      <c r="M57" s="16" t="s">
        <v>1992</v>
      </c>
      <c r="N57" s="16" t="s">
        <v>1993</v>
      </c>
      <c r="O57" s="63" t="str">
        <f t="shared" si="9"/>
        <v>NO</v>
      </c>
      <c r="P57" s="52"/>
      <c r="Q57" s="53">
        <f t="shared" si="1"/>
        <v>1850</v>
      </c>
      <c r="R57" s="54" t="str">
        <f t="shared" si="2"/>
        <v xml:space="preserve"> </v>
      </c>
      <c r="S57" s="55">
        <f t="shared" si="3"/>
        <v>234.3</v>
      </c>
      <c r="T57" s="56"/>
      <c r="U57" s="57" t="str">
        <f t="shared" si="4"/>
        <v xml:space="preserve"> </v>
      </c>
      <c r="V57" s="58" t="str">
        <f t="shared" si="5"/>
        <v xml:space="preserve"> </v>
      </c>
      <c r="W57" s="57" t="str">
        <f t="shared" si="6"/>
        <v>100µg/100cm²</v>
      </c>
      <c r="X57" s="59" t="str">
        <f t="shared" si="7"/>
        <v/>
      </c>
      <c r="Y57" s="60"/>
      <c r="Z57" s="16" t="s">
        <v>1987</v>
      </c>
      <c r="AA57" s="16" t="s">
        <v>1987</v>
      </c>
      <c r="AB57" s="16" t="s">
        <v>1987</v>
      </c>
      <c r="AC57" s="16" t="s">
        <v>1987</v>
      </c>
      <c r="AD57" s="16" t="s">
        <v>1987</v>
      </c>
      <c r="AE57" s="16" t="s">
        <v>1987</v>
      </c>
      <c r="AF57" s="16" t="s">
        <v>1987</v>
      </c>
      <c r="AG57" s="16" t="s">
        <v>1987</v>
      </c>
      <c r="AH57" s="16" t="s">
        <v>1987</v>
      </c>
      <c r="AI57" s="16" t="s">
        <v>1987</v>
      </c>
      <c r="AJ57" s="16" t="s">
        <v>1987</v>
      </c>
      <c r="AK57" s="16" t="s">
        <v>1987</v>
      </c>
      <c r="AL57" s="16" t="s">
        <v>1987</v>
      </c>
      <c r="AM57" s="16" t="s">
        <v>1987</v>
      </c>
      <c r="AN57" s="16" t="s">
        <v>1987</v>
      </c>
      <c r="AO57" s="16" t="s">
        <v>1987</v>
      </c>
      <c r="AP57" s="16" t="s">
        <v>1987</v>
      </c>
      <c r="AQ57" s="16" t="s">
        <v>1987</v>
      </c>
      <c r="AR57" s="16" t="s">
        <v>1987</v>
      </c>
      <c r="AS57" s="16" t="s">
        <v>1987</v>
      </c>
      <c r="AT57" s="16" t="s">
        <v>1987</v>
      </c>
      <c r="AU57" s="16" t="s">
        <v>1987</v>
      </c>
      <c r="AV57" s="16" t="s">
        <v>1987</v>
      </c>
      <c r="AW57" s="16" t="s">
        <v>1987</v>
      </c>
      <c r="AX57" s="16" t="s">
        <v>1987</v>
      </c>
      <c r="AY57" s="16" t="s">
        <v>1987</v>
      </c>
      <c r="AZ57" s="16" t="s">
        <v>1987</v>
      </c>
      <c r="BA57" s="16" t="s">
        <v>1987</v>
      </c>
      <c r="BB57" s="16" t="s">
        <v>1987</v>
      </c>
      <c r="BC57" s="16" t="s">
        <v>1987</v>
      </c>
      <c r="BD57" s="16" t="s">
        <v>1987</v>
      </c>
      <c r="BE57" s="16" t="s">
        <v>1987</v>
      </c>
      <c r="BF57" s="16" t="s">
        <v>1987</v>
      </c>
      <c r="BG57" s="16" t="s">
        <v>1987</v>
      </c>
      <c r="BH57" s="16" t="s">
        <v>1987</v>
      </c>
      <c r="BI57" s="16" t="s">
        <v>1987</v>
      </c>
      <c r="BJ57" s="16" t="s">
        <v>1987</v>
      </c>
      <c r="BK57" s="16" t="s">
        <v>1987</v>
      </c>
      <c r="BL57" s="16" t="s">
        <v>1987</v>
      </c>
      <c r="BM57" s="16" t="s">
        <v>1987</v>
      </c>
      <c r="BN57" s="16" t="s">
        <v>1987</v>
      </c>
      <c r="BO57" s="16" t="s">
        <v>1987</v>
      </c>
      <c r="BP57" s="16" t="s">
        <v>1987</v>
      </c>
      <c r="BQ57" s="16" t="s">
        <v>1987</v>
      </c>
      <c r="BR57" s="16" t="s">
        <v>1987</v>
      </c>
      <c r="BS57" s="16" t="s">
        <v>1987</v>
      </c>
      <c r="BT57" s="16" t="s">
        <v>1987</v>
      </c>
    </row>
    <row r="58" spans="1:72" ht="18" hidden="1" customHeight="1" x14ac:dyDescent="0.3">
      <c r="A58" s="47" t="s">
        <v>1673</v>
      </c>
      <c r="B58" s="48" t="s">
        <v>1674</v>
      </c>
      <c r="C58" s="49" t="s">
        <v>2059</v>
      </c>
      <c r="D58" s="49" t="s">
        <v>1114</v>
      </c>
      <c r="E58" s="50">
        <v>0</v>
      </c>
      <c r="F58" s="50">
        <v>52.9</v>
      </c>
      <c r="G58" s="61">
        <v>7</v>
      </c>
      <c r="H58" s="16" t="s">
        <v>1211</v>
      </c>
      <c r="I58" s="70" t="s">
        <v>1474</v>
      </c>
      <c r="J58" s="16" t="s">
        <v>1675</v>
      </c>
      <c r="K58" s="49">
        <v>500</v>
      </c>
      <c r="L58" s="49">
        <v>4500</v>
      </c>
      <c r="M58" s="49" t="s">
        <v>1018</v>
      </c>
      <c r="N58" s="51"/>
      <c r="O58" s="63" t="str">
        <f t="shared" si="9"/>
        <v>YES</v>
      </c>
      <c r="P58" s="52"/>
      <c r="Q58" s="53">
        <f t="shared" si="1"/>
        <v>5000</v>
      </c>
      <c r="R58" s="54" t="str">
        <f t="shared" si="2"/>
        <v xml:space="preserve"> </v>
      </c>
      <c r="S58" s="55">
        <f t="shared" si="3"/>
        <v>2645</v>
      </c>
      <c r="T58" s="56"/>
      <c r="U58" s="57" t="str">
        <f t="shared" si="4"/>
        <v xml:space="preserve"> </v>
      </c>
      <c r="V58" s="58" t="str">
        <f t="shared" si="5"/>
        <v xml:space="preserve"> </v>
      </c>
      <c r="W58" s="57" t="str">
        <f t="shared" si="6"/>
        <v>100µg/100cm²</v>
      </c>
      <c r="X58" s="59" t="str">
        <f t="shared" si="7"/>
        <v/>
      </c>
      <c r="Y58" s="60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16" t="s">
        <v>675</v>
      </c>
      <c r="AK58" s="64"/>
      <c r="AL58" s="64"/>
      <c r="AM58" s="16" t="s">
        <v>675</v>
      </c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16" t="s">
        <v>675</v>
      </c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5"/>
    </row>
    <row r="59" spans="1:72" ht="18" hidden="1" customHeight="1" x14ac:dyDescent="0.3">
      <c r="A59" s="47" t="s">
        <v>173</v>
      </c>
      <c r="B59" s="48" t="s">
        <v>174</v>
      </c>
      <c r="C59" s="49" t="s">
        <v>1113</v>
      </c>
      <c r="D59" s="49" t="s">
        <v>1114</v>
      </c>
      <c r="E59" s="50">
        <v>0</v>
      </c>
      <c r="F59" s="50">
        <v>22.1</v>
      </c>
      <c r="G59" s="61">
        <v>7</v>
      </c>
      <c r="H59" s="16" t="s">
        <v>1105</v>
      </c>
      <c r="I59" s="48" t="s">
        <v>1016</v>
      </c>
      <c r="J59" s="16" t="s">
        <v>1115</v>
      </c>
      <c r="K59" s="49">
        <v>500</v>
      </c>
      <c r="L59" s="49">
        <v>4500</v>
      </c>
      <c r="M59" s="62" t="s">
        <v>1018</v>
      </c>
      <c r="N59" s="51"/>
      <c r="O59" s="63" t="str">
        <f t="shared" si="9"/>
        <v>YES</v>
      </c>
      <c r="P59" s="52"/>
      <c r="Q59" s="53">
        <f t="shared" si="1"/>
        <v>5000</v>
      </c>
      <c r="R59" s="54" t="str">
        <f t="shared" si="2"/>
        <v xml:space="preserve"> </v>
      </c>
      <c r="S59" s="55">
        <f t="shared" si="3"/>
        <v>1105</v>
      </c>
      <c r="T59" s="56"/>
      <c r="U59" s="57" t="str">
        <f t="shared" si="4"/>
        <v xml:space="preserve"> </v>
      </c>
      <c r="V59" s="58" t="str">
        <f t="shared" si="5"/>
        <v xml:space="preserve"> </v>
      </c>
      <c r="W59" s="57" t="str">
        <f t="shared" si="6"/>
        <v>100µg/100cm²</v>
      </c>
      <c r="X59" s="59" t="str">
        <f t="shared" si="7"/>
        <v/>
      </c>
      <c r="Y59" s="60"/>
      <c r="Z59" s="64"/>
      <c r="AA59" s="64"/>
      <c r="AB59" s="64"/>
      <c r="AC59" s="64"/>
      <c r="AD59" s="64"/>
      <c r="AE59" s="16" t="s">
        <v>675</v>
      </c>
      <c r="AF59" s="16" t="s">
        <v>675</v>
      </c>
      <c r="AG59" s="64"/>
      <c r="AH59" s="64"/>
      <c r="AI59" s="64"/>
      <c r="AJ59" s="64"/>
      <c r="AK59" s="64"/>
      <c r="AL59" s="64"/>
      <c r="AM59" s="16" t="s">
        <v>675</v>
      </c>
      <c r="AN59" s="16" t="s">
        <v>675</v>
      </c>
      <c r="AO59" s="64"/>
      <c r="AP59" s="16" t="s">
        <v>675</v>
      </c>
      <c r="AQ59" s="64"/>
      <c r="AR59" s="64"/>
      <c r="AS59" s="64"/>
      <c r="AT59" s="64"/>
      <c r="AU59" s="64"/>
      <c r="AV59" s="64"/>
      <c r="AW59" s="64"/>
      <c r="AX59" s="16" t="s">
        <v>675</v>
      </c>
      <c r="AY59" s="16" t="s">
        <v>675</v>
      </c>
      <c r="AZ59" s="16" t="s">
        <v>675</v>
      </c>
      <c r="BA59" s="64"/>
      <c r="BB59" s="16" t="s">
        <v>675</v>
      </c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5"/>
    </row>
    <row r="60" spans="1:72" ht="18" hidden="1" customHeight="1" x14ac:dyDescent="0.3">
      <c r="A60" s="89" t="s">
        <v>741</v>
      </c>
      <c r="B60" s="48" t="s">
        <v>550</v>
      </c>
      <c r="C60" s="16" t="s">
        <v>2060</v>
      </c>
      <c r="D60" s="67" t="s">
        <v>1114</v>
      </c>
      <c r="E60" s="50">
        <v>0</v>
      </c>
      <c r="F60" s="50">
        <v>8.1</v>
      </c>
      <c r="G60" s="61">
        <v>2</v>
      </c>
      <c r="H60" s="16">
        <v>364</v>
      </c>
      <c r="I60" s="48" t="s">
        <v>1016</v>
      </c>
      <c r="J60" s="16" t="s">
        <v>1327</v>
      </c>
      <c r="K60" s="49">
        <v>500</v>
      </c>
      <c r="L60" s="49">
        <v>4500</v>
      </c>
      <c r="M60" s="62" t="s">
        <v>1018</v>
      </c>
      <c r="N60" s="64"/>
      <c r="O60" s="63" t="str">
        <f t="shared" si="9"/>
        <v>YES</v>
      </c>
      <c r="P60" s="52"/>
      <c r="Q60" s="53">
        <f t="shared" si="1"/>
        <v>5000</v>
      </c>
      <c r="R60" s="54" t="str">
        <f t="shared" si="2"/>
        <v xml:space="preserve"> </v>
      </c>
      <c r="S60" s="55">
        <f t="shared" si="3"/>
        <v>405</v>
      </c>
      <c r="T60" s="56"/>
      <c r="U60" s="57" t="str">
        <f t="shared" si="4"/>
        <v xml:space="preserve"> </v>
      </c>
      <c r="V60" s="58" t="str">
        <f t="shared" si="5"/>
        <v xml:space="preserve"> </v>
      </c>
      <c r="W60" s="57" t="str">
        <f t="shared" si="6"/>
        <v>100µg/100cm²</v>
      </c>
      <c r="X60" s="59" t="str">
        <f t="shared" si="7"/>
        <v/>
      </c>
      <c r="Y60" s="60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16" t="s">
        <v>675</v>
      </c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5"/>
    </row>
    <row r="61" spans="1:72" ht="31.45" x14ac:dyDescent="0.3">
      <c r="A61" s="47" t="s">
        <v>1693</v>
      </c>
      <c r="B61" s="48" t="s">
        <v>1694</v>
      </c>
      <c r="C61" s="49" t="s">
        <v>2061</v>
      </c>
      <c r="D61" s="16" t="s">
        <v>1055</v>
      </c>
      <c r="E61" s="50">
        <v>0</v>
      </c>
      <c r="F61" s="50">
        <v>0</v>
      </c>
      <c r="G61" s="61">
        <v>7</v>
      </c>
      <c r="H61" s="16" t="s">
        <v>1425</v>
      </c>
      <c r="I61" s="70" t="s">
        <v>1474</v>
      </c>
      <c r="J61" s="16" t="s">
        <v>1695</v>
      </c>
      <c r="K61" s="49">
        <v>1.5</v>
      </c>
      <c r="L61" s="49">
        <v>1.5</v>
      </c>
      <c r="M61" s="49" t="s">
        <v>1036</v>
      </c>
      <c r="N61" s="51"/>
      <c r="O61" s="63" t="str">
        <f t="shared" si="9"/>
        <v>YES</v>
      </c>
      <c r="P61" s="52"/>
      <c r="Q61" s="53">
        <f t="shared" si="1"/>
        <v>273.7</v>
      </c>
      <c r="R61" s="54" t="str">
        <f t="shared" si="2"/>
        <v xml:space="preserve"> </v>
      </c>
      <c r="S61" s="55" t="str">
        <f t="shared" si="3"/>
        <v xml:space="preserve"> </v>
      </c>
      <c r="T61" s="56"/>
      <c r="U61" s="57" t="str">
        <f t="shared" si="4"/>
        <v xml:space="preserve"> </v>
      </c>
      <c r="V61" s="58" t="str">
        <f t="shared" si="5"/>
        <v xml:space="preserve"> </v>
      </c>
      <c r="W61" s="58" t="str">
        <f t="shared" si="6"/>
        <v xml:space="preserve"> </v>
      </c>
      <c r="X61" s="59" t="str">
        <f t="shared" si="7"/>
        <v>Mitigation</v>
      </c>
      <c r="Y61" s="60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16" t="s">
        <v>675</v>
      </c>
      <c r="AL61" s="16" t="s">
        <v>675</v>
      </c>
      <c r="AM61" s="16" t="s">
        <v>675</v>
      </c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5"/>
    </row>
    <row r="62" spans="1:72" ht="18" hidden="1" customHeight="1" x14ac:dyDescent="0.3">
      <c r="A62" s="47" t="s">
        <v>405</v>
      </c>
      <c r="B62" s="48" t="s">
        <v>406</v>
      </c>
      <c r="C62" s="16" t="s">
        <v>2062</v>
      </c>
      <c r="D62" s="49" t="s">
        <v>1114</v>
      </c>
      <c r="E62" s="50">
        <v>31.17</v>
      </c>
      <c r="F62" s="50">
        <v>0</v>
      </c>
      <c r="G62" s="61">
        <v>1</v>
      </c>
      <c r="H62" s="16" t="s">
        <v>1023</v>
      </c>
      <c r="I62" s="48" t="s">
        <v>1016</v>
      </c>
      <c r="J62" s="16" t="s">
        <v>2386</v>
      </c>
      <c r="K62" s="49">
        <v>50</v>
      </c>
      <c r="L62" s="49">
        <v>50</v>
      </c>
      <c r="M62" s="64"/>
      <c r="N62" s="64"/>
      <c r="O62" s="63" t="str">
        <f t="shared" si="9"/>
        <v>YES</v>
      </c>
      <c r="P62" s="52"/>
      <c r="Q62" s="53">
        <f t="shared" si="1"/>
        <v>5000</v>
      </c>
      <c r="R62" s="54">
        <f t="shared" si="2"/>
        <v>1558.5</v>
      </c>
      <c r="S62" s="55" t="str">
        <f t="shared" si="3"/>
        <v xml:space="preserve"> </v>
      </c>
      <c r="T62" s="56"/>
      <c r="U62" s="57" t="str">
        <f t="shared" si="4"/>
        <v>100µg/100cm²</v>
      </c>
      <c r="V62" s="58">
        <f t="shared" si="5"/>
        <v>1558.5</v>
      </c>
      <c r="W62" s="58" t="str">
        <f t="shared" si="6"/>
        <v xml:space="preserve"> </v>
      </c>
      <c r="X62" s="59" t="str">
        <f t="shared" si="7"/>
        <v/>
      </c>
      <c r="Y62" s="60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16" t="s">
        <v>675</v>
      </c>
      <c r="AS62" s="64"/>
      <c r="AT62" s="64"/>
      <c r="AU62" s="16" t="s">
        <v>675</v>
      </c>
      <c r="AV62" s="64"/>
      <c r="AW62" s="16" t="s">
        <v>675</v>
      </c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5"/>
    </row>
    <row r="63" spans="1:72" ht="18" customHeight="1" x14ac:dyDescent="0.3">
      <c r="A63" s="89" t="s">
        <v>805</v>
      </c>
      <c r="B63" s="48" t="s">
        <v>806</v>
      </c>
      <c r="C63" s="16" t="s">
        <v>2063</v>
      </c>
      <c r="D63" s="17" t="s">
        <v>1114</v>
      </c>
      <c r="E63" s="50">
        <v>0</v>
      </c>
      <c r="F63" s="50">
        <v>0</v>
      </c>
      <c r="G63" s="61">
        <v>2</v>
      </c>
      <c r="H63" s="16">
        <v>220</v>
      </c>
      <c r="I63" s="48" t="s">
        <v>1447</v>
      </c>
      <c r="J63" s="16" t="s">
        <v>2386</v>
      </c>
      <c r="K63" s="49">
        <v>50</v>
      </c>
      <c r="L63" s="49">
        <v>50</v>
      </c>
      <c r="M63" s="64"/>
      <c r="N63" s="16" t="s">
        <v>1476</v>
      </c>
      <c r="O63" s="63" t="str">
        <f t="shared" si="9"/>
        <v>NO</v>
      </c>
      <c r="P63" s="52"/>
      <c r="Q63" s="53">
        <f t="shared" si="1"/>
        <v>50</v>
      </c>
      <c r="R63" s="54" t="str">
        <f t="shared" si="2"/>
        <v xml:space="preserve"> </v>
      </c>
      <c r="S63" s="55" t="str">
        <f t="shared" si="3"/>
        <v xml:space="preserve"> </v>
      </c>
      <c r="T63" s="56"/>
      <c r="U63" s="57" t="str">
        <f t="shared" si="4"/>
        <v xml:space="preserve"> </v>
      </c>
      <c r="V63" s="58" t="str">
        <f t="shared" si="5"/>
        <v xml:space="preserve"> </v>
      </c>
      <c r="W63" s="58" t="str">
        <f t="shared" si="6"/>
        <v xml:space="preserve"> </v>
      </c>
      <c r="X63" s="59" t="str">
        <f t="shared" si="7"/>
        <v>Mitigation</v>
      </c>
      <c r="Y63" s="60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16" t="s">
        <v>675</v>
      </c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16" t="s">
        <v>675</v>
      </c>
      <c r="BT63" s="65"/>
    </row>
    <row r="64" spans="1:72" ht="18" customHeight="1" x14ac:dyDescent="0.3">
      <c r="A64" s="80" t="s">
        <v>1878</v>
      </c>
      <c r="B64" s="76" t="s">
        <v>1743</v>
      </c>
      <c r="C64" s="87" t="s">
        <v>2064</v>
      </c>
      <c r="D64" s="16" t="s">
        <v>1498</v>
      </c>
      <c r="E64" s="50">
        <v>0</v>
      </c>
      <c r="F64" s="50">
        <v>0</v>
      </c>
      <c r="G64" s="16">
        <v>2</v>
      </c>
      <c r="H64" s="16" t="s">
        <v>1882</v>
      </c>
      <c r="I64" s="70" t="s">
        <v>1474</v>
      </c>
      <c r="J64" s="16" t="s">
        <v>2012</v>
      </c>
      <c r="K64" s="16">
        <v>30</v>
      </c>
      <c r="L64" s="16">
        <v>270</v>
      </c>
      <c r="M64" s="64"/>
      <c r="N64" s="64"/>
      <c r="O64" s="63" t="str">
        <f t="shared" si="9"/>
        <v>YES</v>
      </c>
      <c r="P64" s="52"/>
      <c r="Q64" s="53">
        <f t="shared" si="1"/>
        <v>5000</v>
      </c>
      <c r="R64" s="54" t="str">
        <f t="shared" si="2"/>
        <v xml:space="preserve"> </v>
      </c>
      <c r="S64" s="55" t="str">
        <f t="shared" si="3"/>
        <v xml:space="preserve"> </v>
      </c>
      <c r="T64" s="56"/>
      <c r="U64" s="57" t="str">
        <f t="shared" si="4"/>
        <v xml:space="preserve"> </v>
      </c>
      <c r="V64" s="58" t="str">
        <f t="shared" si="5"/>
        <v xml:space="preserve"> </v>
      </c>
      <c r="W64" s="58" t="str">
        <f t="shared" si="6"/>
        <v xml:space="preserve"> </v>
      </c>
      <c r="X64" s="59" t="str">
        <f t="shared" si="7"/>
        <v>Water criteria (conductivity)</v>
      </c>
      <c r="Y64" s="60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16" t="s">
        <v>675</v>
      </c>
      <c r="AV64" s="16" t="s">
        <v>675</v>
      </c>
      <c r="AW64" s="16" t="s">
        <v>675</v>
      </c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5"/>
    </row>
    <row r="65" spans="1:72" ht="18" customHeight="1" x14ac:dyDescent="0.3">
      <c r="A65" s="47" t="s">
        <v>407</v>
      </c>
      <c r="B65" s="48" t="s">
        <v>408</v>
      </c>
      <c r="C65" s="49" t="s">
        <v>1366</v>
      </c>
      <c r="D65" s="49" t="s">
        <v>1114</v>
      </c>
      <c r="E65" s="50">
        <v>0</v>
      </c>
      <c r="F65" s="50">
        <v>0</v>
      </c>
      <c r="G65" s="61">
        <v>2</v>
      </c>
      <c r="H65" s="16">
        <v>283</v>
      </c>
      <c r="I65" s="48" t="s">
        <v>1016</v>
      </c>
      <c r="J65" s="16" t="s">
        <v>2386</v>
      </c>
      <c r="K65" s="49">
        <v>50</v>
      </c>
      <c r="L65" s="49">
        <v>50</v>
      </c>
      <c r="M65" s="64"/>
      <c r="N65" s="64"/>
      <c r="O65" s="63" t="str">
        <f t="shared" si="9"/>
        <v>YES</v>
      </c>
      <c r="P65" s="52"/>
      <c r="Q65" s="53">
        <f t="shared" si="1"/>
        <v>5000</v>
      </c>
      <c r="R65" s="54" t="str">
        <f t="shared" si="2"/>
        <v xml:space="preserve"> </v>
      </c>
      <c r="S65" s="55" t="str">
        <f t="shared" si="3"/>
        <v xml:space="preserve"> </v>
      </c>
      <c r="T65" s="56"/>
      <c r="U65" s="57" t="str">
        <f t="shared" si="4"/>
        <v xml:space="preserve"> </v>
      </c>
      <c r="V65" s="58" t="str">
        <f t="shared" si="5"/>
        <v xml:space="preserve"> </v>
      </c>
      <c r="W65" s="58" t="str">
        <f t="shared" si="6"/>
        <v xml:space="preserve"> </v>
      </c>
      <c r="X65" s="59" t="str">
        <f t="shared" si="7"/>
        <v>Water criteria (conductivity)</v>
      </c>
      <c r="Y65" s="60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16" t="s">
        <v>675</v>
      </c>
      <c r="AS65" s="64"/>
      <c r="AT65" s="64"/>
      <c r="AU65" s="16" t="s">
        <v>675</v>
      </c>
      <c r="AV65" s="64"/>
      <c r="AW65" s="16" t="s">
        <v>675</v>
      </c>
      <c r="AX65" s="64"/>
      <c r="AY65" s="64"/>
      <c r="AZ65" s="64"/>
      <c r="BA65" s="16" t="s">
        <v>675</v>
      </c>
      <c r="BB65" s="16" t="s">
        <v>675</v>
      </c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5"/>
    </row>
    <row r="66" spans="1:72" ht="18" customHeight="1" x14ac:dyDescent="0.3">
      <c r="A66" s="90" t="s">
        <v>748</v>
      </c>
      <c r="B66" s="48" t="s">
        <v>749</v>
      </c>
      <c r="C66" s="48" t="s">
        <v>1367</v>
      </c>
      <c r="D66" s="49" t="s">
        <v>1114</v>
      </c>
      <c r="E66" s="50">
        <v>0</v>
      </c>
      <c r="F66" s="50">
        <v>0</v>
      </c>
      <c r="G66" s="61">
        <v>2</v>
      </c>
      <c r="H66" s="16" t="s">
        <v>1126</v>
      </c>
      <c r="I66" s="48" t="s">
        <v>1016</v>
      </c>
      <c r="J66" s="16" t="s">
        <v>2386</v>
      </c>
      <c r="K66" s="49">
        <v>50</v>
      </c>
      <c r="L66" s="49">
        <v>50</v>
      </c>
      <c r="M66" s="64"/>
      <c r="N66" s="64"/>
      <c r="O66" s="63" t="str">
        <f t="shared" si="9"/>
        <v>YES</v>
      </c>
      <c r="P66" s="52"/>
      <c r="Q66" s="53">
        <f t="shared" si="1"/>
        <v>5000</v>
      </c>
      <c r="R66" s="54" t="str">
        <f t="shared" si="2"/>
        <v xml:space="preserve"> </v>
      </c>
      <c r="S66" s="55" t="str">
        <f t="shared" si="3"/>
        <v xml:space="preserve"> </v>
      </c>
      <c r="T66" s="56"/>
      <c r="U66" s="57" t="str">
        <f t="shared" si="4"/>
        <v xml:space="preserve"> </v>
      </c>
      <c r="V66" s="58" t="str">
        <f t="shared" si="5"/>
        <v xml:space="preserve"> </v>
      </c>
      <c r="W66" s="58" t="str">
        <f t="shared" si="6"/>
        <v xml:space="preserve"> </v>
      </c>
      <c r="X66" s="59" t="str">
        <f t="shared" si="7"/>
        <v>Water criteria (conductivity)</v>
      </c>
      <c r="Y66" s="60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16" t="s">
        <v>675</v>
      </c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5"/>
    </row>
    <row r="67" spans="1:72" ht="18" customHeight="1" x14ac:dyDescent="0.3">
      <c r="A67" s="84" t="s">
        <v>398</v>
      </c>
      <c r="B67" s="49" t="s">
        <v>399</v>
      </c>
      <c r="C67" s="70" t="s">
        <v>1333</v>
      </c>
      <c r="D67" s="70" t="s">
        <v>1011</v>
      </c>
      <c r="E67" s="50">
        <v>0</v>
      </c>
      <c r="F67" s="50">
        <v>0</v>
      </c>
      <c r="G67" s="61">
        <v>1</v>
      </c>
      <c r="H67" s="16" t="s">
        <v>1023</v>
      </c>
      <c r="I67" s="49" t="s">
        <v>1768</v>
      </c>
      <c r="J67" s="16" t="s">
        <v>2386</v>
      </c>
      <c r="K67" s="49">
        <v>50</v>
      </c>
      <c r="L67" s="49">
        <v>50</v>
      </c>
      <c r="M67" s="64"/>
      <c r="N67" s="64"/>
      <c r="O67" s="63" t="str">
        <f t="shared" si="9"/>
        <v>YES</v>
      </c>
      <c r="P67" s="52"/>
      <c r="Q67" s="53">
        <f t="shared" si="1"/>
        <v>5000</v>
      </c>
      <c r="R67" s="54" t="str">
        <f t="shared" si="2"/>
        <v xml:space="preserve"> </v>
      </c>
      <c r="S67" s="55" t="str">
        <f t="shared" si="3"/>
        <v xml:space="preserve"> </v>
      </c>
      <c r="T67" s="56"/>
      <c r="U67" s="57" t="str">
        <f t="shared" si="4"/>
        <v xml:space="preserve"> </v>
      </c>
      <c r="V67" s="58" t="str">
        <f t="shared" si="5"/>
        <v xml:space="preserve"> </v>
      </c>
      <c r="W67" s="58" t="str">
        <f t="shared" si="6"/>
        <v xml:space="preserve"> </v>
      </c>
      <c r="X67" s="59" t="str">
        <f t="shared" si="7"/>
        <v>Water criteria (conductivity)</v>
      </c>
      <c r="Y67" s="60"/>
      <c r="Z67" s="16" t="s">
        <v>675</v>
      </c>
      <c r="AA67" s="16" t="s">
        <v>675</v>
      </c>
      <c r="AB67" s="64"/>
      <c r="AC67" s="64"/>
      <c r="AD67" s="64"/>
      <c r="AE67" s="64"/>
      <c r="AF67" s="64"/>
      <c r="AG67" s="64"/>
      <c r="AH67" s="64"/>
      <c r="AI67" s="16" t="s">
        <v>675</v>
      </c>
      <c r="AJ67" s="16" t="s">
        <v>675</v>
      </c>
      <c r="AK67" s="64"/>
      <c r="AL67" s="64"/>
      <c r="AM67" s="16" t="s">
        <v>675</v>
      </c>
      <c r="AN67" s="64"/>
      <c r="AO67" s="64"/>
      <c r="AP67" s="64"/>
      <c r="AQ67" s="64"/>
      <c r="AR67" s="16" t="s">
        <v>675</v>
      </c>
      <c r="AS67" s="16" t="s">
        <v>675</v>
      </c>
      <c r="AT67" s="64"/>
      <c r="AU67" s="64"/>
      <c r="AV67" s="64"/>
      <c r="AW67" s="64"/>
      <c r="AX67" s="64"/>
      <c r="AY67" s="64"/>
      <c r="AZ67" s="64"/>
      <c r="BA67" s="16" t="s">
        <v>675</v>
      </c>
      <c r="BB67" s="16" t="s">
        <v>675</v>
      </c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5"/>
    </row>
    <row r="68" spans="1:72" ht="18" customHeight="1" x14ac:dyDescent="0.3">
      <c r="A68" s="91" t="s">
        <v>696</v>
      </c>
      <c r="B68" s="92" t="s">
        <v>697</v>
      </c>
      <c r="C68" s="93" t="s">
        <v>1141</v>
      </c>
      <c r="D68" s="49" t="s">
        <v>1114</v>
      </c>
      <c r="E68" s="50">
        <v>0</v>
      </c>
      <c r="F68" s="50">
        <v>0</v>
      </c>
      <c r="G68" s="61">
        <v>2</v>
      </c>
      <c r="H68" s="16">
        <v>400</v>
      </c>
      <c r="I68" s="92" t="s">
        <v>1016</v>
      </c>
      <c r="J68" s="16" t="s">
        <v>1142</v>
      </c>
      <c r="K68" s="49">
        <v>32</v>
      </c>
      <c r="L68" s="49">
        <v>288</v>
      </c>
      <c r="M68" s="62" t="s">
        <v>1027</v>
      </c>
      <c r="N68" s="49" t="s">
        <v>2359</v>
      </c>
      <c r="O68" s="63" t="str">
        <f t="shared" si="9"/>
        <v>NO</v>
      </c>
      <c r="P68" s="52"/>
      <c r="Q68" s="53">
        <f t="shared" si="1"/>
        <v>32</v>
      </c>
      <c r="R68" s="54" t="str">
        <f t="shared" si="2"/>
        <v xml:space="preserve"> </v>
      </c>
      <c r="S68" s="55" t="str">
        <f t="shared" si="3"/>
        <v xml:space="preserve"> </v>
      </c>
      <c r="T68" s="56"/>
      <c r="U68" s="57" t="str">
        <f t="shared" si="4"/>
        <v xml:space="preserve"> </v>
      </c>
      <c r="V68" s="58" t="str">
        <f t="shared" si="5"/>
        <v xml:space="preserve"> </v>
      </c>
      <c r="W68" s="58" t="str">
        <f t="shared" si="6"/>
        <v xml:space="preserve"> </v>
      </c>
      <c r="X68" s="59" t="str">
        <f t="shared" si="7"/>
        <v>Mitigation</v>
      </c>
      <c r="Y68" s="60"/>
      <c r="Z68" s="64"/>
      <c r="AA68" s="64"/>
      <c r="AB68" s="64"/>
      <c r="AC68" s="64"/>
      <c r="AD68" s="16" t="s">
        <v>675</v>
      </c>
      <c r="AE68" s="64"/>
      <c r="AF68" s="64"/>
      <c r="AG68" s="64"/>
      <c r="AH68" s="64"/>
      <c r="AI68" s="64"/>
      <c r="AJ68" s="64"/>
      <c r="AK68" s="64"/>
      <c r="AL68" s="64"/>
      <c r="AM68" s="16" t="s">
        <v>675</v>
      </c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5"/>
    </row>
    <row r="69" spans="1:72" ht="18" customHeight="1" x14ac:dyDescent="0.3">
      <c r="A69" s="47" t="s">
        <v>324</v>
      </c>
      <c r="B69" s="48" t="s">
        <v>325</v>
      </c>
      <c r="C69" s="49" t="s">
        <v>1368</v>
      </c>
      <c r="D69" s="49" t="s">
        <v>1114</v>
      </c>
      <c r="E69" s="50">
        <v>0</v>
      </c>
      <c r="F69" s="50">
        <v>0</v>
      </c>
      <c r="G69" s="61">
        <v>2</v>
      </c>
      <c r="H69" s="16">
        <v>767</v>
      </c>
      <c r="I69" s="48" t="s">
        <v>1016</v>
      </c>
      <c r="J69" s="16" t="s">
        <v>2386</v>
      </c>
      <c r="K69" s="49">
        <v>50</v>
      </c>
      <c r="L69" s="49">
        <v>50</v>
      </c>
      <c r="M69" s="64"/>
      <c r="N69" s="64"/>
      <c r="O69" s="63" t="str">
        <f t="shared" ref="O69:O100" si="10">IF(AND(ISBLANK(K69),ISBLANK(N69))," ",IF(ISBLANK(N69),"YES","NO"))</f>
        <v>YES</v>
      </c>
      <c r="P69" s="52"/>
      <c r="Q69" s="53">
        <f t="shared" si="1"/>
        <v>5000</v>
      </c>
      <c r="R69" s="54" t="str">
        <f t="shared" si="2"/>
        <v xml:space="preserve"> </v>
      </c>
      <c r="S69" s="55" t="str">
        <f t="shared" si="3"/>
        <v xml:space="preserve"> </v>
      </c>
      <c r="T69" s="56"/>
      <c r="U69" s="57" t="str">
        <f t="shared" si="4"/>
        <v xml:space="preserve"> </v>
      </c>
      <c r="V69" s="58" t="str">
        <f t="shared" si="5"/>
        <v xml:space="preserve"> </v>
      </c>
      <c r="W69" s="58" t="str">
        <f t="shared" si="6"/>
        <v xml:space="preserve"> </v>
      </c>
      <c r="X69" s="59" t="str">
        <f t="shared" si="7"/>
        <v>Water criteria (conductivity)</v>
      </c>
      <c r="Y69" s="60"/>
      <c r="Z69" s="16" t="s">
        <v>675</v>
      </c>
      <c r="AA69" s="16" t="s">
        <v>675</v>
      </c>
      <c r="AB69" s="64"/>
      <c r="AC69" s="64"/>
      <c r="AD69" s="64"/>
      <c r="AE69" s="64"/>
      <c r="AF69" s="64"/>
      <c r="AG69" s="64"/>
      <c r="AH69" s="64"/>
      <c r="AI69" s="64"/>
      <c r="AJ69" s="16" t="s">
        <v>675</v>
      </c>
      <c r="AK69" s="64"/>
      <c r="AL69" s="64"/>
      <c r="AM69" s="16" t="s">
        <v>675</v>
      </c>
      <c r="AN69" s="64"/>
      <c r="AO69" s="16" t="s">
        <v>675</v>
      </c>
      <c r="AP69" s="16" t="s">
        <v>675</v>
      </c>
      <c r="AQ69" s="16" t="s">
        <v>675</v>
      </c>
      <c r="AR69" s="64"/>
      <c r="AS69" s="16" t="s">
        <v>675</v>
      </c>
      <c r="AT69" s="64"/>
      <c r="AU69" s="16" t="s">
        <v>675</v>
      </c>
      <c r="AV69" s="64"/>
      <c r="AW69" s="16" t="s">
        <v>675</v>
      </c>
      <c r="AX69" s="64"/>
      <c r="AY69" s="64"/>
      <c r="AZ69" s="64"/>
      <c r="BA69" s="16" t="s">
        <v>675</v>
      </c>
      <c r="BB69" s="16" t="s">
        <v>675</v>
      </c>
      <c r="BC69" s="16" t="s">
        <v>675</v>
      </c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5"/>
    </row>
    <row r="70" spans="1:72" ht="18" customHeight="1" x14ac:dyDescent="0.3">
      <c r="A70" s="77" t="s">
        <v>2245</v>
      </c>
      <c r="B70" s="49" t="s">
        <v>2246</v>
      </c>
      <c r="C70" s="79" t="s">
        <v>2327</v>
      </c>
      <c r="D70" s="49" t="s">
        <v>1114</v>
      </c>
      <c r="E70" s="50">
        <v>0</v>
      </c>
      <c r="F70" s="50">
        <v>0</v>
      </c>
      <c r="G70" s="173">
        <v>5</v>
      </c>
      <c r="H70" s="173">
        <v>5.0999999999999996</v>
      </c>
      <c r="I70" s="175" t="s">
        <v>2247</v>
      </c>
      <c r="J70" s="16" t="s">
        <v>2248</v>
      </c>
      <c r="K70" s="174">
        <v>1.5</v>
      </c>
      <c r="L70" s="174">
        <v>1.5</v>
      </c>
      <c r="M70" s="174" t="s">
        <v>1036</v>
      </c>
      <c r="N70" s="64"/>
      <c r="O70" s="63" t="str">
        <f t="shared" si="10"/>
        <v>YES</v>
      </c>
      <c r="P70" s="73"/>
      <c r="Q70" s="53">
        <f t="shared" si="1"/>
        <v>273.7</v>
      </c>
      <c r="R70" s="54" t="str">
        <f t="shared" si="2"/>
        <v xml:space="preserve"> </v>
      </c>
      <c r="S70" s="55" t="str">
        <f t="shared" si="3"/>
        <v xml:space="preserve"> </v>
      </c>
      <c r="T70" s="105"/>
      <c r="U70" s="57" t="str">
        <f t="shared" si="4"/>
        <v xml:space="preserve"> </v>
      </c>
      <c r="V70" s="58" t="str">
        <f t="shared" si="5"/>
        <v xml:space="preserve"> </v>
      </c>
      <c r="W70" s="57" t="str">
        <f t="shared" si="6"/>
        <v xml:space="preserve"> </v>
      </c>
      <c r="X70" s="59" t="str">
        <f t="shared" si="7"/>
        <v>Mitigation</v>
      </c>
      <c r="Y70" s="106"/>
      <c r="Z70" s="16" t="s">
        <v>1987</v>
      </c>
      <c r="AA70" s="16" t="s">
        <v>1987</v>
      </c>
      <c r="AB70" s="16" t="s">
        <v>1987</v>
      </c>
      <c r="AC70" s="16" t="s">
        <v>1987</v>
      </c>
      <c r="AD70" s="16" t="s">
        <v>1987</v>
      </c>
      <c r="AE70" s="16" t="s">
        <v>1987</v>
      </c>
      <c r="AF70" s="16" t="s">
        <v>1987</v>
      </c>
      <c r="AG70" s="16" t="s">
        <v>1987</v>
      </c>
      <c r="AH70" s="16" t="s">
        <v>1987</v>
      </c>
      <c r="AI70" s="16" t="s">
        <v>1987</v>
      </c>
      <c r="AJ70" s="16" t="s">
        <v>1987</v>
      </c>
      <c r="AK70" s="16" t="s">
        <v>1987</v>
      </c>
      <c r="AL70" s="16" t="s">
        <v>1987</v>
      </c>
      <c r="AM70" s="16" t="s">
        <v>1987</v>
      </c>
      <c r="AN70" s="16" t="s">
        <v>1987</v>
      </c>
      <c r="AO70" s="16" t="s">
        <v>1987</v>
      </c>
      <c r="AP70" s="16" t="s">
        <v>1987</v>
      </c>
      <c r="AQ70" s="16" t="s">
        <v>1987</v>
      </c>
      <c r="AR70" s="16" t="s">
        <v>1987</v>
      </c>
      <c r="AS70" s="16" t="s">
        <v>1987</v>
      </c>
      <c r="AT70" s="16" t="s">
        <v>1987</v>
      </c>
      <c r="AU70" s="16" t="s">
        <v>1987</v>
      </c>
      <c r="AV70" s="16" t="s">
        <v>1987</v>
      </c>
      <c r="AW70" s="16" t="s">
        <v>1987</v>
      </c>
      <c r="AX70" s="16" t="s">
        <v>1987</v>
      </c>
      <c r="AY70" s="16" t="s">
        <v>1987</v>
      </c>
      <c r="AZ70" s="16" t="s">
        <v>1987</v>
      </c>
      <c r="BA70" s="16" t="s">
        <v>1987</v>
      </c>
      <c r="BB70" s="16" t="s">
        <v>1987</v>
      </c>
      <c r="BC70" s="16" t="s">
        <v>1987</v>
      </c>
      <c r="BD70" s="16" t="s">
        <v>1987</v>
      </c>
      <c r="BE70" s="16" t="s">
        <v>1987</v>
      </c>
      <c r="BF70" s="16" t="s">
        <v>1987</v>
      </c>
      <c r="BG70" s="16" t="s">
        <v>1987</v>
      </c>
      <c r="BH70" s="16" t="s">
        <v>1987</v>
      </c>
      <c r="BI70" s="16" t="s">
        <v>1987</v>
      </c>
      <c r="BJ70" s="16" t="s">
        <v>1987</v>
      </c>
      <c r="BK70" s="16" t="s">
        <v>1987</v>
      </c>
      <c r="BL70" s="16" t="s">
        <v>1987</v>
      </c>
      <c r="BM70" s="16" t="s">
        <v>1987</v>
      </c>
      <c r="BN70" s="16" t="s">
        <v>1987</v>
      </c>
      <c r="BO70" s="16" t="s">
        <v>1987</v>
      </c>
      <c r="BP70" s="16" t="s">
        <v>1987</v>
      </c>
      <c r="BQ70" s="16" t="s">
        <v>1987</v>
      </c>
      <c r="BR70" s="16" t="s">
        <v>1987</v>
      </c>
      <c r="BS70" s="16" t="s">
        <v>1987</v>
      </c>
      <c r="BT70" s="16" t="s">
        <v>1987</v>
      </c>
    </row>
    <row r="71" spans="1:72" ht="18" hidden="1" customHeight="1" x14ac:dyDescent="0.3">
      <c r="A71" s="47" t="s">
        <v>713</v>
      </c>
      <c r="B71" s="48" t="s">
        <v>498</v>
      </c>
      <c r="C71" s="16" t="s">
        <v>2065</v>
      </c>
      <c r="D71" s="49" t="s">
        <v>1073</v>
      </c>
      <c r="E71" s="50">
        <v>61.11</v>
      </c>
      <c r="F71" s="50">
        <v>0</v>
      </c>
      <c r="G71" s="61">
        <v>6</v>
      </c>
      <c r="H71" s="16">
        <v>0.75</v>
      </c>
      <c r="I71" s="48" t="s">
        <v>1016</v>
      </c>
      <c r="J71" s="16" t="s">
        <v>1220</v>
      </c>
      <c r="K71" s="49">
        <v>10</v>
      </c>
      <c r="L71" s="49">
        <v>90</v>
      </c>
      <c r="M71" s="48" t="s">
        <v>1014</v>
      </c>
      <c r="N71" s="48" t="s">
        <v>2358</v>
      </c>
      <c r="O71" s="63" t="str">
        <f t="shared" si="10"/>
        <v>NO</v>
      </c>
      <c r="P71" s="52"/>
      <c r="Q71" s="53">
        <f t="shared" si="1"/>
        <v>10</v>
      </c>
      <c r="R71" s="54">
        <f t="shared" si="2"/>
        <v>6.1</v>
      </c>
      <c r="S71" s="55" t="str">
        <f t="shared" si="3"/>
        <v xml:space="preserve"> </v>
      </c>
      <c r="T71" s="56"/>
      <c r="U71" s="57" t="str">
        <f t="shared" si="4"/>
        <v>Mitigation</v>
      </c>
      <c r="V71" s="58">
        <f t="shared" si="5"/>
        <v>6.1</v>
      </c>
      <c r="W71" s="58" t="str">
        <f t="shared" si="6"/>
        <v xml:space="preserve"> </v>
      </c>
      <c r="X71" s="59" t="str">
        <f t="shared" si="7"/>
        <v/>
      </c>
      <c r="Y71" s="60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16" t="s">
        <v>675</v>
      </c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5"/>
    </row>
    <row r="72" spans="1:72" ht="18" hidden="1" customHeight="1" x14ac:dyDescent="0.3">
      <c r="A72" s="191" t="s">
        <v>1999</v>
      </c>
      <c r="B72" s="48" t="s">
        <v>1864</v>
      </c>
      <c r="C72" s="87" t="s">
        <v>1956</v>
      </c>
      <c r="D72" s="16" t="s">
        <v>1941</v>
      </c>
      <c r="E72" s="50">
        <v>51.7</v>
      </c>
      <c r="F72" s="50">
        <v>0</v>
      </c>
      <c r="G72" s="16">
        <v>3</v>
      </c>
      <c r="H72" s="16" t="s">
        <v>1955</v>
      </c>
      <c r="I72" s="95" t="s">
        <v>1016</v>
      </c>
      <c r="J72" s="170" t="s">
        <v>2383</v>
      </c>
      <c r="K72" s="16">
        <v>0</v>
      </c>
      <c r="L72" s="16">
        <v>0</v>
      </c>
      <c r="M72" s="64"/>
      <c r="N72" s="16" t="s">
        <v>2384</v>
      </c>
      <c r="O72" s="63" t="str">
        <f t="shared" si="10"/>
        <v>NO</v>
      </c>
      <c r="P72" s="52"/>
      <c r="Q72" s="53">
        <f t="shared" ref="Q72:Q135" si="11">IF(K72="Pending","Pending",IF(AND(K72&lt;5000,O72="YES"),MIN(ROUNDDOWN(K72*25550/140,1),5000),IF(AND(K72&lt;5000,O72="NO"),K72,IF(K72&gt;=5000,5000))))</f>
        <v>0</v>
      </c>
      <c r="R72" s="54">
        <f t="shared" ref="R72:R135" si="12">IF(Q72="Pending","Pending",IF(E72=0," ",ROUNDDOWN(Q72*E72/100,1)))</f>
        <v>0</v>
      </c>
      <c r="S72" s="55" t="str">
        <f t="shared" ref="S72:S135" si="13">IF(Q72="Pending","Pending",IF(F72=0, " ",ROUNDDOWN(Q72*F72/100,1)))</f>
        <v xml:space="preserve"> </v>
      </c>
      <c r="T72" s="56"/>
      <c r="U72" s="57" t="str">
        <f t="shared" ref="U72:U135" si="14">IF(Q72="Pending","Pending",IF(R72= " ", " ", IF(R72&lt;20, "Mitigation", "100µg/100cm²")))</f>
        <v>Mitigation</v>
      </c>
      <c r="V72" s="58" t="str">
        <f t="shared" ref="V72:V135" si="15">IF(R72=0, " ", R72)</f>
        <v xml:space="preserve"> </v>
      </c>
      <c r="W72" s="57" t="str">
        <f t="shared" ref="W72:W135" si="16">IF(Q72="Pending","Pending",IF(S72= " ", " ", IF(S72&lt;20, "Mitigation", "100µg/100cm²")))</f>
        <v xml:space="preserve"> </v>
      </c>
      <c r="X72" s="59" t="str">
        <f t="shared" ref="X72:X135" si="17">IF(K72="","Pending",IF(AND(Q72=5000,G72&lt;4,SUM(E72,F72)=0),"Water criteria (conductivity)",IF(AND(Q72=5000,G72&gt;3,SUM(E72,F72)=0),"Mitigation",IF(AND(Q72&lt;5000,G72&gt;0,SUM(E72,F72)=0),"Mitigation",""))))</f>
        <v/>
      </c>
      <c r="Y72" s="60"/>
      <c r="Z72" s="16" t="s">
        <v>1987</v>
      </c>
      <c r="AA72" s="16" t="s">
        <v>1987</v>
      </c>
      <c r="AB72" s="16" t="s">
        <v>1987</v>
      </c>
      <c r="AC72" s="16" t="s">
        <v>1987</v>
      </c>
      <c r="AD72" s="16" t="s">
        <v>1987</v>
      </c>
      <c r="AE72" s="16" t="s">
        <v>1987</v>
      </c>
      <c r="AF72" s="16" t="s">
        <v>1987</v>
      </c>
      <c r="AG72" s="16" t="s">
        <v>1987</v>
      </c>
      <c r="AH72" s="16" t="s">
        <v>1987</v>
      </c>
      <c r="AI72" s="16" t="s">
        <v>1987</v>
      </c>
      <c r="AJ72" s="16" t="s">
        <v>1987</v>
      </c>
      <c r="AK72" s="16" t="s">
        <v>1987</v>
      </c>
      <c r="AL72" s="16" t="s">
        <v>1987</v>
      </c>
      <c r="AM72" s="16" t="s">
        <v>1987</v>
      </c>
      <c r="AN72" s="16" t="s">
        <v>1987</v>
      </c>
      <c r="AO72" s="16" t="s">
        <v>1987</v>
      </c>
      <c r="AP72" s="16" t="s">
        <v>1987</v>
      </c>
      <c r="AQ72" s="16" t="s">
        <v>1987</v>
      </c>
      <c r="AR72" s="16" t="s">
        <v>1987</v>
      </c>
      <c r="AS72" s="16" t="s">
        <v>1987</v>
      </c>
      <c r="AT72" s="16" t="s">
        <v>1987</v>
      </c>
      <c r="AU72" s="16" t="s">
        <v>1987</v>
      </c>
      <c r="AV72" s="16" t="s">
        <v>1987</v>
      </c>
      <c r="AW72" s="16" t="s">
        <v>1987</v>
      </c>
      <c r="AX72" s="16" t="s">
        <v>1987</v>
      </c>
      <c r="AY72" s="16" t="s">
        <v>1987</v>
      </c>
      <c r="AZ72" s="16" t="s">
        <v>1987</v>
      </c>
      <c r="BA72" s="16" t="s">
        <v>1987</v>
      </c>
      <c r="BB72" s="16" t="s">
        <v>1987</v>
      </c>
      <c r="BC72" s="16" t="s">
        <v>1987</v>
      </c>
      <c r="BD72" s="16" t="s">
        <v>1987</v>
      </c>
      <c r="BE72" s="16" t="s">
        <v>1987</v>
      </c>
      <c r="BF72" s="16" t="s">
        <v>1987</v>
      </c>
      <c r="BG72" s="16" t="s">
        <v>1987</v>
      </c>
      <c r="BH72" s="16" t="s">
        <v>1987</v>
      </c>
      <c r="BI72" s="16" t="s">
        <v>1987</v>
      </c>
      <c r="BJ72" s="16" t="s">
        <v>1987</v>
      </c>
      <c r="BK72" s="16" t="s">
        <v>1987</v>
      </c>
      <c r="BL72" s="16" t="s">
        <v>1987</v>
      </c>
      <c r="BM72" s="16" t="s">
        <v>1987</v>
      </c>
      <c r="BN72" s="16" t="s">
        <v>1987</v>
      </c>
      <c r="BO72" s="16" t="s">
        <v>1987</v>
      </c>
      <c r="BP72" s="16" t="s">
        <v>1987</v>
      </c>
      <c r="BQ72" s="16" t="s">
        <v>1987</v>
      </c>
      <c r="BR72" s="16" t="s">
        <v>1987</v>
      </c>
      <c r="BS72" s="16" t="s">
        <v>1987</v>
      </c>
      <c r="BT72" s="16" t="s">
        <v>1987</v>
      </c>
    </row>
    <row r="73" spans="1:72" ht="18" hidden="1" customHeight="1" x14ac:dyDescent="0.3">
      <c r="A73" s="47" t="s">
        <v>1824</v>
      </c>
      <c r="B73" s="48" t="s">
        <v>148</v>
      </c>
      <c r="C73" s="49" t="s">
        <v>1162</v>
      </c>
      <c r="D73" s="49" t="s">
        <v>1163</v>
      </c>
      <c r="E73" s="50">
        <v>32.6</v>
      </c>
      <c r="F73" s="50">
        <v>0</v>
      </c>
      <c r="G73" s="61">
        <v>7</v>
      </c>
      <c r="H73" s="16" t="s">
        <v>1105</v>
      </c>
      <c r="I73" s="48" t="s">
        <v>1016</v>
      </c>
      <c r="J73" s="16" t="s">
        <v>1164</v>
      </c>
      <c r="K73" s="49">
        <v>24000</v>
      </c>
      <c r="L73" s="49">
        <v>216000</v>
      </c>
      <c r="M73" s="62" t="s">
        <v>1014</v>
      </c>
      <c r="N73" s="51"/>
      <c r="O73" s="63" t="str">
        <f t="shared" si="10"/>
        <v>YES</v>
      </c>
      <c r="P73" s="52"/>
      <c r="Q73" s="53">
        <f t="shared" si="11"/>
        <v>5000</v>
      </c>
      <c r="R73" s="54">
        <f t="shared" si="12"/>
        <v>1630</v>
      </c>
      <c r="S73" s="55" t="str">
        <f t="shared" si="13"/>
        <v xml:space="preserve"> </v>
      </c>
      <c r="T73" s="56"/>
      <c r="U73" s="57" t="str">
        <f t="shared" si="14"/>
        <v>100µg/100cm²</v>
      </c>
      <c r="V73" s="58">
        <f t="shared" si="15"/>
        <v>1630</v>
      </c>
      <c r="W73" s="58" t="str">
        <f t="shared" si="16"/>
        <v xml:space="preserve"> </v>
      </c>
      <c r="X73" s="59" t="str">
        <f t="shared" si="17"/>
        <v/>
      </c>
      <c r="Y73" s="60"/>
      <c r="Z73" s="64"/>
      <c r="AA73" s="64"/>
      <c r="AB73" s="64"/>
      <c r="AC73" s="64"/>
      <c r="AD73" s="16" t="s">
        <v>675</v>
      </c>
      <c r="AE73" s="64"/>
      <c r="AF73" s="64"/>
      <c r="AG73" s="64"/>
      <c r="AH73" s="64"/>
      <c r="AI73" s="64"/>
      <c r="AJ73" s="64"/>
      <c r="AK73" s="64"/>
      <c r="AL73" s="64"/>
      <c r="AM73" s="16" t="s">
        <v>675</v>
      </c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5"/>
    </row>
    <row r="74" spans="1:72" ht="18" hidden="1" customHeight="1" x14ac:dyDescent="0.3">
      <c r="A74" s="96" t="s">
        <v>569</v>
      </c>
      <c r="B74" s="86" t="s">
        <v>459</v>
      </c>
      <c r="C74" s="16" t="s">
        <v>1502</v>
      </c>
      <c r="D74" s="16" t="s">
        <v>1484</v>
      </c>
      <c r="E74" s="50">
        <v>50</v>
      </c>
      <c r="F74" s="50">
        <v>0</v>
      </c>
      <c r="G74" s="16">
        <v>1</v>
      </c>
      <c r="H74" s="16" t="s">
        <v>1023</v>
      </c>
      <c r="I74" s="16" t="s">
        <v>1016</v>
      </c>
      <c r="J74" s="16" t="s">
        <v>2382</v>
      </c>
      <c r="K74" s="16">
        <v>50</v>
      </c>
      <c r="L74" s="16">
        <v>50</v>
      </c>
      <c r="M74" s="64"/>
      <c r="N74" s="64"/>
      <c r="O74" s="63" t="str">
        <f t="shared" si="10"/>
        <v>YES</v>
      </c>
      <c r="P74" s="52"/>
      <c r="Q74" s="53">
        <f t="shared" si="11"/>
        <v>5000</v>
      </c>
      <c r="R74" s="54">
        <f t="shared" si="12"/>
        <v>2500</v>
      </c>
      <c r="S74" s="55" t="str">
        <f t="shared" si="13"/>
        <v xml:space="preserve"> </v>
      </c>
      <c r="T74" s="56"/>
      <c r="U74" s="57" t="str">
        <f t="shared" si="14"/>
        <v>100µg/100cm²</v>
      </c>
      <c r="V74" s="58">
        <f t="shared" si="15"/>
        <v>2500</v>
      </c>
      <c r="W74" s="58" t="str">
        <f t="shared" si="16"/>
        <v xml:space="preserve"> </v>
      </c>
      <c r="X74" s="59" t="str">
        <f t="shared" si="17"/>
        <v/>
      </c>
      <c r="Y74" s="60"/>
      <c r="Z74" s="64"/>
      <c r="AA74" s="64"/>
      <c r="AB74" s="64"/>
      <c r="AC74" s="64"/>
      <c r="AD74" s="64"/>
      <c r="AE74" s="83" t="s">
        <v>675</v>
      </c>
      <c r="AF74" s="64"/>
      <c r="AG74" s="64"/>
      <c r="AH74" s="64"/>
      <c r="AI74" s="64"/>
      <c r="AJ74" s="64"/>
      <c r="AK74" s="64"/>
      <c r="AL74" s="64"/>
      <c r="AM74" s="16" t="s">
        <v>675</v>
      </c>
      <c r="AN74" s="64"/>
      <c r="AO74" s="64"/>
      <c r="AP74" s="64"/>
      <c r="AQ74" s="64"/>
      <c r="AR74" s="64"/>
      <c r="AS74" s="16" t="s">
        <v>675</v>
      </c>
      <c r="AT74" s="64"/>
      <c r="AU74" s="83" t="s">
        <v>675</v>
      </c>
      <c r="AV74" s="83" t="s">
        <v>675</v>
      </c>
      <c r="AW74" s="16" t="s">
        <v>675</v>
      </c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5"/>
    </row>
    <row r="75" spans="1:72" ht="18" hidden="1" customHeight="1" x14ac:dyDescent="0.3">
      <c r="A75" s="81" t="s">
        <v>862</v>
      </c>
      <c r="B75" s="76" t="s">
        <v>459</v>
      </c>
      <c r="C75" s="16" t="s">
        <v>1502</v>
      </c>
      <c r="D75" s="16" t="s">
        <v>1484</v>
      </c>
      <c r="E75" s="50">
        <v>50</v>
      </c>
      <c r="F75" s="50">
        <v>0</v>
      </c>
      <c r="G75" s="16">
        <v>1</v>
      </c>
      <c r="H75" s="16" t="s">
        <v>1023</v>
      </c>
      <c r="I75" s="16" t="s">
        <v>1016</v>
      </c>
      <c r="J75" s="16" t="s">
        <v>2382</v>
      </c>
      <c r="K75" s="16">
        <v>50</v>
      </c>
      <c r="L75" s="16">
        <v>50</v>
      </c>
      <c r="M75" s="64"/>
      <c r="N75" s="64"/>
      <c r="O75" s="63" t="str">
        <f t="shared" si="10"/>
        <v>YES</v>
      </c>
      <c r="P75" s="52"/>
      <c r="Q75" s="53">
        <f t="shared" si="11"/>
        <v>5000</v>
      </c>
      <c r="R75" s="54">
        <f t="shared" si="12"/>
        <v>2500</v>
      </c>
      <c r="S75" s="55" t="str">
        <f t="shared" si="13"/>
        <v xml:space="preserve"> </v>
      </c>
      <c r="T75" s="56"/>
      <c r="U75" s="57" t="str">
        <f t="shared" si="14"/>
        <v>100µg/100cm²</v>
      </c>
      <c r="V75" s="58">
        <f t="shared" si="15"/>
        <v>2500</v>
      </c>
      <c r="W75" s="58" t="str">
        <f t="shared" si="16"/>
        <v xml:space="preserve"> </v>
      </c>
      <c r="X75" s="59" t="str">
        <f t="shared" si="17"/>
        <v/>
      </c>
      <c r="Y75" s="60"/>
      <c r="Z75" s="64"/>
      <c r="AA75" s="64"/>
      <c r="AB75" s="64"/>
      <c r="AC75" s="64"/>
      <c r="AD75" s="64"/>
      <c r="AE75" s="83" t="s">
        <v>675</v>
      </c>
      <c r="AF75" s="64"/>
      <c r="AG75" s="64"/>
      <c r="AH75" s="64"/>
      <c r="AI75" s="64"/>
      <c r="AJ75" s="64"/>
      <c r="AK75" s="64"/>
      <c r="AL75" s="64"/>
      <c r="AM75" s="16" t="s">
        <v>675</v>
      </c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5"/>
    </row>
    <row r="76" spans="1:72" ht="18" hidden="1" customHeight="1" x14ac:dyDescent="0.3">
      <c r="A76" s="96" t="s">
        <v>570</v>
      </c>
      <c r="B76" s="86" t="s">
        <v>459</v>
      </c>
      <c r="C76" s="16" t="s">
        <v>1502</v>
      </c>
      <c r="D76" s="16" t="s">
        <v>1484</v>
      </c>
      <c r="E76" s="50">
        <v>50</v>
      </c>
      <c r="F76" s="50">
        <v>0</v>
      </c>
      <c r="G76" s="16">
        <v>1</v>
      </c>
      <c r="H76" s="16" t="s">
        <v>1023</v>
      </c>
      <c r="I76" s="16" t="s">
        <v>1016</v>
      </c>
      <c r="J76" s="16" t="s">
        <v>2382</v>
      </c>
      <c r="K76" s="16">
        <v>50</v>
      </c>
      <c r="L76" s="16">
        <v>50</v>
      </c>
      <c r="M76" s="64"/>
      <c r="N76" s="64"/>
      <c r="O76" s="63" t="str">
        <f t="shared" si="10"/>
        <v>YES</v>
      </c>
      <c r="P76" s="52"/>
      <c r="Q76" s="53">
        <f t="shared" si="11"/>
        <v>5000</v>
      </c>
      <c r="R76" s="54">
        <f t="shared" si="12"/>
        <v>2500</v>
      </c>
      <c r="S76" s="55" t="str">
        <f t="shared" si="13"/>
        <v xml:space="preserve"> </v>
      </c>
      <c r="T76" s="56"/>
      <c r="U76" s="57" t="str">
        <f t="shared" si="14"/>
        <v>100µg/100cm²</v>
      </c>
      <c r="V76" s="58">
        <f t="shared" si="15"/>
        <v>2500</v>
      </c>
      <c r="W76" s="58" t="str">
        <f t="shared" si="16"/>
        <v xml:space="preserve"> </v>
      </c>
      <c r="X76" s="59" t="str">
        <f t="shared" si="17"/>
        <v/>
      </c>
      <c r="Y76" s="60"/>
      <c r="Z76" s="64"/>
      <c r="AA76" s="64"/>
      <c r="AB76" s="64"/>
      <c r="AC76" s="64"/>
      <c r="AD76" s="64"/>
      <c r="AE76" s="83" t="s">
        <v>675</v>
      </c>
      <c r="AF76" s="64"/>
      <c r="AG76" s="64"/>
      <c r="AH76" s="64"/>
      <c r="AI76" s="64"/>
      <c r="AJ76" s="64"/>
      <c r="AK76" s="64"/>
      <c r="AL76" s="64"/>
      <c r="AM76" s="16" t="s">
        <v>675</v>
      </c>
      <c r="AN76" s="64"/>
      <c r="AO76" s="64"/>
      <c r="AP76" s="64"/>
      <c r="AQ76" s="64"/>
      <c r="AR76" s="64"/>
      <c r="AS76" s="16" t="s">
        <v>675</v>
      </c>
      <c r="AT76" s="64"/>
      <c r="AU76" s="83" t="s">
        <v>675</v>
      </c>
      <c r="AV76" s="83" t="s">
        <v>675</v>
      </c>
      <c r="AW76" s="16" t="s">
        <v>675</v>
      </c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5"/>
    </row>
    <row r="77" spans="1:72" ht="18" hidden="1" customHeight="1" x14ac:dyDescent="0.3">
      <c r="A77" s="96" t="s">
        <v>571</v>
      </c>
      <c r="B77" s="86" t="s">
        <v>459</v>
      </c>
      <c r="C77" s="16" t="s">
        <v>1502</v>
      </c>
      <c r="D77" s="16" t="s">
        <v>1484</v>
      </c>
      <c r="E77" s="50">
        <v>50</v>
      </c>
      <c r="F77" s="50">
        <v>0</v>
      </c>
      <c r="G77" s="16">
        <v>1</v>
      </c>
      <c r="H77" s="16" t="s">
        <v>1023</v>
      </c>
      <c r="I77" s="16" t="s">
        <v>1016</v>
      </c>
      <c r="J77" s="16" t="s">
        <v>2382</v>
      </c>
      <c r="K77" s="16">
        <v>50</v>
      </c>
      <c r="L77" s="16">
        <v>50</v>
      </c>
      <c r="M77" s="64"/>
      <c r="N77" s="64"/>
      <c r="O77" s="63" t="str">
        <f t="shared" si="10"/>
        <v>YES</v>
      </c>
      <c r="P77" s="52"/>
      <c r="Q77" s="53">
        <f t="shared" si="11"/>
        <v>5000</v>
      </c>
      <c r="R77" s="54">
        <f t="shared" si="12"/>
        <v>2500</v>
      </c>
      <c r="S77" s="55" t="str">
        <f t="shared" si="13"/>
        <v xml:space="preserve"> </v>
      </c>
      <c r="T77" s="56"/>
      <c r="U77" s="57" t="str">
        <f t="shared" si="14"/>
        <v>100µg/100cm²</v>
      </c>
      <c r="V77" s="58">
        <f t="shared" si="15"/>
        <v>2500</v>
      </c>
      <c r="W77" s="58" t="str">
        <f t="shared" si="16"/>
        <v xml:space="preserve"> </v>
      </c>
      <c r="X77" s="59" t="str">
        <f t="shared" si="17"/>
        <v/>
      </c>
      <c r="Y77" s="60"/>
      <c r="Z77" s="64"/>
      <c r="AA77" s="64"/>
      <c r="AB77" s="64"/>
      <c r="AC77" s="64"/>
      <c r="AD77" s="64"/>
      <c r="AE77" s="83" t="s">
        <v>675</v>
      </c>
      <c r="AF77" s="64"/>
      <c r="AG77" s="64"/>
      <c r="AH77" s="64"/>
      <c r="AI77" s="64"/>
      <c r="AJ77" s="64"/>
      <c r="AK77" s="64"/>
      <c r="AL77" s="64"/>
      <c r="AM77" s="16" t="s">
        <v>675</v>
      </c>
      <c r="AN77" s="64"/>
      <c r="AO77" s="64"/>
      <c r="AP77" s="64"/>
      <c r="AQ77" s="64"/>
      <c r="AR77" s="64"/>
      <c r="AS77" s="16" t="s">
        <v>675</v>
      </c>
      <c r="AT77" s="64"/>
      <c r="AU77" s="83" t="s">
        <v>675</v>
      </c>
      <c r="AV77" s="83" t="s">
        <v>675</v>
      </c>
      <c r="AW77" s="16" t="s">
        <v>675</v>
      </c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5"/>
    </row>
    <row r="78" spans="1:72" ht="18" hidden="1" customHeight="1" x14ac:dyDescent="0.3">
      <c r="A78" s="81" t="s">
        <v>863</v>
      </c>
      <c r="B78" s="76" t="s">
        <v>459</v>
      </c>
      <c r="C78" s="16" t="s">
        <v>1501</v>
      </c>
      <c r="D78" s="16" t="s">
        <v>1497</v>
      </c>
      <c r="E78" s="50">
        <v>50</v>
      </c>
      <c r="F78" s="50">
        <v>0</v>
      </c>
      <c r="G78" s="16">
        <v>1</v>
      </c>
      <c r="H78" s="16" t="s">
        <v>1023</v>
      </c>
      <c r="I78" s="16" t="s">
        <v>1016</v>
      </c>
      <c r="J78" s="16" t="s">
        <v>2382</v>
      </c>
      <c r="K78" s="16">
        <v>50</v>
      </c>
      <c r="L78" s="16">
        <v>50</v>
      </c>
      <c r="M78" s="64"/>
      <c r="N78" s="64"/>
      <c r="O78" s="63" t="str">
        <f t="shared" si="10"/>
        <v>YES</v>
      </c>
      <c r="P78" s="52"/>
      <c r="Q78" s="53">
        <f t="shared" si="11"/>
        <v>5000</v>
      </c>
      <c r="R78" s="54">
        <f t="shared" si="12"/>
        <v>2500</v>
      </c>
      <c r="S78" s="55" t="str">
        <f t="shared" si="13"/>
        <v xml:space="preserve"> </v>
      </c>
      <c r="T78" s="56"/>
      <c r="U78" s="57" t="str">
        <f t="shared" si="14"/>
        <v>100µg/100cm²</v>
      </c>
      <c r="V78" s="58">
        <f t="shared" si="15"/>
        <v>2500</v>
      </c>
      <c r="W78" s="58" t="str">
        <f t="shared" si="16"/>
        <v xml:space="preserve"> </v>
      </c>
      <c r="X78" s="59" t="str">
        <f t="shared" si="17"/>
        <v/>
      </c>
      <c r="Y78" s="60"/>
      <c r="Z78" s="64"/>
      <c r="AA78" s="64"/>
      <c r="AB78" s="64"/>
      <c r="AC78" s="64"/>
      <c r="AD78" s="64"/>
      <c r="AE78" s="83" t="s">
        <v>675</v>
      </c>
      <c r="AF78" s="16" t="s">
        <v>675</v>
      </c>
      <c r="AG78" s="64"/>
      <c r="AH78" s="64"/>
      <c r="AI78" s="64"/>
      <c r="AJ78" s="64"/>
      <c r="AK78" s="64"/>
      <c r="AL78" s="64"/>
      <c r="AM78" s="16" t="s">
        <v>675</v>
      </c>
      <c r="AN78" s="64"/>
      <c r="AO78" s="64"/>
      <c r="AP78" s="64"/>
      <c r="AQ78" s="64"/>
      <c r="AR78" s="64"/>
      <c r="AS78" s="64"/>
      <c r="AT78" s="64"/>
      <c r="AU78" s="83" t="s">
        <v>675</v>
      </c>
      <c r="AV78" s="83" t="s">
        <v>675</v>
      </c>
      <c r="AW78" s="16" t="s">
        <v>675</v>
      </c>
      <c r="AX78" s="64"/>
      <c r="AY78" s="64"/>
      <c r="AZ78" s="64"/>
      <c r="BA78" s="64"/>
      <c r="BB78" s="64"/>
      <c r="BC78" s="64"/>
      <c r="BD78" s="16" t="s">
        <v>675</v>
      </c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5"/>
    </row>
    <row r="79" spans="1:72" ht="18" hidden="1" customHeight="1" x14ac:dyDescent="0.3">
      <c r="A79" s="81" t="s">
        <v>864</v>
      </c>
      <c r="B79" s="76" t="s">
        <v>459</v>
      </c>
      <c r="C79" s="16" t="s">
        <v>1502</v>
      </c>
      <c r="D79" s="16" t="s">
        <v>1484</v>
      </c>
      <c r="E79" s="50">
        <v>50</v>
      </c>
      <c r="F79" s="50">
        <v>0</v>
      </c>
      <c r="G79" s="16">
        <v>1</v>
      </c>
      <c r="H79" s="16" t="s">
        <v>1023</v>
      </c>
      <c r="I79" s="16" t="s">
        <v>1016</v>
      </c>
      <c r="J79" s="16" t="s">
        <v>2382</v>
      </c>
      <c r="K79" s="16">
        <v>50</v>
      </c>
      <c r="L79" s="16">
        <v>50</v>
      </c>
      <c r="M79" s="64"/>
      <c r="N79" s="64"/>
      <c r="O79" s="63" t="str">
        <f t="shared" si="10"/>
        <v>YES</v>
      </c>
      <c r="P79" s="52"/>
      <c r="Q79" s="53">
        <f t="shared" si="11"/>
        <v>5000</v>
      </c>
      <c r="R79" s="54">
        <f t="shared" si="12"/>
        <v>2500</v>
      </c>
      <c r="S79" s="55" t="str">
        <f t="shared" si="13"/>
        <v xml:space="preserve"> </v>
      </c>
      <c r="T79" s="56"/>
      <c r="U79" s="57" t="str">
        <f t="shared" si="14"/>
        <v>100µg/100cm²</v>
      </c>
      <c r="V79" s="58">
        <f t="shared" si="15"/>
        <v>2500</v>
      </c>
      <c r="W79" s="58" t="str">
        <f t="shared" si="16"/>
        <v xml:space="preserve"> </v>
      </c>
      <c r="X79" s="59" t="str">
        <f t="shared" si="17"/>
        <v/>
      </c>
      <c r="Y79" s="60"/>
      <c r="Z79" s="64"/>
      <c r="AA79" s="64"/>
      <c r="AB79" s="64"/>
      <c r="AC79" s="64"/>
      <c r="AD79" s="64"/>
      <c r="AE79" s="16" t="s">
        <v>675</v>
      </c>
      <c r="AF79" s="64"/>
      <c r="AG79" s="64"/>
      <c r="AH79" s="64"/>
      <c r="AI79" s="64"/>
      <c r="AJ79" s="64"/>
      <c r="AK79" s="64"/>
      <c r="AL79" s="64"/>
      <c r="AM79" s="16" t="s">
        <v>675</v>
      </c>
      <c r="AN79" s="64"/>
      <c r="AO79" s="64"/>
      <c r="AP79" s="64"/>
      <c r="AQ79" s="64"/>
      <c r="AR79" s="64"/>
      <c r="AS79" s="64"/>
      <c r="AT79" s="64"/>
      <c r="AU79" s="82"/>
      <c r="AV79" s="82"/>
      <c r="AW79" s="82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5"/>
    </row>
    <row r="80" spans="1:72" ht="18" hidden="1" customHeight="1" x14ac:dyDescent="0.3">
      <c r="A80" s="75" t="s">
        <v>245</v>
      </c>
      <c r="B80" s="76" t="s">
        <v>459</v>
      </c>
      <c r="C80" s="16" t="s">
        <v>1502</v>
      </c>
      <c r="D80" s="16" t="s">
        <v>1484</v>
      </c>
      <c r="E80" s="50">
        <v>50</v>
      </c>
      <c r="F80" s="50">
        <v>0</v>
      </c>
      <c r="G80" s="16">
        <v>1</v>
      </c>
      <c r="H80" s="16" t="s">
        <v>1023</v>
      </c>
      <c r="I80" s="16" t="s">
        <v>1016</v>
      </c>
      <c r="J80" s="16" t="s">
        <v>2382</v>
      </c>
      <c r="K80" s="16">
        <v>50</v>
      </c>
      <c r="L80" s="16">
        <v>50</v>
      </c>
      <c r="M80" s="64"/>
      <c r="N80" s="64"/>
      <c r="O80" s="63" t="str">
        <f t="shared" si="10"/>
        <v>YES</v>
      </c>
      <c r="P80" s="52"/>
      <c r="Q80" s="53">
        <f t="shared" si="11"/>
        <v>5000</v>
      </c>
      <c r="R80" s="54">
        <f t="shared" si="12"/>
        <v>2500</v>
      </c>
      <c r="S80" s="55" t="str">
        <f t="shared" si="13"/>
        <v xml:space="preserve"> </v>
      </c>
      <c r="T80" s="56"/>
      <c r="U80" s="57" t="str">
        <f t="shared" si="14"/>
        <v>100µg/100cm²</v>
      </c>
      <c r="V80" s="58">
        <f t="shared" si="15"/>
        <v>2500</v>
      </c>
      <c r="W80" s="58" t="str">
        <f t="shared" si="16"/>
        <v xml:space="preserve"> </v>
      </c>
      <c r="X80" s="59" t="str">
        <f t="shared" si="17"/>
        <v/>
      </c>
      <c r="Y80" s="60"/>
      <c r="Z80" s="64"/>
      <c r="AA80" s="64"/>
      <c r="AB80" s="64"/>
      <c r="AC80" s="64"/>
      <c r="AD80" s="64"/>
      <c r="AE80" s="16" t="s">
        <v>675</v>
      </c>
      <c r="AF80" s="16" t="s">
        <v>675</v>
      </c>
      <c r="AG80" s="64"/>
      <c r="AH80" s="64"/>
      <c r="AI80" s="64"/>
      <c r="AJ80" s="16" t="s">
        <v>675</v>
      </c>
      <c r="AK80" s="64"/>
      <c r="AL80" s="64"/>
      <c r="AM80" s="16" t="s">
        <v>675</v>
      </c>
      <c r="AN80" s="16" t="s">
        <v>675</v>
      </c>
      <c r="AO80" s="64"/>
      <c r="AP80" s="16" t="s">
        <v>675</v>
      </c>
      <c r="AQ80" s="64"/>
      <c r="AR80" s="64"/>
      <c r="AS80" s="64"/>
      <c r="AT80" s="64"/>
      <c r="AU80" s="64"/>
      <c r="AV80" s="64"/>
      <c r="AW80" s="64"/>
      <c r="AX80" s="16" t="s">
        <v>675</v>
      </c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16" t="s">
        <v>675</v>
      </c>
      <c r="BL80" s="64"/>
      <c r="BM80" s="64"/>
      <c r="BN80" s="64"/>
      <c r="BO80" s="64"/>
      <c r="BP80" s="64"/>
      <c r="BQ80" s="64"/>
      <c r="BR80" s="64"/>
      <c r="BS80" s="16" t="s">
        <v>675</v>
      </c>
      <c r="BT80" s="65"/>
    </row>
    <row r="81" spans="1:72" ht="18" hidden="1" customHeight="1" x14ac:dyDescent="0.3">
      <c r="A81" s="81" t="s">
        <v>865</v>
      </c>
      <c r="B81" s="76" t="s">
        <v>459</v>
      </c>
      <c r="C81" s="16" t="s">
        <v>1502</v>
      </c>
      <c r="D81" s="16" t="s">
        <v>1484</v>
      </c>
      <c r="E81" s="50">
        <v>50</v>
      </c>
      <c r="F81" s="50">
        <v>0</v>
      </c>
      <c r="G81" s="16">
        <v>1</v>
      </c>
      <c r="H81" s="16" t="s">
        <v>1023</v>
      </c>
      <c r="I81" s="16" t="s">
        <v>1016</v>
      </c>
      <c r="J81" s="16" t="s">
        <v>2382</v>
      </c>
      <c r="K81" s="16">
        <v>50</v>
      </c>
      <c r="L81" s="16">
        <v>50</v>
      </c>
      <c r="M81" s="64"/>
      <c r="N81" s="64"/>
      <c r="O81" s="63" t="str">
        <f t="shared" si="10"/>
        <v>YES</v>
      </c>
      <c r="P81" s="52"/>
      <c r="Q81" s="53">
        <f t="shared" si="11"/>
        <v>5000</v>
      </c>
      <c r="R81" s="54">
        <f t="shared" si="12"/>
        <v>2500</v>
      </c>
      <c r="S81" s="55" t="str">
        <f t="shared" si="13"/>
        <v xml:space="preserve"> </v>
      </c>
      <c r="T81" s="56"/>
      <c r="U81" s="57" t="str">
        <f t="shared" si="14"/>
        <v>100µg/100cm²</v>
      </c>
      <c r="V81" s="58">
        <f t="shared" si="15"/>
        <v>2500</v>
      </c>
      <c r="W81" s="58" t="str">
        <f t="shared" si="16"/>
        <v xml:space="preserve"> </v>
      </c>
      <c r="X81" s="59" t="str">
        <f t="shared" si="17"/>
        <v/>
      </c>
      <c r="Y81" s="60"/>
      <c r="Z81" s="64"/>
      <c r="AA81" s="64"/>
      <c r="AB81" s="64"/>
      <c r="AC81" s="64"/>
      <c r="AD81" s="64"/>
      <c r="AE81" s="16" t="s">
        <v>675</v>
      </c>
      <c r="AF81" s="64"/>
      <c r="AG81" s="64"/>
      <c r="AH81" s="64"/>
      <c r="AI81" s="64"/>
      <c r="AJ81" s="64"/>
      <c r="AK81" s="64"/>
      <c r="AL81" s="64"/>
      <c r="AM81" s="16" t="s">
        <v>675</v>
      </c>
      <c r="AN81" s="64"/>
      <c r="AO81" s="64"/>
      <c r="AP81" s="64"/>
      <c r="AQ81" s="64"/>
      <c r="AR81" s="64"/>
      <c r="AS81" s="64"/>
      <c r="AT81" s="64"/>
      <c r="AU81" s="82"/>
      <c r="AV81" s="82"/>
      <c r="AW81" s="82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5"/>
    </row>
    <row r="82" spans="1:72" ht="18" hidden="1" customHeight="1" x14ac:dyDescent="0.3">
      <c r="A82" s="81" t="s">
        <v>866</v>
      </c>
      <c r="B82" s="76" t="s">
        <v>459</v>
      </c>
      <c r="C82" s="16" t="s">
        <v>1500</v>
      </c>
      <c r="D82" s="16" t="s">
        <v>1485</v>
      </c>
      <c r="E82" s="50">
        <v>50</v>
      </c>
      <c r="F82" s="50">
        <v>0</v>
      </c>
      <c r="G82" s="16">
        <v>1</v>
      </c>
      <c r="H82" s="16" t="s">
        <v>1023</v>
      </c>
      <c r="I82" s="16" t="s">
        <v>1016</v>
      </c>
      <c r="J82" s="16" t="s">
        <v>2382</v>
      </c>
      <c r="K82" s="16">
        <v>50</v>
      </c>
      <c r="L82" s="16">
        <v>50</v>
      </c>
      <c r="M82" s="64"/>
      <c r="N82" s="64"/>
      <c r="O82" s="63" t="str">
        <f t="shared" si="10"/>
        <v>YES</v>
      </c>
      <c r="P82" s="52"/>
      <c r="Q82" s="53">
        <f t="shared" si="11"/>
        <v>5000</v>
      </c>
      <c r="R82" s="54">
        <f t="shared" si="12"/>
        <v>2500</v>
      </c>
      <c r="S82" s="55" t="str">
        <f t="shared" si="13"/>
        <v xml:space="preserve"> </v>
      </c>
      <c r="T82" s="56"/>
      <c r="U82" s="57" t="str">
        <f t="shared" si="14"/>
        <v>100µg/100cm²</v>
      </c>
      <c r="V82" s="58">
        <f t="shared" si="15"/>
        <v>2500</v>
      </c>
      <c r="W82" s="58" t="str">
        <f t="shared" si="16"/>
        <v xml:space="preserve"> </v>
      </c>
      <c r="X82" s="59" t="str">
        <f t="shared" si="17"/>
        <v/>
      </c>
      <c r="Y82" s="60"/>
      <c r="Z82" s="64"/>
      <c r="AA82" s="64"/>
      <c r="AB82" s="64"/>
      <c r="AC82" s="64"/>
      <c r="AD82" s="64"/>
      <c r="AE82" s="16" t="s">
        <v>675</v>
      </c>
      <c r="AF82" s="16" t="s">
        <v>675</v>
      </c>
      <c r="AG82" s="64"/>
      <c r="AH82" s="64"/>
      <c r="AI82" s="64"/>
      <c r="AJ82" s="64"/>
      <c r="AK82" s="64"/>
      <c r="AL82" s="64"/>
      <c r="AM82" s="16" t="s">
        <v>675</v>
      </c>
      <c r="AN82" s="64"/>
      <c r="AO82" s="64"/>
      <c r="AP82" s="64"/>
      <c r="AQ82" s="64"/>
      <c r="AR82" s="64"/>
      <c r="AS82" s="64"/>
      <c r="AT82" s="64"/>
      <c r="AU82" s="82"/>
      <c r="AV82" s="82"/>
      <c r="AW82" s="82"/>
      <c r="AX82" s="16" t="s">
        <v>675</v>
      </c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5"/>
    </row>
    <row r="83" spans="1:72" ht="18" hidden="1" customHeight="1" x14ac:dyDescent="0.3">
      <c r="A83" s="66" t="s">
        <v>1550</v>
      </c>
      <c r="B83" s="87" t="s">
        <v>1551</v>
      </c>
      <c r="C83" s="87" t="s">
        <v>2066</v>
      </c>
      <c r="D83" s="16" t="s">
        <v>1243</v>
      </c>
      <c r="E83" s="50">
        <v>40</v>
      </c>
      <c r="F83" s="50">
        <v>0</v>
      </c>
      <c r="G83" s="16">
        <v>2</v>
      </c>
      <c r="H83" s="16">
        <v>150</v>
      </c>
      <c r="I83" s="16" t="s">
        <v>1016</v>
      </c>
      <c r="J83" s="16" t="s">
        <v>2386</v>
      </c>
      <c r="K83" s="16">
        <v>50</v>
      </c>
      <c r="L83" s="16">
        <v>50</v>
      </c>
      <c r="M83" s="64"/>
      <c r="N83" s="64"/>
      <c r="O83" s="63" t="str">
        <f t="shared" si="10"/>
        <v>YES</v>
      </c>
      <c r="P83" s="52"/>
      <c r="Q83" s="53">
        <f t="shared" si="11"/>
        <v>5000</v>
      </c>
      <c r="R83" s="54">
        <f t="shared" si="12"/>
        <v>2000</v>
      </c>
      <c r="S83" s="55" t="str">
        <f t="shared" si="13"/>
        <v xml:space="preserve"> </v>
      </c>
      <c r="T83" s="56"/>
      <c r="U83" s="57" t="str">
        <f t="shared" si="14"/>
        <v>100µg/100cm²</v>
      </c>
      <c r="V83" s="58">
        <f t="shared" si="15"/>
        <v>2000</v>
      </c>
      <c r="W83" s="58" t="str">
        <f t="shared" si="16"/>
        <v xml:space="preserve"> </v>
      </c>
      <c r="X83" s="59" t="str">
        <f t="shared" si="17"/>
        <v/>
      </c>
      <c r="Y83" s="60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16" t="s">
        <v>675</v>
      </c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5"/>
    </row>
    <row r="84" spans="1:72" ht="18" hidden="1" customHeight="1" x14ac:dyDescent="0.3">
      <c r="A84" s="47" t="s">
        <v>119</v>
      </c>
      <c r="B84" s="48" t="s">
        <v>120</v>
      </c>
      <c r="C84" s="16" t="s">
        <v>2067</v>
      </c>
      <c r="D84" s="49" t="s">
        <v>1104</v>
      </c>
      <c r="E84" s="50">
        <v>78.900000000000006</v>
      </c>
      <c r="F84" s="50">
        <v>0</v>
      </c>
      <c r="G84" s="61">
        <v>7</v>
      </c>
      <c r="H84" s="16" t="s">
        <v>1105</v>
      </c>
      <c r="I84" s="97" t="s">
        <v>1016</v>
      </c>
      <c r="J84" s="16" t="s">
        <v>2386</v>
      </c>
      <c r="K84" s="49">
        <v>50</v>
      </c>
      <c r="L84" s="49">
        <v>50</v>
      </c>
      <c r="M84" s="64"/>
      <c r="N84" s="64"/>
      <c r="O84" s="63" t="str">
        <f t="shared" si="10"/>
        <v>YES</v>
      </c>
      <c r="P84" s="52"/>
      <c r="Q84" s="53">
        <f t="shared" si="11"/>
        <v>5000</v>
      </c>
      <c r="R84" s="54">
        <f t="shared" si="12"/>
        <v>3945</v>
      </c>
      <c r="S84" s="55" t="str">
        <f t="shared" si="13"/>
        <v xml:space="preserve"> </v>
      </c>
      <c r="T84" s="56"/>
      <c r="U84" s="57" t="str">
        <f t="shared" si="14"/>
        <v>100µg/100cm²</v>
      </c>
      <c r="V84" s="58">
        <f t="shared" si="15"/>
        <v>3945</v>
      </c>
      <c r="W84" s="58" t="str">
        <f t="shared" si="16"/>
        <v xml:space="preserve"> </v>
      </c>
      <c r="X84" s="59" t="str">
        <f t="shared" si="17"/>
        <v/>
      </c>
      <c r="Y84" s="60"/>
      <c r="Z84" s="64"/>
      <c r="AA84" s="64"/>
      <c r="AB84" s="64"/>
      <c r="AC84" s="16" t="s">
        <v>675</v>
      </c>
      <c r="AD84" s="16" t="s">
        <v>675</v>
      </c>
      <c r="AE84" s="64"/>
      <c r="AF84" s="64"/>
      <c r="AG84" s="64"/>
      <c r="AH84" s="64"/>
      <c r="AI84" s="64"/>
      <c r="AJ84" s="64"/>
      <c r="AK84" s="64"/>
      <c r="AL84" s="64"/>
      <c r="AM84" s="16" t="s">
        <v>675</v>
      </c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5"/>
    </row>
    <row r="85" spans="1:72" ht="18" hidden="1" customHeight="1" x14ac:dyDescent="0.3">
      <c r="A85" s="47" t="s">
        <v>213</v>
      </c>
      <c r="B85" s="48" t="s">
        <v>214</v>
      </c>
      <c r="C85" s="16" t="s">
        <v>2068</v>
      </c>
      <c r="D85" s="49" t="s">
        <v>1174</v>
      </c>
      <c r="E85" s="50">
        <v>40.909999999999997</v>
      </c>
      <c r="F85" s="50">
        <v>0</v>
      </c>
      <c r="G85" s="61">
        <v>2</v>
      </c>
      <c r="H85" s="16">
        <v>176</v>
      </c>
      <c r="I85" s="48" t="s">
        <v>1016</v>
      </c>
      <c r="J85" s="16" t="s">
        <v>2386</v>
      </c>
      <c r="K85" s="49">
        <v>50</v>
      </c>
      <c r="L85" s="49">
        <v>50</v>
      </c>
      <c r="M85" s="64"/>
      <c r="N85" s="64"/>
      <c r="O85" s="63" t="str">
        <f t="shared" si="10"/>
        <v>YES</v>
      </c>
      <c r="P85" s="52"/>
      <c r="Q85" s="53">
        <f t="shared" si="11"/>
        <v>5000</v>
      </c>
      <c r="R85" s="54">
        <f t="shared" si="12"/>
        <v>2045.5</v>
      </c>
      <c r="S85" s="55" t="str">
        <f t="shared" si="13"/>
        <v xml:space="preserve"> </v>
      </c>
      <c r="T85" s="56"/>
      <c r="U85" s="57" t="str">
        <f t="shared" si="14"/>
        <v>100µg/100cm²</v>
      </c>
      <c r="V85" s="58">
        <f t="shared" si="15"/>
        <v>2045.5</v>
      </c>
      <c r="W85" s="58" t="str">
        <f t="shared" si="16"/>
        <v xml:space="preserve"> </v>
      </c>
      <c r="X85" s="59" t="str">
        <f t="shared" si="17"/>
        <v/>
      </c>
      <c r="Y85" s="60"/>
      <c r="Z85" s="64"/>
      <c r="AA85" s="64"/>
      <c r="AB85" s="64"/>
      <c r="AC85" s="64"/>
      <c r="AD85" s="64"/>
      <c r="AE85" s="16" t="s">
        <v>675</v>
      </c>
      <c r="AF85" s="16" t="s">
        <v>675</v>
      </c>
      <c r="AG85" s="64"/>
      <c r="AH85" s="64"/>
      <c r="AI85" s="16" t="s">
        <v>675</v>
      </c>
      <c r="AJ85" s="16" t="s">
        <v>675</v>
      </c>
      <c r="AK85" s="64"/>
      <c r="AL85" s="64"/>
      <c r="AM85" s="16" t="s">
        <v>675</v>
      </c>
      <c r="AN85" s="16" t="s">
        <v>675</v>
      </c>
      <c r="AO85" s="64"/>
      <c r="AP85" s="16" t="s">
        <v>675</v>
      </c>
      <c r="AQ85" s="64"/>
      <c r="AR85" s="64"/>
      <c r="AS85" s="16" t="s">
        <v>675</v>
      </c>
      <c r="AT85" s="16" t="s">
        <v>675</v>
      </c>
      <c r="AU85" s="64"/>
      <c r="AV85" s="64"/>
      <c r="AW85" s="64"/>
      <c r="AX85" s="16" t="s">
        <v>675</v>
      </c>
      <c r="AY85" s="64"/>
      <c r="AZ85" s="64"/>
      <c r="BA85" s="64"/>
      <c r="BB85" s="64"/>
      <c r="BC85" s="64"/>
      <c r="BD85" s="64"/>
      <c r="BE85" s="64"/>
      <c r="BF85" s="64"/>
      <c r="BG85" s="16" t="s">
        <v>675</v>
      </c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16" t="s">
        <v>675</v>
      </c>
      <c r="BT85" s="65"/>
    </row>
    <row r="86" spans="1:72" ht="18" hidden="1" customHeight="1" x14ac:dyDescent="0.3">
      <c r="A86" s="80" t="s">
        <v>837</v>
      </c>
      <c r="B86" s="76" t="s">
        <v>459</v>
      </c>
      <c r="C86" s="16" t="s">
        <v>1502</v>
      </c>
      <c r="D86" s="16" t="s">
        <v>1484</v>
      </c>
      <c r="E86" s="50">
        <v>50</v>
      </c>
      <c r="F86" s="50">
        <v>0</v>
      </c>
      <c r="G86" s="16">
        <v>1</v>
      </c>
      <c r="H86" s="16" t="s">
        <v>1023</v>
      </c>
      <c r="I86" s="16" t="s">
        <v>1016</v>
      </c>
      <c r="J86" s="16" t="s">
        <v>2382</v>
      </c>
      <c r="K86" s="16">
        <v>50</v>
      </c>
      <c r="L86" s="16">
        <v>50</v>
      </c>
      <c r="M86" s="64"/>
      <c r="N86" s="64"/>
      <c r="O86" s="63" t="str">
        <f t="shared" si="10"/>
        <v>YES</v>
      </c>
      <c r="P86" s="52"/>
      <c r="Q86" s="53">
        <f t="shared" si="11"/>
        <v>5000</v>
      </c>
      <c r="R86" s="54">
        <f t="shared" si="12"/>
        <v>2500</v>
      </c>
      <c r="S86" s="55" t="str">
        <f t="shared" si="13"/>
        <v xml:space="preserve"> </v>
      </c>
      <c r="T86" s="56"/>
      <c r="U86" s="57" t="str">
        <f t="shared" si="14"/>
        <v>100µg/100cm²</v>
      </c>
      <c r="V86" s="58">
        <f t="shared" si="15"/>
        <v>2500</v>
      </c>
      <c r="W86" s="58" t="str">
        <f t="shared" si="16"/>
        <v xml:space="preserve"> </v>
      </c>
      <c r="X86" s="59" t="str">
        <f t="shared" si="17"/>
        <v/>
      </c>
      <c r="Y86" s="60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16" t="s">
        <v>675</v>
      </c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16" t="s">
        <v>675</v>
      </c>
      <c r="BT86" s="65"/>
    </row>
    <row r="87" spans="1:72" ht="18" hidden="1" customHeight="1" x14ac:dyDescent="0.3">
      <c r="A87" s="84" t="s">
        <v>246</v>
      </c>
      <c r="B87" s="69" t="s">
        <v>247</v>
      </c>
      <c r="C87" s="70" t="s">
        <v>1173</v>
      </c>
      <c r="D87" s="70" t="s">
        <v>1174</v>
      </c>
      <c r="E87" s="50">
        <v>74.72</v>
      </c>
      <c r="F87" s="50">
        <v>0</v>
      </c>
      <c r="G87" s="61">
        <v>7</v>
      </c>
      <c r="H87" s="16" t="s">
        <v>1105</v>
      </c>
      <c r="I87" s="69" t="s">
        <v>1016</v>
      </c>
      <c r="J87" s="16" t="s">
        <v>1175</v>
      </c>
      <c r="K87" s="49">
        <v>900</v>
      </c>
      <c r="L87" s="49">
        <v>81000</v>
      </c>
      <c r="M87" s="62" t="s">
        <v>1014</v>
      </c>
      <c r="N87" s="51"/>
      <c r="O87" s="63" t="str">
        <f t="shared" si="10"/>
        <v>YES</v>
      </c>
      <c r="P87" s="52"/>
      <c r="Q87" s="53">
        <f t="shared" si="11"/>
        <v>5000</v>
      </c>
      <c r="R87" s="54">
        <f t="shared" si="12"/>
        <v>3736</v>
      </c>
      <c r="S87" s="55" t="str">
        <f t="shared" si="13"/>
        <v xml:space="preserve"> </v>
      </c>
      <c r="T87" s="56"/>
      <c r="U87" s="57" t="str">
        <f t="shared" si="14"/>
        <v>100µg/100cm²</v>
      </c>
      <c r="V87" s="58">
        <f t="shared" si="15"/>
        <v>3736</v>
      </c>
      <c r="W87" s="58" t="str">
        <f t="shared" si="16"/>
        <v xml:space="preserve"> </v>
      </c>
      <c r="X87" s="59" t="str">
        <f t="shared" si="17"/>
        <v/>
      </c>
      <c r="Y87" s="60"/>
      <c r="Z87" s="64"/>
      <c r="AA87" s="64"/>
      <c r="AB87" s="64"/>
      <c r="AC87" s="64"/>
      <c r="AD87" s="64"/>
      <c r="AE87" s="64"/>
      <c r="AF87" s="64"/>
      <c r="AG87" s="16" t="s">
        <v>675</v>
      </c>
      <c r="AH87" s="64"/>
      <c r="AI87" s="64"/>
      <c r="AJ87" s="64"/>
      <c r="AK87" s="64"/>
      <c r="AL87" s="64"/>
      <c r="AM87" s="16" t="s">
        <v>675</v>
      </c>
      <c r="AN87" s="64"/>
      <c r="AO87" s="16" t="s">
        <v>675</v>
      </c>
      <c r="AP87" s="16" t="s">
        <v>675</v>
      </c>
      <c r="AQ87" s="64"/>
      <c r="AR87" s="64"/>
      <c r="AS87" s="64"/>
      <c r="AT87" s="64"/>
      <c r="AU87" s="64"/>
      <c r="AV87" s="16" t="s">
        <v>675</v>
      </c>
      <c r="AW87" s="16" t="s">
        <v>675</v>
      </c>
      <c r="AX87" s="64"/>
      <c r="AY87" s="64"/>
      <c r="AZ87" s="64"/>
      <c r="BA87" s="64"/>
      <c r="BB87" s="64"/>
      <c r="BC87" s="16" t="s">
        <v>675</v>
      </c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5"/>
    </row>
    <row r="88" spans="1:72" ht="18" hidden="1" customHeight="1" x14ac:dyDescent="0.3">
      <c r="A88" s="47" t="s">
        <v>1825</v>
      </c>
      <c r="B88" s="48" t="s">
        <v>511</v>
      </c>
      <c r="C88" s="16" t="s">
        <v>2069</v>
      </c>
      <c r="D88" s="49" t="s">
        <v>1073</v>
      </c>
      <c r="E88" s="50">
        <v>55.17</v>
      </c>
      <c r="F88" s="50">
        <v>0</v>
      </c>
      <c r="G88" s="61">
        <v>6</v>
      </c>
      <c r="H88" s="16">
        <v>0.63</v>
      </c>
      <c r="I88" s="48" t="s">
        <v>1016</v>
      </c>
      <c r="J88" s="16" t="s">
        <v>1219</v>
      </c>
      <c r="K88" s="49">
        <v>6.3</v>
      </c>
      <c r="L88" s="49">
        <v>56.3</v>
      </c>
      <c r="M88" s="62" t="s">
        <v>1014</v>
      </c>
      <c r="N88" s="49" t="s">
        <v>2358</v>
      </c>
      <c r="O88" s="63" t="str">
        <f t="shared" si="10"/>
        <v>NO</v>
      </c>
      <c r="P88" s="52"/>
      <c r="Q88" s="53">
        <f t="shared" si="11"/>
        <v>6.3</v>
      </c>
      <c r="R88" s="54">
        <f t="shared" si="12"/>
        <v>3.4</v>
      </c>
      <c r="S88" s="55" t="str">
        <f t="shared" si="13"/>
        <v xml:space="preserve"> </v>
      </c>
      <c r="T88" s="56"/>
      <c r="U88" s="57" t="str">
        <f t="shared" si="14"/>
        <v>Mitigation</v>
      </c>
      <c r="V88" s="58">
        <f t="shared" si="15"/>
        <v>3.4</v>
      </c>
      <c r="W88" s="58" t="str">
        <f t="shared" si="16"/>
        <v xml:space="preserve"> </v>
      </c>
      <c r="X88" s="59" t="str">
        <f t="shared" si="17"/>
        <v/>
      </c>
      <c r="Y88" s="60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16" t="s">
        <v>675</v>
      </c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5"/>
    </row>
    <row r="89" spans="1:72" ht="18" hidden="1" customHeight="1" x14ac:dyDescent="0.3">
      <c r="A89" s="47" t="s">
        <v>681</v>
      </c>
      <c r="B89" s="48" t="s">
        <v>682</v>
      </c>
      <c r="C89" s="87" t="s">
        <v>1604</v>
      </c>
      <c r="D89" s="49" t="s">
        <v>1603</v>
      </c>
      <c r="E89" s="50">
        <v>52.68</v>
      </c>
      <c r="F89" s="50">
        <v>0</v>
      </c>
      <c r="G89" s="61">
        <v>3</v>
      </c>
      <c r="H89" s="16">
        <v>50</v>
      </c>
      <c r="I89" s="48" t="s">
        <v>1016</v>
      </c>
      <c r="J89" s="16" t="s">
        <v>1090</v>
      </c>
      <c r="K89" s="49">
        <v>2.0830000000000002</v>
      </c>
      <c r="L89" s="49">
        <v>18.75</v>
      </c>
      <c r="M89" s="62" t="s">
        <v>1053</v>
      </c>
      <c r="N89" s="62" t="s">
        <v>1089</v>
      </c>
      <c r="O89" s="63" t="str">
        <f t="shared" si="10"/>
        <v>NO</v>
      </c>
      <c r="P89" s="52"/>
      <c r="Q89" s="53">
        <f t="shared" si="11"/>
        <v>2.0830000000000002</v>
      </c>
      <c r="R89" s="54">
        <f t="shared" si="12"/>
        <v>1</v>
      </c>
      <c r="S89" s="55" t="str">
        <f t="shared" si="13"/>
        <v xml:space="preserve"> </v>
      </c>
      <c r="T89" s="56"/>
      <c r="U89" s="57" t="str">
        <f t="shared" si="14"/>
        <v>Mitigation</v>
      </c>
      <c r="V89" s="58">
        <f t="shared" si="15"/>
        <v>1</v>
      </c>
      <c r="W89" s="58" t="str">
        <f t="shared" si="16"/>
        <v xml:space="preserve"> </v>
      </c>
      <c r="X89" s="59" t="str">
        <f t="shared" si="17"/>
        <v/>
      </c>
      <c r="Y89" s="60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82"/>
      <c r="AV89" s="82"/>
      <c r="AW89" s="82"/>
      <c r="AX89" s="64"/>
      <c r="AY89" s="16" t="s">
        <v>675</v>
      </c>
      <c r="AZ89" s="16" t="s">
        <v>675</v>
      </c>
      <c r="BA89" s="16" t="s">
        <v>675</v>
      </c>
      <c r="BB89" s="16" t="s">
        <v>675</v>
      </c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5"/>
    </row>
    <row r="90" spans="1:72" ht="18" customHeight="1" x14ac:dyDescent="0.3">
      <c r="A90" s="47" t="s">
        <v>1826</v>
      </c>
      <c r="B90" s="48" t="s">
        <v>413</v>
      </c>
      <c r="C90" s="49" t="s">
        <v>2070</v>
      </c>
      <c r="D90" s="49" t="s">
        <v>1427</v>
      </c>
      <c r="E90" s="50">
        <v>0</v>
      </c>
      <c r="F90" s="50">
        <v>0</v>
      </c>
      <c r="G90" s="61">
        <v>7</v>
      </c>
      <c r="H90" s="16" t="s">
        <v>1428</v>
      </c>
      <c r="I90" s="48" t="s">
        <v>1012</v>
      </c>
      <c r="J90" s="16" t="s">
        <v>2386</v>
      </c>
      <c r="K90" s="49">
        <v>50</v>
      </c>
      <c r="L90" s="49">
        <v>50</v>
      </c>
      <c r="M90" s="64"/>
      <c r="N90" s="64"/>
      <c r="O90" s="63" t="str">
        <f t="shared" si="10"/>
        <v>YES</v>
      </c>
      <c r="P90" s="52"/>
      <c r="Q90" s="53">
        <f t="shared" si="11"/>
        <v>5000</v>
      </c>
      <c r="R90" s="54" t="str">
        <f t="shared" si="12"/>
        <v xml:space="preserve"> </v>
      </c>
      <c r="S90" s="55" t="str">
        <f t="shared" si="13"/>
        <v xml:space="preserve"> </v>
      </c>
      <c r="T90" s="56"/>
      <c r="U90" s="57" t="str">
        <f t="shared" si="14"/>
        <v xml:space="preserve"> </v>
      </c>
      <c r="V90" s="58" t="str">
        <f t="shared" si="15"/>
        <v xml:space="preserve"> </v>
      </c>
      <c r="W90" s="58" t="str">
        <f t="shared" si="16"/>
        <v xml:space="preserve"> </v>
      </c>
      <c r="X90" s="59" t="str">
        <f t="shared" si="17"/>
        <v>Mitigation</v>
      </c>
      <c r="Y90" s="60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16" t="s">
        <v>675</v>
      </c>
      <c r="AK90" s="64"/>
      <c r="AL90" s="64"/>
      <c r="AM90" s="16" t="s">
        <v>675</v>
      </c>
      <c r="AN90" s="64"/>
      <c r="AO90" s="64"/>
      <c r="AP90" s="64"/>
      <c r="AQ90" s="64"/>
      <c r="AR90" s="16" t="s">
        <v>675</v>
      </c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16" t="s">
        <v>675</v>
      </c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5"/>
    </row>
    <row r="91" spans="1:72" ht="18" hidden="1" customHeight="1" x14ac:dyDescent="0.3">
      <c r="A91" s="75" t="s">
        <v>248</v>
      </c>
      <c r="B91" s="76" t="s">
        <v>459</v>
      </c>
      <c r="C91" s="16" t="s">
        <v>1499</v>
      </c>
      <c r="D91" s="16" t="s">
        <v>1483</v>
      </c>
      <c r="E91" s="50">
        <v>50</v>
      </c>
      <c r="F91" s="50">
        <v>0</v>
      </c>
      <c r="G91" s="16">
        <v>1</v>
      </c>
      <c r="H91" s="16" t="s">
        <v>1023</v>
      </c>
      <c r="I91" s="16" t="s">
        <v>1016</v>
      </c>
      <c r="J91" s="16" t="s">
        <v>2382</v>
      </c>
      <c r="K91" s="16">
        <v>50</v>
      </c>
      <c r="L91" s="16">
        <v>50</v>
      </c>
      <c r="M91" s="64"/>
      <c r="N91" s="64"/>
      <c r="O91" s="63" t="str">
        <f t="shared" si="10"/>
        <v>YES</v>
      </c>
      <c r="P91" s="52"/>
      <c r="Q91" s="53">
        <f t="shared" si="11"/>
        <v>5000</v>
      </c>
      <c r="R91" s="54">
        <f t="shared" si="12"/>
        <v>2500</v>
      </c>
      <c r="S91" s="55" t="str">
        <f t="shared" si="13"/>
        <v xml:space="preserve"> </v>
      </c>
      <c r="T91" s="56"/>
      <c r="U91" s="57" t="str">
        <f t="shared" si="14"/>
        <v>100µg/100cm²</v>
      </c>
      <c r="V91" s="58">
        <f t="shared" si="15"/>
        <v>2500</v>
      </c>
      <c r="W91" s="58" t="str">
        <f t="shared" si="16"/>
        <v xml:space="preserve"> </v>
      </c>
      <c r="X91" s="59" t="str">
        <f t="shared" si="17"/>
        <v/>
      </c>
      <c r="Y91" s="60"/>
      <c r="Z91" s="64"/>
      <c r="AA91" s="64"/>
      <c r="AB91" s="64"/>
      <c r="AC91" s="64"/>
      <c r="AD91" s="64"/>
      <c r="AE91" s="64"/>
      <c r="AF91" s="16" t="s">
        <v>675</v>
      </c>
      <c r="AG91" s="64"/>
      <c r="AH91" s="64"/>
      <c r="AI91" s="64"/>
      <c r="AJ91" s="64"/>
      <c r="AK91" s="64"/>
      <c r="AL91" s="64"/>
      <c r="AM91" s="16" t="s">
        <v>675</v>
      </c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5"/>
    </row>
    <row r="92" spans="1:72" ht="18" hidden="1" customHeight="1" x14ac:dyDescent="0.3">
      <c r="A92" s="75" t="s">
        <v>982</v>
      </c>
      <c r="B92" s="76" t="s">
        <v>459</v>
      </c>
      <c r="C92" s="16" t="s">
        <v>1499</v>
      </c>
      <c r="D92" s="16" t="s">
        <v>1483</v>
      </c>
      <c r="E92" s="50">
        <v>50</v>
      </c>
      <c r="F92" s="50">
        <v>0</v>
      </c>
      <c r="G92" s="16">
        <v>1</v>
      </c>
      <c r="H92" s="16" t="s">
        <v>1023</v>
      </c>
      <c r="I92" s="16" t="s">
        <v>1016</v>
      </c>
      <c r="J92" s="16" t="s">
        <v>2382</v>
      </c>
      <c r="K92" s="16">
        <v>50</v>
      </c>
      <c r="L92" s="16">
        <v>50</v>
      </c>
      <c r="M92" s="64"/>
      <c r="N92" s="64"/>
      <c r="O92" s="63" t="str">
        <f t="shared" si="10"/>
        <v>YES</v>
      </c>
      <c r="P92" s="52"/>
      <c r="Q92" s="53">
        <f t="shared" si="11"/>
        <v>5000</v>
      </c>
      <c r="R92" s="54">
        <f t="shared" si="12"/>
        <v>2500</v>
      </c>
      <c r="S92" s="55" t="str">
        <f t="shared" si="13"/>
        <v xml:space="preserve"> </v>
      </c>
      <c r="T92" s="56"/>
      <c r="U92" s="57" t="str">
        <f t="shared" si="14"/>
        <v>100µg/100cm²</v>
      </c>
      <c r="V92" s="58">
        <f t="shared" si="15"/>
        <v>2500</v>
      </c>
      <c r="W92" s="58" t="str">
        <f t="shared" si="16"/>
        <v xml:space="preserve"> </v>
      </c>
      <c r="X92" s="59" t="str">
        <f t="shared" si="17"/>
        <v/>
      </c>
      <c r="Y92" s="60"/>
      <c r="Z92" s="64"/>
      <c r="AA92" s="64"/>
      <c r="AB92" s="64"/>
      <c r="AC92" s="64"/>
      <c r="AD92" s="64"/>
      <c r="AE92" s="64"/>
      <c r="AF92" s="16" t="s">
        <v>675</v>
      </c>
      <c r="AG92" s="64"/>
      <c r="AH92" s="64"/>
      <c r="AI92" s="64"/>
      <c r="AJ92" s="64"/>
      <c r="AK92" s="64"/>
      <c r="AL92" s="64"/>
      <c r="AM92" s="16" t="s">
        <v>675</v>
      </c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5"/>
    </row>
    <row r="93" spans="1:72" ht="18" hidden="1" customHeight="1" x14ac:dyDescent="0.3">
      <c r="A93" s="81" t="s">
        <v>867</v>
      </c>
      <c r="B93" s="76" t="s">
        <v>459</v>
      </c>
      <c r="C93" s="16" t="s">
        <v>1499</v>
      </c>
      <c r="D93" s="16" t="s">
        <v>1483</v>
      </c>
      <c r="E93" s="50">
        <v>50</v>
      </c>
      <c r="F93" s="50">
        <v>0</v>
      </c>
      <c r="G93" s="16">
        <v>1</v>
      </c>
      <c r="H93" s="16" t="s">
        <v>1023</v>
      </c>
      <c r="I93" s="16" t="s">
        <v>1016</v>
      </c>
      <c r="J93" s="16" t="s">
        <v>2382</v>
      </c>
      <c r="K93" s="16">
        <v>50</v>
      </c>
      <c r="L93" s="16">
        <v>50</v>
      </c>
      <c r="M93" s="64"/>
      <c r="N93" s="64"/>
      <c r="O93" s="63" t="str">
        <f t="shared" si="10"/>
        <v>YES</v>
      </c>
      <c r="P93" s="52"/>
      <c r="Q93" s="53">
        <f t="shared" si="11"/>
        <v>5000</v>
      </c>
      <c r="R93" s="54">
        <f t="shared" si="12"/>
        <v>2500</v>
      </c>
      <c r="S93" s="55" t="str">
        <f t="shared" si="13"/>
        <v xml:space="preserve"> </v>
      </c>
      <c r="T93" s="56"/>
      <c r="U93" s="57" t="str">
        <f t="shared" si="14"/>
        <v>100µg/100cm²</v>
      </c>
      <c r="V93" s="58">
        <f t="shared" si="15"/>
        <v>2500</v>
      </c>
      <c r="W93" s="58" t="str">
        <f t="shared" si="16"/>
        <v xml:space="preserve"> </v>
      </c>
      <c r="X93" s="59" t="str">
        <f t="shared" si="17"/>
        <v/>
      </c>
      <c r="Y93" s="60"/>
      <c r="Z93" s="64"/>
      <c r="AA93" s="64"/>
      <c r="AB93" s="64"/>
      <c r="AC93" s="64"/>
      <c r="AD93" s="64"/>
      <c r="AE93" s="64"/>
      <c r="AF93" s="16" t="s">
        <v>675</v>
      </c>
      <c r="AG93" s="64"/>
      <c r="AH93" s="64"/>
      <c r="AI93" s="64"/>
      <c r="AJ93" s="64"/>
      <c r="AK93" s="64"/>
      <c r="AL93" s="64"/>
      <c r="AM93" s="16" t="s">
        <v>675</v>
      </c>
      <c r="AN93" s="16" t="s">
        <v>675</v>
      </c>
      <c r="AO93" s="64"/>
      <c r="AP93" s="16" t="s">
        <v>675</v>
      </c>
      <c r="AQ93" s="64"/>
      <c r="AR93" s="64"/>
      <c r="AS93" s="64"/>
      <c r="AT93" s="64"/>
      <c r="AU93" s="83" t="s">
        <v>675</v>
      </c>
      <c r="AV93" s="83" t="s">
        <v>675</v>
      </c>
      <c r="AW93" s="16" t="s">
        <v>675</v>
      </c>
      <c r="AX93" s="64"/>
      <c r="AY93" s="64"/>
      <c r="AZ93" s="64"/>
      <c r="BA93" s="64"/>
      <c r="BB93" s="64"/>
      <c r="BC93" s="16" t="s">
        <v>675</v>
      </c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5"/>
    </row>
    <row r="94" spans="1:72" ht="18" hidden="1" customHeight="1" x14ac:dyDescent="0.3">
      <c r="A94" s="81" t="s">
        <v>868</v>
      </c>
      <c r="B94" s="76" t="s">
        <v>459</v>
      </c>
      <c r="C94" s="16" t="s">
        <v>1499</v>
      </c>
      <c r="D94" s="16" t="s">
        <v>1483</v>
      </c>
      <c r="E94" s="50">
        <v>50</v>
      </c>
      <c r="F94" s="50">
        <v>0</v>
      </c>
      <c r="G94" s="16">
        <v>1</v>
      </c>
      <c r="H94" s="16" t="s">
        <v>1023</v>
      </c>
      <c r="I94" s="16" t="s">
        <v>1016</v>
      </c>
      <c r="J94" s="16" t="s">
        <v>2382</v>
      </c>
      <c r="K94" s="16">
        <v>50</v>
      </c>
      <c r="L94" s="16">
        <v>50</v>
      </c>
      <c r="M94" s="64"/>
      <c r="N94" s="64"/>
      <c r="O94" s="63" t="str">
        <f t="shared" si="10"/>
        <v>YES</v>
      </c>
      <c r="P94" s="52"/>
      <c r="Q94" s="53">
        <f t="shared" si="11"/>
        <v>5000</v>
      </c>
      <c r="R94" s="54">
        <f t="shared" si="12"/>
        <v>2500</v>
      </c>
      <c r="S94" s="55" t="str">
        <f t="shared" si="13"/>
        <v xml:space="preserve"> </v>
      </c>
      <c r="T94" s="56"/>
      <c r="U94" s="57" t="str">
        <f t="shared" si="14"/>
        <v>100µg/100cm²</v>
      </c>
      <c r="V94" s="58">
        <f t="shared" si="15"/>
        <v>2500</v>
      </c>
      <c r="W94" s="58" t="str">
        <f t="shared" si="16"/>
        <v xml:space="preserve"> </v>
      </c>
      <c r="X94" s="59" t="str">
        <f t="shared" si="17"/>
        <v/>
      </c>
      <c r="Y94" s="60"/>
      <c r="Z94" s="64"/>
      <c r="AA94" s="64"/>
      <c r="AB94" s="64"/>
      <c r="AC94" s="64"/>
      <c r="AD94" s="64"/>
      <c r="AE94" s="64"/>
      <c r="AF94" s="16" t="s">
        <v>675</v>
      </c>
      <c r="AG94" s="64"/>
      <c r="AH94" s="64"/>
      <c r="AI94" s="64"/>
      <c r="AJ94" s="64"/>
      <c r="AK94" s="64"/>
      <c r="AL94" s="64"/>
      <c r="AM94" s="16" t="s">
        <v>675</v>
      </c>
      <c r="AN94" s="16" t="s">
        <v>675</v>
      </c>
      <c r="AO94" s="64"/>
      <c r="AP94" s="16" t="s">
        <v>675</v>
      </c>
      <c r="AQ94" s="64"/>
      <c r="AR94" s="64"/>
      <c r="AS94" s="64"/>
      <c r="AT94" s="64"/>
      <c r="AU94" s="83" t="s">
        <v>675</v>
      </c>
      <c r="AV94" s="83" t="s">
        <v>675</v>
      </c>
      <c r="AW94" s="16" t="s">
        <v>675</v>
      </c>
      <c r="AX94" s="64"/>
      <c r="AY94" s="64"/>
      <c r="AZ94" s="64"/>
      <c r="BA94" s="64"/>
      <c r="BB94" s="64"/>
      <c r="BC94" s="16" t="s">
        <v>675</v>
      </c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5"/>
    </row>
    <row r="95" spans="1:72" ht="18" hidden="1" customHeight="1" x14ac:dyDescent="0.3">
      <c r="A95" s="66" t="s">
        <v>738</v>
      </c>
      <c r="B95" s="69" t="s">
        <v>440</v>
      </c>
      <c r="C95" s="16" t="s">
        <v>2071</v>
      </c>
      <c r="D95" s="67" t="s">
        <v>1073</v>
      </c>
      <c r="E95" s="50">
        <v>55.715000000000003</v>
      </c>
      <c r="F95" s="50">
        <v>0</v>
      </c>
      <c r="G95" s="61">
        <v>3</v>
      </c>
      <c r="H95" s="16">
        <v>50</v>
      </c>
      <c r="I95" s="48" t="s">
        <v>1016</v>
      </c>
      <c r="J95" s="16" t="s">
        <v>1308</v>
      </c>
      <c r="K95" s="49">
        <v>5</v>
      </c>
      <c r="L95" s="49">
        <v>5</v>
      </c>
      <c r="M95" s="62" t="s">
        <v>1033</v>
      </c>
      <c r="N95" s="62" t="s">
        <v>1047</v>
      </c>
      <c r="O95" s="63" t="str">
        <f t="shared" si="10"/>
        <v>NO</v>
      </c>
      <c r="P95" s="52"/>
      <c r="Q95" s="53">
        <f t="shared" si="11"/>
        <v>5</v>
      </c>
      <c r="R95" s="54">
        <f t="shared" si="12"/>
        <v>2.7</v>
      </c>
      <c r="S95" s="55" t="str">
        <f t="shared" si="13"/>
        <v xml:space="preserve"> </v>
      </c>
      <c r="T95" s="56"/>
      <c r="U95" s="57" t="str">
        <f t="shared" si="14"/>
        <v>Mitigation</v>
      </c>
      <c r="V95" s="58">
        <f t="shared" si="15"/>
        <v>2.7</v>
      </c>
      <c r="W95" s="58" t="str">
        <f t="shared" si="16"/>
        <v xml:space="preserve"> </v>
      </c>
      <c r="X95" s="59" t="str">
        <f t="shared" si="17"/>
        <v/>
      </c>
      <c r="Y95" s="60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16" t="s">
        <v>675</v>
      </c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5"/>
    </row>
    <row r="96" spans="1:72" ht="18" hidden="1" customHeight="1" x14ac:dyDescent="0.3">
      <c r="A96" s="47" t="s">
        <v>61</v>
      </c>
      <c r="B96" s="48" t="s">
        <v>62</v>
      </c>
      <c r="C96" s="16" t="s">
        <v>2072</v>
      </c>
      <c r="D96" s="49" t="s">
        <v>1243</v>
      </c>
      <c r="E96" s="50">
        <v>40</v>
      </c>
      <c r="F96" s="50">
        <v>0</v>
      </c>
      <c r="G96" s="61">
        <v>2</v>
      </c>
      <c r="H96" s="16">
        <v>680</v>
      </c>
      <c r="I96" s="48" t="s">
        <v>1016</v>
      </c>
      <c r="J96" s="16" t="s">
        <v>2386</v>
      </c>
      <c r="K96" s="49">
        <v>50</v>
      </c>
      <c r="L96" s="49">
        <v>50</v>
      </c>
      <c r="M96" s="64"/>
      <c r="N96" s="64"/>
      <c r="O96" s="63" t="str">
        <f t="shared" si="10"/>
        <v>YES</v>
      </c>
      <c r="P96" s="52"/>
      <c r="Q96" s="53">
        <f t="shared" si="11"/>
        <v>5000</v>
      </c>
      <c r="R96" s="54">
        <f t="shared" si="12"/>
        <v>2000</v>
      </c>
      <c r="S96" s="55" t="str">
        <f t="shared" si="13"/>
        <v xml:space="preserve"> </v>
      </c>
      <c r="T96" s="56"/>
      <c r="U96" s="57" t="str">
        <f t="shared" si="14"/>
        <v>100µg/100cm²</v>
      </c>
      <c r="V96" s="58">
        <f t="shared" si="15"/>
        <v>2000</v>
      </c>
      <c r="W96" s="58" t="str">
        <f t="shared" si="16"/>
        <v xml:space="preserve"> </v>
      </c>
      <c r="X96" s="59" t="str">
        <f t="shared" si="17"/>
        <v/>
      </c>
      <c r="Y96" s="60"/>
      <c r="Z96" s="64"/>
      <c r="AA96" s="64"/>
      <c r="AB96" s="16" t="s">
        <v>675</v>
      </c>
      <c r="AC96" s="64"/>
      <c r="AD96" s="64"/>
      <c r="AE96" s="64"/>
      <c r="AF96" s="64"/>
      <c r="AG96" s="64"/>
      <c r="AH96" s="64"/>
      <c r="AI96" s="64"/>
      <c r="AJ96" s="64"/>
      <c r="AK96" s="16" t="s">
        <v>675</v>
      </c>
      <c r="AL96" s="16" t="s">
        <v>675</v>
      </c>
      <c r="AM96" s="16" t="s">
        <v>675</v>
      </c>
      <c r="AN96" s="64"/>
      <c r="AO96" s="64"/>
      <c r="AP96" s="64"/>
      <c r="AQ96" s="64"/>
      <c r="AR96" s="16" t="s">
        <v>675</v>
      </c>
      <c r="AS96" s="64"/>
      <c r="AT96" s="16" t="s">
        <v>675</v>
      </c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16" t="s">
        <v>675</v>
      </c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16" t="s">
        <v>675</v>
      </c>
      <c r="BT96" s="65"/>
    </row>
    <row r="97" spans="1:72" ht="18" hidden="1" customHeight="1" x14ac:dyDescent="0.3">
      <c r="A97" s="47" t="s">
        <v>2249</v>
      </c>
      <c r="B97" s="49" t="s">
        <v>2250</v>
      </c>
      <c r="C97" s="49" t="s">
        <v>2251</v>
      </c>
      <c r="D97" s="49" t="s">
        <v>1114</v>
      </c>
      <c r="E97" s="50">
        <v>46.6</v>
      </c>
      <c r="F97" s="50">
        <v>0</v>
      </c>
      <c r="G97" s="173">
        <v>2</v>
      </c>
      <c r="H97" s="176">
        <v>103.1</v>
      </c>
      <c r="I97" s="177" t="s">
        <v>2247</v>
      </c>
      <c r="J97" s="16" t="s">
        <v>2252</v>
      </c>
      <c r="K97" s="49">
        <v>4.57</v>
      </c>
      <c r="L97" s="49">
        <v>41.13</v>
      </c>
      <c r="M97" s="174" t="s">
        <v>1284</v>
      </c>
      <c r="N97" s="174" t="s">
        <v>1629</v>
      </c>
      <c r="O97" s="63" t="str">
        <f t="shared" si="10"/>
        <v>NO</v>
      </c>
      <c r="P97" s="73"/>
      <c r="Q97" s="53">
        <f t="shared" si="11"/>
        <v>4.57</v>
      </c>
      <c r="R97" s="54">
        <f t="shared" si="12"/>
        <v>2.1</v>
      </c>
      <c r="S97" s="55" t="str">
        <f t="shared" si="13"/>
        <v xml:space="preserve"> </v>
      </c>
      <c r="T97" s="105"/>
      <c r="U97" s="57" t="str">
        <f t="shared" si="14"/>
        <v>Mitigation</v>
      </c>
      <c r="V97" s="58">
        <f t="shared" si="15"/>
        <v>2.1</v>
      </c>
      <c r="W97" s="57" t="str">
        <f t="shared" si="16"/>
        <v xml:space="preserve"> </v>
      </c>
      <c r="X97" s="59" t="str">
        <f t="shared" si="17"/>
        <v/>
      </c>
      <c r="Y97" s="106"/>
      <c r="Z97" s="16" t="s">
        <v>1987</v>
      </c>
      <c r="AA97" s="16" t="s">
        <v>1987</v>
      </c>
      <c r="AB97" s="16" t="s">
        <v>1987</v>
      </c>
      <c r="AC97" s="16" t="s">
        <v>1987</v>
      </c>
      <c r="AD97" s="16" t="s">
        <v>1987</v>
      </c>
      <c r="AE97" s="16" t="s">
        <v>1987</v>
      </c>
      <c r="AF97" s="16" t="s">
        <v>1987</v>
      </c>
      <c r="AG97" s="16" t="s">
        <v>1987</v>
      </c>
      <c r="AH97" s="16" t="s">
        <v>1987</v>
      </c>
      <c r="AI97" s="16" t="s">
        <v>1987</v>
      </c>
      <c r="AJ97" s="16" t="s">
        <v>1987</v>
      </c>
      <c r="AK97" s="16" t="s">
        <v>1987</v>
      </c>
      <c r="AL97" s="16" t="s">
        <v>1987</v>
      </c>
      <c r="AM97" s="16" t="s">
        <v>1987</v>
      </c>
      <c r="AN97" s="16" t="s">
        <v>1987</v>
      </c>
      <c r="AO97" s="16" t="s">
        <v>1987</v>
      </c>
      <c r="AP97" s="16" t="s">
        <v>1987</v>
      </c>
      <c r="AQ97" s="16" t="s">
        <v>1987</v>
      </c>
      <c r="AR97" s="16" t="s">
        <v>1987</v>
      </c>
      <c r="AS97" s="16" t="s">
        <v>1987</v>
      </c>
      <c r="AT97" s="16" t="s">
        <v>1987</v>
      </c>
      <c r="AU97" s="16" t="s">
        <v>1987</v>
      </c>
      <c r="AV97" s="16" t="s">
        <v>1987</v>
      </c>
      <c r="AW97" s="16" t="s">
        <v>1987</v>
      </c>
      <c r="AX97" s="16" t="s">
        <v>1987</v>
      </c>
      <c r="AY97" s="16" t="s">
        <v>1987</v>
      </c>
      <c r="AZ97" s="16" t="s">
        <v>1987</v>
      </c>
      <c r="BA97" s="16" t="s">
        <v>1987</v>
      </c>
      <c r="BB97" s="16" t="s">
        <v>1987</v>
      </c>
      <c r="BC97" s="16" t="s">
        <v>1987</v>
      </c>
      <c r="BD97" s="16" t="s">
        <v>1987</v>
      </c>
      <c r="BE97" s="16" t="s">
        <v>1987</v>
      </c>
      <c r="BF97" s="16" t="s">
        <v>1987</v>
      </c>
      <c r="BG97" s="16" t="s">
        <v>1987</v>
      </c>
      <c r="BH97" s="16" t="s">
        <v>1987</v>
      </c>
      <c r="BI97" s="16" t="s">
        <v>1987</v>
      </c>
      <c r="BJ97" s="16" t="s">
        <v>1987</v>
      </c>
      <c r="BK97" s="16" t="s">
        <v>1987</v>
      </c>
      <c r="BL97" s="16" t="s">
        <v>1987</v>
      </c>
      <c r="BM97" s="16" t="s">
        <v>1987</v>
      </c>
      <c r="BN97" s="16" t="s">
        <v>1987</v>
      </c>
      <c r="BO97" s="16" t="s">
        <v>1987</v>
      </c>
      <c r="BP97" s="16" t="s">
        <v>1987</v>
      </c>
      <c r="BQ97" s="16" t="s">
        <v>1987</v>
      </c>
      <c r="BR97" s="16" t="s">
        <v>1987</v>
      </c>
      <c r="BS97" s="16" t="s">
        <v>1987</v>
      </c>
      <c r="BT97" s="16" t="s">
        <v>1987</v>
      </c>
    </row>
    <row r="98" spans="1:72" ht="18" hidden="1" customHeight="1" x14ac:dyDescent="0.3">
      <c r="A98" s="47" t="s">
        <v>2253</v>
      </c>
      <c r="B98" s="49" t="s">
        <v>2254</v>
      </c>
      <c r="C98" s="49" t="s">
        <v>2328</v>
      </c>
      <c r="D98" s="49" t="s">
        <v>1114</v>
      </c>
      <c r="E98" s="50">
        <v>18.82</v>
      </c>
      <c r="F98" s="50">
        <v>0</v>
      </c>
      <c r="G98" s="173">
        <v>2</v>
      </c>
      <c r="H98" s="173">
        <v>720</v>
      </c>
      <c r="I98" s="48" t="s">
        <v>1016</v>
      </c>
      <c r="J98" s="16" t="s">
        <v>2255</v>
      </c>
      <c r="K98" s="49">
        <v>1.5</v>
      </c>
      <c r="L98" s="49">
        <v>1.5</v>
      </c>
      <c r="M98" s="174" t="s">
        <v>1036</v>
      </c>
      <c r="N98" s="174" t="s">
        <v>2363</v>
      </c>
      <c r="O98" s="63" t="str">
        <f t="shared" si="10"/>
        <v>NO</v>
      </c>
      <c r="P98" s="73"/>
      <c r="Q98" s="53">
        <f t="shared" si="11"/>
        <v>1.5</v>
      </c>
      <c r="R98" s="54">
        <f t="shared" si="12"/>
        <v>0.2</v>
      </c>
      <c r="S98" s="55" t="str">
        <f t="shared" si="13"/>
        <v xml:space="preserve"> </v>
      </c>
      <c r="T98" s="105"/>
      <c r="U98" s="57" t="str">
        <f t="shared" si="14"/>
        <v>Mitigation</v>
      </c>
      <c r="V98" s="58">
        <f t="shared" si="15"/>
        <v>0.2</v>
      </c>
      <c r="W98" s="57" t="str">
        <f t="shared" si="16"/>
        <v xml:space="preserve"> </v>
      </c>
      <c r="X98" s="59" t="str">
        <f t="shared" si="17"/>
        <v/>
      </c>
      <c r="Y98" s="106"/>
      <c r="Z98" s="16" t="s">
        <v>1987</v>
      </c>
      <c r="AA98" s="16" t="s">
        <v>1987</v>
      </c>
      <c r="AB98" s="16" t="s">
        <v>1987</v>
      </c>
      <c r="AC98" s="16" t="s">
        <v>1987</v>
      </c>
      <c r="AD98" s="16" t="s">
        <v>1987</v>
      </c>
      <c r="AE98" s="16" t="s">
        <v>1987</v>
      </c>
      <c r="AF98" s="16" t="s">
        <v>1987</v>
      </c>
      <c r="AG98" s="16" t="s">
        <v>1987</v>
      </c>
      <c r="AH98" s="16" t="s">
        <v>1987</v>
      </c>
      <c r="AI98" s="16" t="s">
        <v>1987</v>
      </c>
      <c r="AJ98" s="16" t="s">
        <v>1987</v>
      </c>
      <c r="AK98" s="16" t="s">
        <v>1987</v>
      </c>
      <c r="AL98" s="16" t="s">
        <v>1987</v>
      </c>
      <c r="AM98" s="16" t="s">
        <v>1987</v>
      </c>
      <c r="AN98" s="16" t="s">
        <v>1987</v>
      </c>
      <c r="AO98" s="16" t="s">
        <v>1987</v>
      </c>
      <c r="AP98" s="16" t="s">
        <v>1987</v>
      </c>
      <c r="AQ98" s="16" t="s">
        <v>1987</v>
      </c>
      <c r="AR98" s="16" t="s">
        <v>1987</v>
      </c>
      <c r="AS98" s="16" t="s">
        <v>1987</v>
      </c>
      <c r="AT98" s="16" t="s">
        <v>1987</v>
      </c>
      <c r="AU98" s="16" t="s">
        <v>1987</v>
      </c>
      <c r="AV98" s="16" t="s">
        <v>1987</v>
      </c>
      <c r="AW98" s="16" t="s">
        <v>1987</v>
      </c>
      <c r="AX98" s="16" t="s">
        <v>1987</v>
      </c>
      <c r="AY98" s="16" t="s">
        <v>1987</v>
      </c>
      <c r="AZ98" s="16" t="s">
        <v>1987</v>
      </c>
      <c r="BA98" s="16" t="s">
        <v>1987</v>
      </c>
      <c r="BB98" s="16" t="s">
        <v>1987</v>
      </c>
      <c r="BC98" s="16" t="s">
        <v>1987</v>
      </c>
      <c r="BD98" s="16" t="s">
        <v>1987</v>
      </c>
      <c r="BE98" s="16" t="s">
        <v>1987</v>
      </c>
      <c r="BF98" s="16" t="s">
        <v>1987</v>
      </c>
      <c r="BG98" s="16" t="s">
        <v>1987</v>
      </c>
      <c r="BH98" s="16" t="s">
        <v>1987</v>
      </c>
      <c r="BI98" s="16" t="s">
        <v>1987</v>
      </c>
      <c r="BJ98" s="16" t="s">
        <v>1987</v>
      </c>
      <c r="BK98" s="16" t="s">
        <v>1987</v>
      </c>
      <c r="BL98" s="16" t="s">
        <v>1987</v>
      </c>
      <c r="BM98" s="16" t="s">
        <v>1987</v>
      </c>
      <c r="BN98" s="16" t="s">
        <v>1987</v>
      </c>
      <c r="BO98" s="16" t="s">
        <v>1987</v>
      </c>
      <c r="BP98" s="16" t="s">
        <v>1987</v>
      </c>
      <c r="BQ98" s="16" t="s">
        <v>1987</v>
      </c>
      <c r="BR98" s="16" t="s">
        <v>1987</v>
      </c>
      <c r="BS98" s="16" t="s">
        <v>1987</v>
      </c>
      <c r="BT98" s="16" t="s">
        <v>1987</v>
      </c>
    </row>
    <row r="99" spans="1:72" ht="18" customHeight="1" x14ac:dyDescent="0.3">
      <c r="A99" s="47" t="s">
        <v>309</v>
      </c>
      <c r="B99" s="48" t="s">
        <v>310</v>
      </c>
      <c r="C99" s="49" t="s">
        <v>1143</v>
      </c>
      <c r="D99" s="49" t="s">
        <v>1114</v>
      </c>
      <c r="E99" s="50">
        <v>0</v>
      </c>
      <c r="F99" s="50">
        <v>0</v>
      </c>
      <c r="G99" s="61">
        <v>2</v>
      </c>
      <c r="H99" s="16">
        <v>375</v>
      </c>
      <c r="I99" s="48" t="s">
        <v>1016</v>
      </c>
      <c r="J99" s="16" t="s">
        <v>1144</v>
      </c>
      <c r="K99" s="49">
        <v>492</v>
      </c>
      <c r="L99" s="49">
        <v>4428</v>
      </c>
      <c r="M99" s="62" t="s">
        <v>1014</v>
      </c>
      <c r="N99" s="51"/>
      <c r="O99" s="63" t="str">
        <f t="shared" si="10"/>
        <v>YES</v>
      </c>
      <c r="P99" s="52"/>
      <c r="Q99" s="53">
        <f t="shared" si="11"/>
        <v>5000</v>
      </c>
      <c r="R99" s="54" t="str">
        <f t="shared" si="12"/>
        <v xml:space="preserve"> </v>
      </c>
      <c r="S99" s="55" t="str">
        <f t="shared" si="13"/>
        <v xml:space="preserve"> </v>
      </c>
      <c r="T99" s="56"/>
      <c r="U99" s="57" t="str">
        <f t="shared" si="14"/>
        <v xml:space="preserve"> </v>
      </c>
      <c r="V99" s="58" t="str">
        <f t="shared" si="15"/>
        <v xml:space="preserve"> </v>
      </c>
      <c r="W99" s="58" t="str">
        <f t="shared" si="16"/>
        <v xml:space="preserve"> </v>
      </c>
      <c r="X99" s="59" t="str">
        <f t="shared" si="17"/>
        <v>Water criteria (conductivity)</v>
      </c>
      <c r="Y99" s="60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16" t="s">
        <v>675</v>
      </c>
      <c r="AK99" s="64"/>
      <c r="AL99" s="64"/>
      <c r="AM99" s="16" t="s">
        <v>675</v>
      </c>
      <c r="AN99" s="64"/>
      <c r="AO99" s="64"/>
      <c r="AP99" s="64"/>
      <c r="AQ99" s="16" t="s">
        <v>675</v>
      </c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5"/>
    </row>
    <row r="100" spans="1:72" ht="18" hidden="1" customHeight="1" x14ac:dyDescent="0.3">
      <c r="A100" s="98" t="s">
        <v>572</v>
      </c>
      <c r="B100" s="87" t="s">
        <v>1503</v>
      </c>
      <c r="C100" s="87" t="s">
        <v>1974</v>
      </c>
      <c r="D100" s="16" t="s">
        <v>1552</v>
      </c>
      <c r="E100" s="50">
        <v>30</v>
      </c>
      <c r="F100" s="50">
        <v>0</v>
      </c>
      <c r="G100" s="16">
        <v>1</v>
      </c>
      <c r="H100" s="16" t="s">
        <v>1418</v>
      </c>
      <c r="I100" s="16" t="s">
        <v>1016</v>
      </c>
      <c r="J100" s="16" t="s">
        <v>2382</v>
      </c>
      <c r="K100" s="16">
        <v>50</v>
      </c>
      <c r="L100" s="16">
        <v>50</v>
      </c>
      <c r="M100" s="64"/>
      <c r="N100" s="64"/>
      <c r="O100" s="63" t="str">
        <f t="shared" si="10"/>
        <v>YES</v>
      </c>
      <c r="P100" s="52"/>
      <c r="Q100" s="53">
        <f t="shared" si="11"/>
        <v>5000</v>
      </c>
      <c r="R100" s="54">
        <f t="shared" si="12"/>
        <v>1500</v>
      </c>
      <c r="S100" s="55" t="str">
        <f t="shared" si="13"/>
        <v xml:space="preserve"> </v>
      </c>
      <c r="T100" s="56"/>
      <c r="U100" s="57" t="str">
        <f t="shared" si="14"/>
        <v>100µg/100cm²</v>
      </c>
      <c r="V100" s="58">
        <f t="shared" si="15"/>
        <v>1500</v>
      </c>
      <c r="W100" s="58" t="str">
        <f t="shared" si="16"/>
        <v xml:space="preserve"> </v>
      </c>
      <c r="X100" s="59" t="str">
        <f t="shared" si="17"/>
        <v/>
      </c>
      <c r="Y100" s="60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16" t="s">
        <v>675</v>
      </c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5"/>
    </row>
    <row r="101" spans="1:72" ht="18" hidden="1" customHeight="1" x14ac:dyDescent="0.3">
      <c r="A101" s="98" t="s">
        <v>553</v>
      </c>
      <c r="B101" s="99" t="s">
        <v>554</v>
      </c>
      <c r="C101" s="87" t="s">
        <v>1589</v>
      </c>
      <c r="D101" s="16" t="s">
        <v>1487</v>
      </c>
      <c r="E101" s="50">
        <v>79.95</v>
      </c>
      <c r="F101" s="50">
        <v>0</v>
      </c>
      <c r="G101" s="16">
        <v>5</v>
      </c>
      <c r="H101" s="68" t="s">
        <v>1588</v>
      </c>
      <c r="I101" s="99" t="s">
        <v>1016</v>
      </c>
      <c r="J101" s="16" t="s">
        <v>2382</v>
      </c>
      <c r="K101" s="16">
        <v>50</v>
      </c>
      <c r="L101" s="16">
        <v>50</v>
      </c>
      <c r="M101" s="64"/>
      <c r="N101" s="64"/>
      <c r="O101" s="63" t="str">
        <f t="shared" ref="O101:O118" si="18">IF(AND(ISBLANK(K101),ISBLANK(N101))," ",IF(ISBLANK(N101),"YES","NO"))</f>
        <v>YES</v>
      </c>
      <c r="P101" s="52"/>
      <c r="Q101" s="53">
        <f t="shared" si="11"/>
        <v>5000</v>
      </c>
      <c r="R101" s="54">
        <f t="shared" si="12"/>
        <v>3997.5</v>
      </c>
      <c r="S101" s="55" t="str">
        <f t="shared" si="13"/>
        <v xml:space="preserve"> </v>
      </c>
      <c r="T101" s="56"/>
      <c r="U101" s="57" t="str">
        <f t="shared" si="14"/>
        <v>100µg/100cm²</v>
      </c>
      <c r="V101" s="58">
        <f t="shared" si="15"/>
        <v>3997.5</v>
      </c>
      <c r="W101" s="58" t="str">
        <f t="shared" si="16"/>
        <v xml:space="preserve"> </v>
      </c>
      <c r="X101" s="59" t="str">
        <f t="shared" si="17"/>
        <v/>
      </c>
      <c r="Y101" s="60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16" t="s">
        <v>675</v>
      </c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5"/>
    </row>
    <row r="102" spans="1:72" ht="18" hidden="1" customHeight="1" x14ac:dyDescent="0.3">
      <c r="A102" s="47" t="s">
        <v>712</v>
      </c>
      <c r="B102" s="48" t="s">
        <v>615</v>
      </c>
      <c r="C102" s="49" t="s">
        <v>1215</v>
      </c>
      <c r="D102" s="49" t="s">
        <v>1216</v>
      </c>
      <c r="E102" s="50">
        <v>71.959999999999994</v>
      </c>
      <c r="F102" s="50">
        <v>0</v>
      </c>
      <c r="G102" s="61">
        <v>1</v>
      </c>
      <c r="H102" s="16" t="s">
        <v>1217</v>
      </c>
      <c r="I102" s="48" t="s">
        <v>1189</v>
      </c>
      <c r="J102" s="16" t="s">
        <v>1218</v>
      </c>
      <c r="K102" s="49">
        <v>50</v>
      </c>
      <c r="L102" s="49">
        <v>450</v>
      </c>
      <c r="M102" s="62" t="s">
        <v>1081</v>
      </c>
      <c r="N102" s="51"/>
      <c r="O102" s="63" t="str">
        <f t="shared" si="18"/>
        <v>YES</v>
      </c>
      <c r="P102" s="52"/>
      <c r="Q102" s="53">
        <f t="shared" si="11"/>
        <v>5000</v>
      </c>
      <c r="R102" s="54">
        <f t="shared" si="12"/>
        <v>3598</v>
      </c>
      <c r="S102" s="55" t="str">
        <f t="shared" si="13"/>
        <v xml:space="preserve"> </v>
      </c>
      <c r="T102" s="56"/>
      <c r="U102" s="57" t="str">
        <f t="shared" si="14"/>
        <v>100µg/100cm²</v>
      </c>
      <c r="V102" s="58">
        <f t="shared" si="15"/>
        <v>3598</v>
      </c>
      <c r="W102" s="58" t="str">
        <f t="shared" si="16"/>
        <v xml:space="preserve"> </v>
      </c>
      <c r="X102" s="59" t="str">
        <f t="shared" si="17"/>
        <v/>
      </c>
      <c r="Y102" s="60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16" t="s">
        <v>675</v>
      </c>
      <c r="AV102" s="64"/>
      <c r="AW102" s="16" t="s">
        <v>675</v>
      </c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5"/>
    </row>
    <row r="103" spans="1:72" ht="18" hidden="1" customHeight="1" x14ac:dyDescent="0.3">
      <c r="A103" s="190" t="s">
        <v>1862</v>
      </c>
      <c r="B103" s="48" t="s">
        <v>1863</v>
      </c>
      <c r="C103" s="16" t="s">
        <v>1985</v>
      </c>
      <c r="D103" s="16" t="s">
        <v>1011</v>
      </c>
      <c r="E103" s="50">
        <v>68.849999999999994</v>
      </c>
      <c r="F103" s="50">
        <v>0</v>
      </c>
      <c r="G103" s="16">
        <v>5</v>
      </c>
      <c r="H103" s="16">
        <v>3.5</v>
      </c>
      <c r="I103" s="16" t="s">
        <v>1016</v>
      </c>
      <c r="J103" s="16" t="s">
        <v>2376</v>
      </c>
      <c r="K103" s="16">
        <v>20</v>
      </c>
      <c r="L103" s="16">
        <v>20</v>
      </c>
      <c r="M103" s="16" t="s">
        <v>1992</v>
      </c>
      <c r="N103" s="16" t="s">
        <v>2377</v>
      </c>
      <c r="O103" s="63" t="str">
        <f t="shared" si="18"/>
        <v>NO</v>
      </c>
      <c r="P103" s="52"/>
      <c r="Q103" s="53">
        <f t="shared" si="11"/>
        <v>20</v>
      </c>
      <c r="R103" s="54">
        <f t="shared" si="12"/>
        <v>13.7</v>
      </c>
      <c r="S103" s="55" t="str">
        <f t="shared" si="13"/>
        <v xml:space="preserve"> </v>
      </c>
      <c r="T103" s="56"/>
      <c r="U103" s="57" t="str">
        <f t="shared" si="14"/>
        <v>Mitigation</v>
      </c>
      <c r="V103" s="58">
        <f t="shared" si="15"/>
        <v>13.7</v>
      </c>
      <c r="W103" s="58" t="str">
        <f t="shared" si="16"/>
        <v xml:space="preserve"> </v>
      </c>
      <c r="X103" s="59" t="str">
        <f t="shared" si="17"/>
        <v/>
      </c>
      <c r="Y103" s="60"/>
      <c r="Z103" s="16" t="s">
        <v>1987</v>
      </c>
      <c r="AA103" s="16" t="s">
        <v>1987</v>
      </c>
      <c r="AB103" s="16" t="s">
        <v>1987</v>
      </c>
      <c r="AC103" s="16" t="s">
        <v>1987</v>
      </c>
      <c r="AD103" s="16" t="s">
        <v>1987</v>
      </c>
      <c r="AE103" s="16" t="s">
        <v>1987</v>
      </c>
      <c r="AF103" s="16" t="s">
        <v>1987</v>
      </c>
      <c r="AG103" s="16" t="s">
        <v>1987</v>
      </c>
      <c r="AH103" s="16" t="s">
        <v>1987</v>
      </c>
      <c r="AI103" s="16" t="s">
        <v>1987</v>
      </c>
      <c r="AJ103" s="16" t="s">
        <v>1987</v>
      </c>
      <c r="AK103" s="16" t="s">
        <v>1987</v>
      </c>
      <c r="AL103" s="16" t="s">
        <v>1987</v>
      </c>
      <c r="AM103" s="16" t="s">
        <v>1987</v>
      </c>
      <c r="AN103" s="16" t="s">
        <v>1987</v>
      </c>
      <c r="AO103" s="16" t="s">
        <v>1987</v>
      </c>
      <c r="AP103" s="16" t="s">
        <v>1987</v>
      </c>
      <c r="AQ103" s="16" t="s">
        <v>1987</v>
      </c>
      <c r="AR103" s="16" t="s">
        <v>1987</v>
      </c>
      <c r="AS103" s="16" t="s">
        <v>1987</v>
      </c>
      <c r="AT103" s="16" t="s">
        <v>1987</v>
      </c>
      <c r="AU103" s="16" t="s">
        <v>1987</v>
      </c>
      <c r="AV103" s="16" t="s">
        <v>1987</v>
      </c>
      <c r="AW103" s="16" t="s">
        <v>1987</v>
      </c>
      <c r="AX103" s="16" t="s">
        <v>1987</v>
      </c>
      <c r="AY103" s="16" t="s">
        <v>1987</v>
      </c>
      <c r="AZ103" s="16" t="s">
        <v>1987</v>
      </c>
      <c r="BA103" s="16" t="s">
        <v>1987</v>
      </c>
      <c r="BB103" s="16" t="s">
        <v>1987</v>
      </c>
      <c r="BC103" s="16" t="s">
        <v>1987</v>
      </c>
      <c r="BD103" s="16" t="s">
        <v>1987</v>
      </c>
      <c r="BE103" s="16" t="s">
        <v>1987</v>
      </c>
      <c r="BF103" s="16" t="s">
        <v>1987</v>
      </c>
      <c r="BG103" s="16" t="s">
        <v>1987</v>
      </c>
      <c r="BH103" s="16" t="s">
        <v>1987</v>
      </c>
      <c r="BI103" s="16" t="s">
        <v>1987</v>
      </c>
      <c r="BJ103" s="16" t="s">
        <v>1987</v>
      </c>
      <c r="BK103" s="16" t="s">
        <v>1987</v>
      </c>
      <c r="BL103" s="16" t="s">
        <v>1987</v>
      </c>
      <c r="BM103" s="16" t="s">
        <v>1987</v>
      </c>
      <c r="BN103" s="16" t="s">
        <v>1987</v>
      </c>
      <c r="BO103" s="16" t="s">
        <v>1987</v>
      </c>
      <c r="BP103" s="16" t="s">
        <v>1987</v>
      </c>
      <c r="BQ103" s="16" t="s">
        <v>1987</v>
      </c>
      <c r="BR103" s="16" t="s">
        <v>1987</v>
      </c>
      <c r="BS103" s="16" t="s">
        <v>1987</v>
      </c>
      <c r="BT103" s="16" t="s">
        <v>1987</v>
      </c>
    </row>
    <row r="104" spans="1:72" ht="18" hidden="1" customHeight="1" x14ac:dyDescent="0.3">
      <c r="A104" s="80" t="s">
        <v>616</v>
      </c>
      <c r="B104" s="48" t="s">
        <v>143</v>
      </c>
      <c r="C104" s="16" t="s">
        <v>2073</v>
      </c>
      <c r="D104" s="49" t="s">
        <v>1482</v>
      </c>
      <c r="E104" s="50">
        <v>77.7</v>
      </c>
      <c r="F104" s="50">
        <v>0</v>
      </c>
      <c r="G104" s="61">
        <v>3</v>
      </c>
      <c r="H104" s="17">
        <v>40</v>
      </c>
      <c r="I104" s="48" t="s">
        <v>1447</v>
      </c>
      <c r="J104" s="16" t="s">
        <v>2372</v>
      </c>
      <c r="K104" s="49">
        <v>1670</v>
      </c>
      <c r="L104" s="49">
        <v>4050</v>
      </c>
      <c r="M104" s="64"/>
      <c r="N104" s="48" t="s">
        <v>1063</v>
      </c>
      <c r="O104" s="63" t="str">
        <f t="shared" si="18"/>
        <v>NO</v>
      </c>
      <c r="P104" s="52"/>
      <c r="Q104" s="53">
        <f t="shared" si="11"/>
        <v>1670</v>
      </c>
      <c r="R104" s="54">
        <f t="shared" si="12"/>
        <v>1297.5</v>
      </c>
      <c r="S104" s="55" t="str">
        <f t="shared" si="13"/>
        <v xml:space="preserve"> </v>
      </c>
      <c r="T104" s="56"/>
      <c r="U104" s="57" t="str">
        <f t="shared" si="14"/>
        <v>100µg/100cm²</v>
      </c>
      <c r="V104" s="58">
        <f t="shared" si="15"/>
        <v>1297.5</v>
      </c>
      <c r="W104" s="58" t="str">
        <f t="shared" si="16"/>
        <v xml:space="preserve"> </v>
      </c>
      <c r="X104" s="59" t="str">
        <f t="shared" si="17"/>
        <v/>
      </c>
      <c r="Y104" s="60"/>
      <c r="Z104" s="64"/>
      <c r="AA104" s="64"/>
      <c r="AB104" s="64"/>
      <c r="AC104" s="16" t="s">
        <v>675</v>
      </c>
      <c r="AD104" s="64"/>
      <c r="AE104" s="64"/>
      <c r="AF104" s="64"/>
      <c r="AG104" s="64"/>
      <c r="AH104" s="64"/>
      <c r="AI104" s="64"/>
      <c r="AJ104" s="64"/>
      <c r="AK104" s="64"/>
      <c r="AL104" s="64"/>
      <c r="AM104" s="16" t="s">
        <v>675</v>
      </c>
      <c r="AN104" s="64"/>
      <c r="AO104" s="64"/>
      <c r="AP104" s="64"/>
      <c r="AQ104" s="64"/>
      <c r="AR104" s="64"/>
      <c r="AS104" s="64"/>
      <c r="AT104" s="64"/>
      <c r="AU104" s="16" t="s">
        <v>675</v>
      </c>
      <c r="AV104" s="64"/>
      <c r="AW104" s="16" t="s">
        <v>675</v>
      </c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5"/>
    </row>
    <row r="105" spans="1:72" ht="18" hidden="1" customHeight="1" x14ac:dyDescent="0.3">
      <c r="A105" s="47" t="s">
        <v>328</v>
      </c>
      <c r="B105" s="48" t="s">
        <v>1971</v>
      </c>
      <c r="C105" s="87" t="s">
        <v>1953</v>
      </c>
      <c r="D105" s="49" t="s">
        <v>1163</v>
      </c>
      <c r="E105" s="50">
        <v>77.42</v>
      </c>
      <c r="F105" s="50">
        <v>0</v>
      </c>
      <c r="G105" s="61">
        <v>3</v>
      </c>
      <c r="H105" s="16" t="s">
        <v>1038</v>
      </c>
      <c r="I105" s="48" t="s">
        <v>1016</v>
      </c>
      <c r="J105" s="16" t="s">
        <v>2386</v>
      </c>
      <c r="K105" s="49">
        <v>50</v>
      </c>
      <c r="L105" s="49">
        <v>50</v>
      </c>
      <c r="M105" s="64"/>
      <c r="N105" s="64"/>
      <c r="O105" s="63" t="str">
        <f t="shared" si="18"/>
        <v>YES</v>
      </c>
      <c r="P105" s="52"/>
      <c r="Q105" s="53">
        <f t="shared" si="11"/>
        <v>5000</v>
      </c>
      <c r="R105" s="54">
        <f t="shared" si="12"/>
        <v>3871</v>
      </c>
      <c r="S105" s="55" t="str">
        <f t="shared" si="13"/>
        <v xml:space="preserve"> </v>
      </c>
      <c r="T105" s="56"/>
      <c r="U105" s="57" t="str">
        <f t="shared" si="14"/>
        <v>100µg/100cm²</v>
      </c>
      <c r="V105" s="58">
        <f t="shared" si="15"/>
        <v>3871</v>
      </c>
      <c r="W105" s="58" t="str">
        <f t="shared" si="16"/>
        <v xml:space="preserve"> </v>
      </c>
      <c r="X105" s="59" t="str">
        <f t="shared" si="17"/>
        <v/>
      </c>
      <c r="Y105" s="60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16" t="s">
        <v>675</v>
      </c>
      <c r="AK105" s="64"/>
      <c r="AL105" s="64"/>
      <c r="AM105" s="16" t="s">
        <v>675</v>
      </c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5"/>
    </row>
    <row r="106" spans="1:72" ht="18" hidden="1" customHeight="1" x14ac:dyDescent="0.3">
      <c r="A106" s="66" t="s">
        <v>739</v>
      </c>
      <c r="B106" s="69" t="s">
        <v>510</v>
      </c>
      <c r="C106" s="67" t="s">
        <v>1311</v>
      </c>
      <c r="D106" s="67" t="s">
        <v>1312</v>
      </c>
      <c r="E106" s="50">
        <v>50</v>
      </c>
      <c r="F106" s="50">
        <v>0</v>
      </c>
      <c r="G106" s="61">
        <v>2</v>
      </c>
      <c r="H106" s="16">
        <v>370</v>
      </c>
      <c r="I106" s="48" t="s">
        <v>1016</v>
      </c>
      <c r="J106" s="16" t="s">
        <v>1313</v>
      </c>
      <c r="K106" s="49">
        <v>1.5</v>
      </c>
      <c r="L106" s="49">
        <v>1.5</v>
      </c>
      <c r="M106" s="62" t="s">
        <v>1036</v>
      </c>
      <c r="N106" s="187" t="s">
        <v>1058</v>
      </c>
      <c r="O106" s="63" t="str">
        <f t="shared" si="18"/>
        <v>NO</v>
      </c>
      <c r="P106" s="52"/>
      <c r="Q106" s="53">
        <f t="shared" si="11"/>
        <v>1.5</v>
      </c>
      <c r="R106" s="54">
        <f t="shared" si="12"/>
        <v>0.7</v>
      </c>
      <c r="S106" s="55" t="str">
        <f t="shared" si="13"/>
        <v xml:space="preserve"> </v>
      </c>
      <c r="T106" s="56"/>
      <c r="U106" s="57" t="str">
        <f t="shared" si="14"/>
        <v>Mitigation</v>
      </c>
      <c r="V106" s="58">
        <f t="shared" si="15"/>
        <v>0.7</v>
      </c>
      <c r="W106" s="58" t="str">
        <f t="shared" si="16"/>
        <v xml:space="preserve"> </v>
      </c>
      <c r="X106" s="59" t="str">
        <f t="shared" si="17"/>
        <v/>
      </c>
      <c r="Y106" s="60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16" t="s">
        <v>675</v>
      </c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5"/>
    </row>
    <row r="107" spans="1:72" ht="18" hidden="1" customHeight="1" x14ac:dyDescent="0.3">
      <c r="A107" s="47" t="s">
        <v>364</v>
      </c>
      <c r="B107" s="49" t="s">
        <v>365</v>
      </c>
      <c r="C107" s="16" t="s">
        <v>2074</v>
      </c>
      <c r="D107" s="49" t="s">
        <v>1060</v>
      </c>
      <c r="E107" s="50">
        <v>40.450000000000003</v>
      </c>
      <c r="F107" s="50">
        <v>0</v>
      </c>
      <c r="G107" s="61">
        <v>2</v>
      </c>
      <c r="H107" s="16">
        <v>545</v>
      </c>
      <c r="I107" s="49" t="s">
        <v>1016</v>
      </c>
      <c r="J107" s="16" t="s">
        <v>2386</v>
      </c>
      <c r="K107" s="49">
        <v>50</v>
      </c>
      <c r="L107" s="49">
        <v>50</v>
      </c>
      <c r="M107" s="64"/>
      <c r="N107" s="64"/>
      <c r="O107" s="63" t="str">
        <f t="shared" si="18"/>
        <v>YES</v>
      </c>
      <c r="P107" s="52"/>
      <c r="Q107" s="53">
        <f t="shared" si="11"/>
        <v>5000</v>
      </c>
      <c r="R107" s="54">
        <f t="shared" si="12"/>
        <v>2022.5</v>
      </c>
      <c r="S107" s="55" t="str">
        <f t="shared" si="13"/>
        <v xml:space="preserve"> </v>
      </c>
      <c r="T107" s="56"/>
      <c r="U107" s="57" t="str">
        <f t="shared" si="14"/>
        <v>100µg/100cm²</v>
      </c>
      <c r="V107" s="58">
        <f t="shared" si="15"/>
        <v>2022.5</v>
      </c>
      <c r="W107" s="58" t="str">
        <f t="shared" si="16"/>
        <v xml:space="preserve"> </v>
      </c>
      <c r="X107" s="59" t="str">
        <f t="shared" si="17"/>
        <v/>
      </c>
      <c r="Y107" s="60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16" t="s">
        <v>675</v>
      </c>
      <c r="AR107" s="64"/>
      <c r="AS107" s="64"/>
      <c r="AT107" s="64"/>
      <c r="AU107" s="16" t="s">
        <v>675</v>
      </c>
      <c r="AV107" s="64"/>
      <c r="AW107" s="16" t="s">
        <v>675</v>
      </c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5"/>
    </row>
    <row r="108" spans="1:72" ht="18" hidden="1" customHeight="1" x14ac:dyDescent="0.3">
      <c r="A108" s="81" t="s">
        <v>869</v>
      </c>
      <c r="B108" s="76" t="s">
        <v>459</v>
      </c>
      <c r="C108" s="16" t="s">
        <v>1499</v>
      </c>
      <c r="D108" s="16" t="s">
        <v>1488</v>
      </c>
      <c r="E108" s="50">
        <v>50</v>
      </c>
      <c r="F108" s="50">
        <v>0</v>
      </c>
      <c r="G108" s="16">
        <v>1</v>
      </c>
      <c r="H108" s="16" t="s">
        <v>1023</v>
      </c>
      <c r="I108" s="16" t="s">
        <v>1016</v>
      </c>
      <c r="J108" s="16" t="s">
        <v>2382</v>
      </c>
      <c r="K108" s="16">
        <v>50</v>
      </c>
      <c r="L108" s="16">
        <v>50</v>
      </c>
      <c r="M108" s="64"/>
      <c r="N108" s="64"/>
      <c r="O108" s="63" t="str">
        <f t="shared" si="18"/>
        <v>YES</v>
      </c>
      <c r="P108" s="52"/>
      <c r="Q108" s="53">
        <f t="shared" si="11"/>
        <v>5000</v>
      </c>
      <c r="R108" s="54">
        <f t="shared" si="12"/>
        <v>2500</v>
      </c>
      <c r="S108" s="55" t="str">
        <f t="shared" si="13"/>
        <v xml:space="preserve"> </v>
      </c>
      <c r="T108" s="56"/>
      <c r="U108" s="57" t="str">
        <f t="shared" si="14"/>
        <v>100µg/100cm²</v>
      </c>
      <c r="V108" s="58">
        <f t="shared" si="15"/>
        <v>2500</v>
      </c>
      <c r="W108" s="58" t="str">
        <f t="shared" si="16"/>
        <v xml:space="preserve"> </v>
      </c>
      <c r="X108" s="59" t="str">
        <f t="shared" si="17"/>
        <v/>
      </c>
      <c r="Y108" s="60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82"/>
      <c r="AV108" s="82"/>
      <c r="AW108" s="82"/>
      <c r="AX108" s="64"/>
      <c r="AY108" s="64"/>
      <c r="AZ108" s="64"/>
      <c r="BA108" s="64"/>
      <c r="BB108" s="64"/>
      <c r="BC108" s="64"/>
      <c r="BD108" s="16" t="s">
        <v>675</v>
      </c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5"/>
    </row>
    <row r="109" spans="1:72" ht="18" hidden="1" customHeight="1" x14ac:dyDescent="0.3">
      <c r="A109" s="47" t="s">
        <v>84</v>
      </c>
      <c r="B109" s="48" t="s">
        <v>85</v>
      </c>
      <c r="C109" s="16" t="s">
        <v>2075</v>
      </c>
      <c r="D109" s="49" t="s">
        <v>1174</v>
      </c>
      <c r="E109" s="50">
        <v>49.18</v>
      </c>
      <c r="F109" s="50">
        <v>0</v>
      </c>
      <c r="G109" s="61">
        <v>6</v>
      </c>
      <c r="H109" s="16">
        <v>0.22</v>
      </c>
      <c r="I109" s="48" t="s">
        <v>1016</v>
      </c>
      <c r="J109" s="16" t="s">
        <v>2386</v>
      </c>
      <c r="K109" s="49">
        <v>50</v>
      </c>
      <c r="L109" s="49">
        <v>50</v>
      </c>
      <c r="M109" s="64"/>
      <c r="N109" s="64"/>
      <c r="O109" s="63" t="str">
        <f t="shared" si="18"/>
        <v>YES</v>
      </c>
      <c r="P109" s="52"/>
      <c r="Q109" s="53">
        <f t="shared" si="11"/>
        <v>5000</v>
      </c>
      <c r="R109" s="54">
        <f t="shared" si="12"/>
        <v>2459</v>
      </c>
      <c r="S109" s="55" t="str">
        <f t="shared" si="13"/>
        <v xml:space="preserve"> </v>
      </c>
      <c r="T109" s="100"/>
      <c r="U109" s="57" t="str">
        <f t="shared" si="14"/>
        <v>100µg/100cm²</v>
      </c>
      <c r="V109" s="58">
        <f t="shared" si="15"/>
        <v>2459</v>
      </c>
      <c r="W109" s="58" t="str">
        <f t="shared" si="16"/>
        <v xml:space="preserve"> </v>
      </c>
      <c r="X109" s="59" t="str">
        <f t="shared" si="17"/>
        <v/>
      </c>
      <c r="Y109" s="60"/>
      <c r="Z109" s="16" t="s">
        <v>675</v>
      </c>
      <c r="AA109" s="16" t="s">
        <v>675</v>
      </c>
      <c r="AB109" s="16" t="s">
        <v>675</v>
      </c>
      <c r="AC109" s="64"/>
      <c r="AD109" s="16" t="s">
        <v>675</v>
      </c>
      <c r="AE109" s="16" t="s">
        <v>675</v>
      </c>
      <c r="AF109" s="16" t="s">
        <v>675</v>
      </c>
      <c r="AG109" s="64"/>
      <c r="AH109" s="64"/>
      <c r="AI109" s="16" t="s">
        <v>675</v>
      </c>
      <c r="AJ109" s="64"/>
      <c r="AK109" s="16" t="s">
        <v>675</v>
      </c>
      <c r="AL109" s="16" t="s">
        <v>675</v>
      </c>
      <c r="AM109" s="16" t="s">
        <v>675</v>
      </c>
      <c r="AN109" s="16" t="s">
        <v>675</v>
      </c>
      <c r="AO109" s="64"/>
      <c r="AP109" s="16" t="s">
        <v>675</v>
      </c>
      <c r="AQ109" s="16" t="s">
        <v>675</v>
      </c>
      <c r="AR109" s="64"/>
      <c r="AS109" s="16" t="s">
        <v>675</v>
      </c>
      <c r="AT109" s="16" t="s">
        <v>675</v>
      </c>
      <c r="AU109" s="64"/>
      <c r="AV109" s="64"/>
      <c r="AW109" s="64"/>
      <c r="AX109" s="16" t="s">
        <v>675</v>
      </c>
      <c r="AY109" s="64"/>
      <c r="AZ109" s="64"/>
      <c r="BA109" s="16" t="s">
        <v>675</v>
      </c>
      <c r="BB109" s="16" t="s">
        <v>675</v>
      </c>
      <c r="BC109" s="64"/>
      <c r="BD109" s="64"/>
      <c r="BE109" s="16" t="s">
        <v>675</v>
      </c>
      <c r="BF109" s="64"/>
      <c r="BG109" s="16" t="s">
        <v>675</v>
      </c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16" t="s">
        <v>675</v>
      </c>
      <c r="BT109" s="65"/>
    </row>
    <row r="110" spans="1:72" ht="18" hidden="1" customHeight="1" x14ac:dyDescent="0.3">
      <c r="A110" s="47" t="s">
        <v>1854</v>
      </c>
      <c r="B110" s="48" t="s">
        <v>1855</v>
      </c>
      <c r="C110" s="49" t="s">
        <v>1856</v>
      </c>
      <c r="D110" s="16" t="s">
        <v>1055</v>
      </c>
      <c r="E110" s="50">
        <v>46.75</v>
      </c>
      <c r="F110" s="50">
        <v>0</v>
      </c>
      <c r="G110" s="16">
        <v>2</v>
      </c>
      <c r="H110" s="16" t="s">
        <v>1954</v>
      </c>
      <c r="I110" s="48" t="s">
        <v>1016</v>
      </c>
      <c r="J110" s="16" t="s">
        <v>2015</v>
      </c>
      <c r="K110" s="16">
        <v>5</v>
      </c>
      <c r="L110" s="16">
        <v>5</v>
      </c>
      <c r="M110" s="64"/>
      <c r="N110" s="16" t="s">
        <v>1996</v>
      </c>
      <c r="O110" s="63" t="str">
        <f t="shared" si="18"/>
        <v>NO</v>
      </c>
      <c r="P110" s="52"/>
      <c r="Q110" s="53">
        <f t="shared" si="11"/>
        <v>5</v>
      </c>
      <c r="R110" s="54">
        <f t="shared" si="12"/>
        <v>2.2999999999999998</v>
      </c>
      <c r="S110" s="55" t="str">
        <f t="shared" si="13"/>
        <v xml:space="preserve"> </v>
      </c>
      <c r="T110" s="56"/>
      <c r="U110" s="57" t="str">
        <f t="shared" si="14"/>
        <v>Mitigation</v>
      </c>
      <c r="V110" s="58">
        <f t="shared" si="15"/>
        <v>2.2999999999999998</v>
      </c>
      <c r="W110" s="58" t="str">
        <f t="shared" si="16"/>
        <v xml:space="preserve"> </v>
      </c>
      <c r="X110" s="59" t="str">
        <f t="shared" si="17"/>
        <v/>
      </c>
      <c r="Y110" s="60"/>
      <c r="Z110" s="16" t="s">
        <v>1987</v>
      </c>
      <c r="AA110" s="16" t="s">
        <v>1987</v>
      </c>
      <c r="AB110" s="16" t="s">
        <v>1987</v>
      </c>
      <c r="AC110" s="16" t="s">
        <v>1987</v>
      </c>
      <c r="AD110" s="16" t="s">
        <v>1987</v>
      </c>
      <c r="AE110" s="16" t="s">
        <v>1987</v>
      </c>
      <c r="AF110" s="16" t="s">
        <v>1987</v>
      </c>
      <c r="AG110" s="16" t="s">
        <v>1987</v>
      </c>
      <c r="AH110" s="16" t="s">
        <v>1987</v>
      </c>
      <c r="AI110" s="16" t="s">
        <v>1987</v>
      </c>
      <c r="AJ110" s="16" t="s">
        <v>1987</v>
      </c>
      <c r="AK110" s="16" t="s">
        <v>1987</v>
      </c>
      <c r="AL110" s="16" t="s">
        <v>1987</v>
      </c>
      <c r="AM110" s="16" t="s">
        <v>1987</v>
      </c>
      <c r="AN110" s="16" t="s">
        <v>1987</v>
      </c>
      <c r="AO110" s="16" t="s">
        <v>1987</v>
      </c>
      <c r="AP110" s="16" t="s">
        <v>1987</v>
      </c>
      <c r="AQ110" s="16" t="s">
        <v>1987</v>
      </c>
      <c r="AR110" s="16" t="s">
        <v>1987</v>
      </c>
      <c r="AS110" s="16" t="s">
        <v>1987</v>
      </c>
      <c r="AT110" s="16" t="s">
        <v>1987</v>
      </c>
      <c r="AU110" s="16" t="s">
        <v>1987</v>
      </c>
      <c r="AV110" s="16" t="s">
        <v>1987</v>
      </c>
      <c r="AW110" s="16" t="s">
        <v>1987</v>
      </c>
      <c r="AX110" s="16" t="s">
        <v>1987</v>
      </c>
      <c r="AY110" s="16" t="s">
        <v>1987</v>
      </c>
      <c r="AZ110" s="16" t="s">
        <v>1987</v>
      </c>
      <c r="BA110" s="16" t="s">
        <v>1987</v>
      </c>
      <c r="BB110" s="16" t="s">
        <v>1987</v>
      </c>
      <c r="BC110" s="16" t="s">
        <v>1987</v>
      </c>
      <c r="BD110" s="16" t="s">
        <v>1987</v>
      </c>
      <c r="BE110" s="16" t="s">
        <v>1987</v>
      </c>
      <c r="BF110" s="16" t="s">
        <v>1987</v>
      </c>
      <c r="BG110" s="16" t="s">
        <v>1987</v>
      </c>
      <c r="BH110" s="16" t="s">
        <v>1987</v>
      </c>
      <c r="BI110" s="16" t="s">
        <v>1987</v>
      </c>
      <c r="BJ110" s="16" t="s">
        <v>1987</v>
      </c>
      <c r="BK110" s="16" t="s">
        <v>1987</v>
      </c>
      <c r="BL110" s="16" t="s">
        <v>1987</v>
      </c>
      <c r="BM110" s="16" t="s">
        <v>1987</v>
      </c>
      <c r="BN110" s="16" t="s">
        <v>1987</v>
      </c>
      <c r="BO110" s="16" t="s">
        <v>1987</v>
      </c>
      <c r="BP110" s="16" t="s">
        <v>1987</v>
      </c>
      <c r="BQ110" s="16" t="s">
        <v>1987</v>
      </c>
      <c r="BR110" s="16" t="s">
        <v>1987</v>
      </c>
      <c r="BS110" s="16" t="s">
        <v>1987</v>
      </c>
      <c r="BT110" s="16" t="s">
        <v>1987</v>
      </c>
    </row>
    <row r="111" spans="1:72" ht="18" hidden="1" customHeight="1" x14ac:dyDescent="0.3">
      <c r="A111" s="47" t="s">
        <v>315</v>
      </c>
      <c r="B111" s="99" t="s">
        <v>459</v>
      </c>
      <c r="C111" s="49" t="s">
        <v>1353</v>
      </c>
      <c r="D111" s="83" t="s">
        <v>1305</v>
      </c>
      <c r="E111" s="50">
        <v>48</v>
      </c>
      <c r="F111" s="50">
        <v>0</v>
      </c>
      <c r="G111" s="61">
        <v>7</v>
      </c>
      <c r="H111" s="16" t="s">
        <v>1105</v>
      </c>
      <c r="I111" s="48" t="s">
        <v>1016</v>
      </c>
      <c r="J111" s="16" t="s">
        <v>2386</v>
      </c>
      <c r="K111" s="49">
        <v>50</v>
      </c>
      <c r="L111" s="49">
        <v>50</v>
      </c>
      <c r="M111" s="64"/>
      <c r="N111" s="64"/>
      <c r="O111" s="63" t="str">
        <f t="shared" si="18"/>
        <v>YES</v>
      </c>
      <c r="P111" s="52"/>
      <c r="Q111" s="53">
        <f t="shared" si="11"/>
        <v>5000</v>
      </c>
      <c r="R111" s="54">
        <f t="shared" si="12"/>
        <v>2400</v>
      </c>
      <c r="S111" s="55" t="str">
        <f t="shared" si="13"/>
        <v xml:space="preserve"> </v>
      </c>
      <c r="T111" s="56"/>
      <c r="U111" s="57" t="str">
        <f t="shared" si="14"/>
        <v>100µg/100cm²</v>
      </c>
      <c r="V111" s="58">
        <f t="shared" si="15"/>
        <v>2400</v>
      </c>
      <c r="W111" s="58" t="str">
        <f t="shared" si="16"/>
        <v xml:space="preserve"> </v>
      </c>
      <c r="X111" s="59" t="str">
        <f t="shared" si="17"/>
        <v/>
      </c>
      <c r="Y111" s="60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16" t="s">
        <v>675</v>
      </c>
      <c r="AK111" s="64"/>
      <c r="AL111" s="64"/>
      <c r="AM111" s="16" t="s">
        <v>675</v>
      </c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5"/>
    </row>
    <row r="112" spans="1:72" ht="18" hidden="1" customHeight="1" x14ac:dyDescent="0.3">
      <c r="A112" s="47" t="s">
        <v>94</v>
      </c>
      <c r="B112" s="48" t="s">
        <v>95</v>
      </c>
      <c r="C112" s="16" t="s">
        <v>2076</v>
      </c>
      <c r="D112" s="49" t="s">
        <v>1028</v>
      </c>
      <c r="E112" s="50">
        <v>30.8</v>
      </c>
      <c r="F112" s="50">
        <v>0</v>
      </c>
      <c r="G112" s="61">
        <v>1</v>
      </c>
      <c r="H112" s="16" t="s">
        <v>1023</v>
      </c>
      <c r="I112" s="49" t="s">
        <v>1016</v>
      </c>
      <c r="J112" s="16" t="s">
        <v>1032</v>
      </c>
      <c r="K112" s="49">
        <v>5</v>
      </c>
      <c r="L112" s="49">
        <v>5</v>
      </c>
      <c r="M112" s="62" t="s">
        <v>1033</v>
      </c>
      <c r="N112" s="62" t="s">
        <v>1034</v>
      </c>
      <c r="O112" s="63" t="str">
        <f t="shared" si="18"/>
        <v>NO</v>
      </c>
      <c r="P112" s="52"/>
      <c r="Q112" s="53">
        <f t="shared" si="11"/>
        <v>5</v>
      </c>
      <c r="R112" s="54">
        <f t="shared" si="12"/>
        <v>1.5</v>
      </c>
      <c r="S112" s="55" t="str">
        <f t="shared" si="13"/>
        <v xml:space="preserve"> </v>
      </c>
      <c r="T112" s="56"/>
      <c r="U112" s="57" t="str">
        <f t="shared" si="14"/>
        <v>Mitigation</v>
      </c>
      <c r="V112" s="58">
        <f t="shared" si="15"/>
        <v>1.5</v>
      </c>
      <c r="W112" s="58" t="str">
        <f t="shared" si="16"/>
        <v xml:space="preserve"> </v>
      </c>
      <c r="X112" s="59" t="str">
        <f t="shared" si="17"/>
        <v/>
      </c>
      <c r="Y112" s="60"/>
      <c r="Z112" s="64"/>
      <c r="AA112" s="64"/>
      <c r="AB112" s="64"/>
      <c r="AC112" s="16" t="s">
        <v>675</v>
      </c>
      <c r="AD112" s="16" t="s">
        <v>675</v>
      </c>
      <c r="AE112" s="64"/>
      <c r="AF112" s="64"/>
      <c r="AG112" s="64"/>
      <c r="AH112" s="64"/>
      <c r="AI112" s="64"/>
      <c r="AJ112" s="64"/>
      <c r="AK112" s="64"/>
      <c r="AL112" s="64"/>
      <c r="AM112" s="16" t="s">
        <v>675</v>
      </c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5"/>
    </row>
    <row r="113" spans="1:72" ht="18" hidden="1" customHeight="1" x14ac:dyDescent="0.3">
      <c r="A113" s="81" t="s">
        <v>870</v>
      </c>
      <c r="B113" s="99" t="s">
        <v>459</v>
      </c>
      <c r="C113" s="16" t="s">
        <v>1499</v>
      </c>
      <c r="D113" s="16" t="s">
        <v>1488</v>
      </c>
      <c r="E113" s="50">
        <v>50</v>
      </c>
      <c r="F113" s="50">
        <v>0</v>
      </c>
      <c r="G113" s="16">
        <v>1</v>
      </c>
      <c r="H113" s="16" t="s">
        <v>1023</v>
      </c>
      <c r="I113" s="16" t="s">
        <v>1016</v>
      </c>
      <c r="J113" s="16" t="s">
        <v>2382</v>
      </c>
      <c r="K113" s="16">
        <v>50</v>
      </c>
      <c r="L113" s="16">
        <v>50</v>
      </c>
      <c r="M113" s="64"/>
      <c r="N113" s="64"/>
      <c r="O113" s="63" t="str">
        <f t="shared" si="18"/>
        <v>YES</v>
      </c>
      <c r="P113" s="52"/>
      <c r="Q113" s="53">
        <f t="shared" si="11"/>
        <v>5000</v>
      </c>
      <c r="R113" s="54">
        <f t="shared" si="12"/>
        <v>2500</v>
      </c>
      <c r="S113" s="55" t="str">
        <f t="shared" si="13"/>
        <v xml:space="preserve"> </v>
      </c>
      <c r="T113" s="56"/>
      <c r="U113" s="57" t="str">
        <f t="shared" si="14"/>
        <v>100µg/100cm²</v>
      </c>
      <c r="V113" s="58">
        <f t="shared" si="15"/>
        <v>2500</v>
      </c>
      <c r="W113" s="58" t="str">
        <f t="shared" si="16"/>
        <v xml:space="preserve"> </v>
      </c>
      <c r="X113" s="59" t="str">
        <f t="shared" si="17"/>
        <v/>
      </c>
      <c r="Y113" s="60"/>
      <c r="Z113" s="64"/>
      <c r="AA113" s="64"/>
      <c r="AB113" s="64"/>
      <c r="AC113" s="64"/>
      <c r="AD113" s="64"/>
      <c r="AE113" s="64"/>
      <c r="AF113" s="16" t="s">
        <v>675</v>
      </c>
      <c r="AG113" s="16" t="s">
        <v>675</v>
      </c>
      <c r="AH113" s="64"/>
      <c r="AI113" s="64"/>
      <c r="AJ113" s="16" t="s">
        <v>675</v>
      </c>
      <c r="AK113" s="64"/>
      <c r="AL113" s="64"/>
      <c r="AM113" s="16" t="s">
        <v>675</v>
      </c>
      <c r="AN113" s="64"/>
      <c r="AO113" s="64"/>
      <c r="AP113" s="64"/>
      <c r="AQ113" s="64"/>
      <c r="AR113" s="64"/>
      <c r="AS113" s="16" t="s">
        <v>675</v>
      </c>
      <c r="AT113" s="64"/>
      <c r="AU113" s="82"/>
      <c r="AV113" s="82"/>
      <c r="AW113" s="82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5"/>
    </row>
    <row r="114" spans="1:72" ht="18" hidden="1" customHeight="1" x14ac:dyDescent="0.3">
      <c r="A114" s="75" t="s">
        <v>249</v>
      </c>
      <c r="B114" s="99" t="s">
        <v>459</v>
      </c>
      <c r="C114" s="16" t="s">
        <v>1499</v>
      </c>
      <c r="D114" s="16" t="s">
        <v>1488</v>
      </c>
      <c r="E114" s="50">
        <v>50</v>
      </c>
      <c r="F114" s="50">
        <v>0</v>
      </c>
      <c r="G114" s="16">
        <v>1</v>
      </c>
      <c r="H114" s="16" t="s">
        <v>1023</v>
      </c>
      <c r="I114" s="16" t="s">
        <v>1016</v>
      </c>
      <c r="J114" s="16" t="s">
        <v>2382</v>
      </c>
      <c r="K114" s="16">
        <v>50</v>
      </c>
      <c r="L114" s="16">
        <v>50</v>
      </c>
      <c r="M114" s="64"/>
      <c r="N114" s="64"/>
      <c r="O114" s="63" t="str">
        <f t="shared" si="18"/>
        <v>YES</v>
      </c>
      <c r="P114" s="52"/>
      <c r="Q114" s="53">
        <f t="shared" si="11"/>
        <v>5000</v>
      </c>
      <c r="R114" s="54">
        <f t="shared" si="12"/>
        <v>2500</v>
      </c>
      <c r="S114" s="55" t="str">
        <f t="shared" si="13"/>
        <v xml:space="preserve"> </v>
      </c>
      <c r="T114" s="56"/>
      <c r="U114" s="57" t="str">
        <f t="shared" si="14"/>
        <v>100µg/100cm²</v>
      </c>
      <c r="V114" s="58">
        <f t="shared" si="15"/>
        <v>2500</v>
      </c>
      <c r="W114" s="58" t="str">
        <f t="shared" si="16"/>
        <v xml:space="preserve"> </v>
      </c>
      <c r="X114" s="59" t="str">
        <f t="shared" si="17"/>
        <v/>
      </c>
      <c r="Y114" s="60"/>
      <c r="Z114" s="64"/>
      <c r="AA114" s="64"/>
      <c r="AB114" s="64"/>
      <c r="AC114" s="64"/>
      <c r="AD114" s="64"/>
      <c r="AE114" s="64"/>
      <c r="AF114" s="16" t="s">
        <v>675</v>
      </c>
      <c r="AG114" s="64"/>
      <c r="AH114" s="64"/>
      <c r="AI114" s="64"/>
      <c r="AJ114" s="64"/>
      <c r="AK114" s="64"/>
      <c r="AL114" s="64"/>
      <c r="AM114" s="16" t="s">
        <v>675</v>
      </c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5"/>
    </row>
    <row r="115" spans="1:72" ht="18" customHeight="1" x14ac:dyDescent="0.3">
      <c r="A115" s="84" t="s">
        <v>647</v>
      </c>
      <c r="B115" s="49" t="s">
        <v>486</v>
      </c>
      <c r="C115" s="70" t="s">
        <v>1025</v>
      </c>
      <c r="D115" s="70" t="s">
        <v>1011</v>
      </c>
      <c r="E115" s="50">
        <v>0</v>
      </c>
      <c r="F115" s="50">
        <v>0</v>
      </c>
      <c r="G115" s="61">
        <v>3</v>
      </c>
      <c r="H115" s="16">
        <v>49.5</v>
      </c>
      <c r="I115" s="49" t="s">
        <v>1016</v>
      </c>
      <c r="J115" s="16" t="s">
        <v>1026</v>
      </c>
      <c r="K115" s="49">
        <v>100</v>
      </c>
      <c r="L115" s="49">
        <v>900</v>
      </c>
      <c r="M115" s="101" t="s">
        <v>1018</v>
      </c>
      <c r="N115" s="51" t="s">
        <v>2359</v>
      </c>
      <c r="O115" s="63" t="str">
        <f t="shared" si="18"/>
        <v>NO</v>
      </c>
      <c r="P115" s="52"/>
      <c r="Q115" s="53">
        <f t="shared" si="11"/>
        <v>100</v>
      </c>
      <c r="R115" s="54" t="str">
        <f t="shared" si="12"/>
        <v xml:space="preserve"> </v>
      </c>
      <c r="S115" s="55" t="str">
        <f t="shared" si="13"/>
        <v xml:space="preserve"> </v>
      </c>
      <c r="T115" s="56"/>
      <c r="U115" s="57" t="str">
        <f t="shared" si="14"/>
        <v xml:space="preserve"> </v>
      </c>
      <c r="V115" s="58" t="str">
        <f t="shared" si="15"/>
        <v xml:space="preserve"> </v>
      </c>
      <c r="W115" s="58" t="str">
        <f t="shared" si="16"/>
        <v xml:space="preserve"> </v>
      </c>
      <c r="X115" s="59" t="str">
        <f t="shared" si="17"/>
        <v>Mitigation</v>
      </c>
      <c r="Y115" s="60"/>
      <c r="Z115" s="16" t="s">
        <v>675</v>
      </c>
      <c r="AA115" s="16" t="s">
        <v>675</v>
      </c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16" t="s">
        <v>675</v>
      </c>
      <c r="AN115" s="64"/>
      <c r="AO115" s="64"/>
      <c r="AP115" s="64"/>
      <c r="AQ115" s="64"/>
      <c r="AR115" s="64"/>
      <c r="AS115" s="16" t="s">
        <v>675</v>
      </c>
      <c r="AT115" s="64"/>
      <c r="AU115" s="64"/>
      <c r="AV115" s="64"/>
      <c r="AW115" s="64"/>
      <c r="AX115" s="64"/>
      <c r="AY115" s="64"/>
      <c r="AZ115" s="64"/>
      <c r="BA115" s="16" t="s">
        <v>675</v>
      </c>
      <c r="BB115" s="16" t="s">
        <v>675</v>
      </c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5"/>
    </row>
    <row r="116" spans="1:72" ht="18" hidden="1" customHeight="1" x14ac:dyDescent="0.3">
      <c r="A116" s="98" t="s">
        <v>460</v>
      </c>
      <c r="B116" s="99" t="s">
        <v>459</v>
      </c>
      <c r="C116" s="16" t="s">
        <v>1974</v>
      </c>
      <c r="D116" s="16" t="s">
        <v>1552</v>
      </c>
      <c r="E116" s="50">
        <v>50</v>
      </c>
      <c r="F116" s="50">
        <v>0</v>
      </c>
      <c r="G116" s="16">
        <v>1</v>
      </c>
      <c r="H116" s="16" t="s">
        <v>1023</v>
      </c>
      <c r="I116" s="16" t="s">
        <v>1016</v>
      </c>
      <c r="J116" s="16" t="s">
        <v>2382</v>
      </c>
      <c r="K116" s="16">
        <v>50</v>
      </c>
      <c r="L116" s="16">
        <v>50</v>
      </c>
      <c r="M116" s="64"/>
      <c r="N116" s="64"/>
      <c r="O116" s="63" t="str">
        <f t="shared" si="18"/>
        <v>YES</v>
      </c>
      <c r="P116" s="52"/>
      <c r="Q116" s="53">
        <f t="shared" si="11"/>
        <v>5000</v>
      </c>
      <c r="R116" s="54">
        <f t="shared" si="12"/>
        <v>2500</v>
      </c>
      <c r="S116" s="55" t="str">
        <f t="shared" si="13"/>
        <v xml:space="preserve"> </v>
      </c>
      <c r="T116" s="56"/>
      <c r="U116" s="57" t="str">
        <f t="shared" si="14"/>
        <v>100µg/100cm²</v>
      </c>
      <c r="V116" s="58">
        <f t="shared" si="15"/>
        <v>2500</v>
      </c>
      <c r="W116" s="58" t="str">
        <f t="shared" si="16"/>
        <v xml:space="preserve"> </v>
      </c>
      <c r="X116" s="59" t="str">
        <f t="shared" si="17"/>
        <v/>
      </c>
      <c r="Y116" s="60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16" t="s">
        <v>675</v>
      </c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16" t="s">
        <v>675</v>
      </c>
      <c r="BL116" s="64"/>
      <c r="BM116" s="64"/>
      <c r="BN116" s="64"/>
      <c r="BO116" s="64"/>
      <c r="BP116" s="64"/>
      <c r="BQ116" s="64"/>
      <c r="BR116" s="64"/>
      <c r="BS116" s="16" t="s">
        <v>675</v>
      </c>
      <c r="BT116" s="65"/>
    </row>
    <row r="117" spans="1:72" ht="18" hidden="1" customHeight="1" x14ac:dyDescent="0.3">
      <c r="A117" s="47" t="s">
        <v>1804</v>
      </c>
      <c r="B117" s="48" t="s">
        <v>1720</v>
      </c>
      <c r="C117" s="49" t="s">
        <v>2077</v>
      </c>
      <c r="D117" s="49" t="s">
        <v>1268</v>
      </c>
      <c r="E117" s="50">
        <v>82.7</v>
      </c>
      <c r="F117" s="50">
        <v>0</v>
      </c>
      <c r="G117" s="16">
        <v>7</v>
      </c>
      <c r="H117" s="72">
        <v>6.0999999999999999E-2</v>
      </c>
      <c r="I117" s="70" t="s">
        <v>1474</v>
      </c>
      <c r="J117" s="16" t="s">
        <v>2386</v>
      </c>
      <c r="K117" s="49">
        <v>50</v>
      </c>
      <c r="L117" s="49">
        <v>50</v>
      </c>
      <c r="M117" s="64"/>
      <c r="N117" s="64"/>
      <c r="O117" s="63" t="str">
        <f t="shared" si="18"/>
        <v>YES</v>
      </c>
      <c r="P117" s="52"/>
      <c r="Q117" s="53">
        <f t="shared" si="11"/>
        <v>5000</v>
      </c>
      <c r="R117" s="54">
        <f t="shared" si="12"/>
        <v>4135</v>
      </c>
      <c r="S117" s="55" t="str">
        <f t="shared" si="13"/>
        <v xml:space="preserve"> </v>
      </c>
      <c r="T117" s="56"/>
      <c r="U117" s="57" t="str">
        <f t="shared" si="14"/>
        <v>100µg/100cm²</v>
      </c>
      <c r="V117" s="58">
        <f t="shared" si="15"/>
        <v>4135</v>
      </c>
      <c r="W117" s="58" t="str">
        <f t="shared" si="16"/>
        <v xml:space="preserve"> </v>
      </c>
      <c r="X117" s="59" t="str">
        <f t="shared" si="17"/>
        <v/>
      </c>
      <c r="Y117" s="60"/>
      <c r="Z117" s="16" t="s">
        <v>675</v>
      </c>
      <c r="AA117" s="16" t="s">
        <v>675</v>
      </c>
      <c r="AB117" s="64"/>
      <c r="AC117" s="64"/>
      <c r="AD117" s="64"/>
      <c r="AE117" s="64"/>
      <c r="AF117" s="64"/>
      <c r="AG117" s="64"/>
      <c r="AH117" s="16" t="s">
        <v>675</v>
      </c>
      <c r="AI117" s="64"/>
      <c r="AJ117" s="16" t="s">
        <v>675</v>
      </c>
      <c r="AK117" s="64"/>
      <c r="AL117" s="64"/>
      <c r="AM117" s="16" t="s">
        <v>675</v>
      </c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16" t="s">
        <v>675</v>
      </c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5"/>
    </row>
    <row r="118" spans="1:72" ht="18" hidden="1" customHeight="1" x14ac:dyDescent="0.3">
      <c r="A118" s="47" t="s">
        <v>1701</v>
      </c>
      <c r="B118" s="48" t="s">
        <v>1702</v>
      </c>
      <c r="C118" s="49" t="s">
        <v>2078</v>
      </c>
      <c r="D118" s="49" t="s">
        <v>1268</v>
      </c>
      <c r="E118" s="50">
        <v>51.83</v>
      </c>
      <c r="F118" s="50">
        <v>0</v>
      </c>
      <c r="G118" s="61">
        <v>3</v>
      </c>
      <c r="H118" s="16" t="s">
        <v>1788</v>
      </c>
      <c r="I118" s="70" t="s">
        <v>1474</v>
      </c>
      <c r="J118" s="16" t="s">
        <v>1703</v>
      </c>
      <c r="K118" s="49">
        <v>5</v>
      </c>
      <c r="L118" s="49">
        <v>5</v>
      </c>
      <c r="M118" s="49" t="s">
        <v>1033</v>
      </c>
      <c r="N118" s="49" t="s">
        <v>1047</v>
      </c>
      <c r="O118" s="63" t="str">
        <f t="shared" si="18"/>
        <v>NO</v>
      </c>
      <c r="P118" s="73"/>
      <c r="Q118" s="53">
        <f t="shared" si="11"/>
        <v>5</v>
      </c>
      <c r="R118" s="54">
        <f t="shared" si="12"/>
        <v>2.5</v>
      </c>
      <c r="S118" s="55" t="str">
        <f t="shared" si="13"/>
        <v xml:space="preserve"> </v>
      </c>
      <c r="T118" s="56"/>
      <c r="U118" s="57" t="str">
        <f t="shared" si="14"/>
        <v>Mitigation</v>
      </c>
      <c r="V118" s="58">
        <f t="shared" si="15"/>
        <v>2.5</v>
      </c>
      <c r="W118" s="58" t="str">
        <f t="shared" si="16"/>
        <v xml:space="preserve"> </v>
      </c>
      <c r="X118" s="59" t="str">
        <f t="shared" si="17"/>
        <v/>
      </c>
      <c r="Y118" s="60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16" t="s">
        <v>675</v>
      </c>
      <c r="AL118" s="16" t="s">
        <v>675</v>
      </c>
      <c r="AM118" s="16" t="s">
        <v>675</v>
      </c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5"/>
    </row>
    <row r="119" spans="1:72" ht="18" hidden="1" customHeight="1" x14ac:dyDescent="0.3">
      <c r="A119" s="80" t="s">
        <v>1904</v>
      </c>
      <c r="B119" s="16" t="s">
        <v>1905</v>
      </c>
      <c r="C119" s="87" t="s">
        <v>1953</v>
      </c>
      <c r="D119" s="17" t="s">
        <v>1967</v>
      </c>
      <c r="E119" s="50" t="s">
        <v>1952</v>
      </c>
      <c r="F119" s="50">
        <v>0</v>
      </c>
      <c r="G119" s="16">
        <v>5</v>
      </c>
      <c r="H119" s="16" t="s">
        <v>1951</v>
      </c>
      <c r="I119" s="70" t="s">
        <v>1474</v>
      </c>
      <c r="J119" s="16" t="s">
        <v>2016</v>
      </c>
      <c r="K119" s="16" t="s">
        <v>2027</v>
      </c>
      <c r="L119" s="16" t="s">
        <v>2027</v>
      </c>
      <c r="M119" s="64"/>
      <c r="N119" s="64"/>
      <c r="O119" s="16" t="s">
        <v>2027</v>
      </c>
      <c r="P119" s="52"/>
      <c r="Q119" s="53" t="str">
        <f t="shared" si="11"/>
        <v>Pending</v>
      </c>
      <c r="R119" s="54" t="str">
        <f t="shared" si="12"/>
        <v>Pending</v>
      </c>
      <c r="S119" s="55" t="str">
        <f t="shared" si="13"/>
        <v>Pending</v>
      </c>
      <c r="T119" s="56"/>
      <c r="U119" s="57" t="str">
        <f t="shared" si="14"/>
        <v>Pending</v>
      </c>
      <c r="V119" s="58" t="str">
        <f t="shared" si="15"/>
        <v>Pending</v>
      </c>
      <c r="W119" s="57" t="str">
        <f t="shared" si="16"/>
        <v>Pending</v>
      </c>
      <c r="X119" s="59" t="str">
        <f t="shared" si="17"/>
        <v/>
      </c>
      <c r="Y119" s="60"/>
      <c r="Z119" s="16" t="s">
        <v>1987</v>
      </c>
      <c r="AA119" s="16" t="s">
        <v>1987</v>
      </c>
      <c r="AB119" s="16" t="s">
        <v>1987</v>
      </c>
      <c r="AC119" s="16" t="s">
        <v>1987</v>
      </c>
      <c r="AD119" s="16" t="s">
        <v>1987</v>
      </c>
      <c r="AE119" s="16" t="s">
        <v>1987</v>
      </c>
      <c r="AF119" s="16" t="s">
        <v>1987</v>
      </c>
      <c r="AG119" s="16" t="s">
        <v>1987</v>
      </c>
      <c r="AH119" s="16" t="s">
        <v>1987</v>
      </c>
      <c r="AI119" s="16" t="s">
        <v>1987</v>
      </c>
      <c r="AJ119" s="16" t="s">
        <v>1987</v>
      </c>
      <c r="AK119" s="16" t="s">
        <v>1987</v>
      </c>
      <c r="AL119" s="16" t="s">
        <v>1987</v>
      </c>
      <c r="AM119" s="16" t="s">
        <v>1987</v>
      </c>
      <c r="AN119" s="16" t="s">
        <v>1987</v>
      </c>
      <c r="AO119" s="16" t="s">
        <v>1987</v>
      </c>
      <c r="AP119" s="16" t="s">
        <v>1987</v>
      </c>
      <c r="AQ119" s="16" t="s">
        <v>1987</v>
      </c>
      <c r="AR119" s="16" t="s">
        <v>1987</v>
      </c>
      <c r="AS119" s="16" t="s">
        <v>1987</v>
      </c>
      <c r="AT119" s="16" t="s">
        <v>1987</v>
      </c>
      <c r="AU119" s="16" t="s">
        <v>1987</v>
      </c>
      <c r="AV119" s="16" t="s">
        <v>1987</v>
      </c>
      <c r="AW119" s="16" t="s">
        <v>1987</v>
      </c>
      <c r="AX119" s="16" t="s">
        <v>1987</v>
      </c>
      <c r="AY119" s="16" t="s">
        <v>1987</v>
      </c>
      <c r="AZ119" s="16" t="s">
        <v>1987</v>
      </c>
      <c r="BA119" s="16" t="s">
        <v>1987</v>
      </c>
      <c r="BB119" s="16" t="s">
        <v>1987</v>
      </c>
      <c r="BC119" s="16" t="s">
        <v>1987</v>
      </c>
      <c r="BD119" s="16" t="s">
        <v>1987</v>
      </c>
      <c r="BE119" s="16" t="s">
        <v>1987</v>
      </c>
      <c r="BF119" s="16" t="s">
        <v>1987</v>
      </c>
      <c r="BG119" s="16" t="s">
        <v>1987</v>
      </c>
      <c r="BH119" s="16" t="s">
        <v>1987</v>
      </c>
      <c r="BI119" s="16" t="s">
        <v>1987</v>
      </c>
      <c r="BJ119" s="16" t="s">
        <v>1987</v>
      </c>
      <c r="BK119" s="16" t="s">
        <v>1987</v>
      </c>
      <c r="BL119" s="16" t="s">
        <v>1987</v>
      </c>
      <c r="BM119" s="16" t="s">
        <v>1987</v>
      </c>
      <c r="BN119" s="16" t="s">
        <v>1987</v>
      </c>
      <c r="BO119" s="16" t="s">
        <v>1987</v>
      </c>
      <c r="BP119" s="16" t="s">
        <v>1987</v>
      </c>
      <c r="BQ119" s="16" t="s">
        <v>1987</v>
      </c>
      <c r="BR119" s="16" t="s">
        <v>1987</v>
      </c>
      <c r="BS119" s="16" t="s">
        <v>1987</v>
      </c>
      <c r="BT119" s="16" t="s">
        <v>1987</v>
      </c>
    </row>
    <row r="120" spans="1:72" ht="18" hidden="1" customHeight="1" x14ac:dyDescent="0.3">
      <c r="A120" s="47" t="s">
        <v>1718</v>
      </c>
      <c r="B120" s="48" t="s">
        <v>1719</v>
      </c>
      <c r="C120" s="49" t="s">
        <v>2079</v>
      </c>
      <c r="D120" s="49" t="s">
        <v>1243</v>
      </c>
      <c r="E120" s="50">
        <v>54.55</v>
      </c>
      <c r="F120" s="50">
        <v>0</v>
      </c>
      <c r="G120" s="16">
        <v>3</v>
      </c>
      <c r="H120" s="16" t="s">
        <v>1038</v>
      </c>
      <c r="I120" s="70" t="s">
        <v>1474</v>
      </c>
      <c r="J120" s="16" t="s">
        <v>2386</v>
      </c>
      <c r="K120" s="49">
        <v>50</v>
      </c>
      <c r="L120" s="49">
        <v>50</v>
      </c>
      <c r="M120" s="64"/>
      <c r="N120" s="64"/>
      <c r="O120" s="63" t="str">
        <f t="shared" ref="O120:O143" si="19">IF(AND(ISBLANK(K120),ISBLANK(N120))," ",IF(ISBLANK(N120),"YES","NO"))</f>
        <v>YES</v>
      </c>
      <c r="P120" s="52"/>
      <c r="Q120" s="53">
        <f t="shared" si="11"/>
        <v>5000</v>
      </c>
      <c r="R120" s="54">
        <f t="shared" si="12"/>
        <v>2727.5</v>
      </c>
      <c r="S120" s="55" t="str">
        <f t="shared" si="13"/>
        <v xml:space="preserve"> </v>
      </c>
      <c r="T120" s="56"/>
      <c r="U120" s="57" t="str">
        <f t="shared" si="14"/>
        <v>100µg/100cm²</v>
      </c>
      <c r="V120" s="58">
        <f t="shared" si="15"/>
        <v>2727.5</v>
      </c>
      <c r="W120" s="58" t="str">
        <f t="shared" si="16"/>
        <v xml:space="preserve"> </v>
      </c>
      <c r="X120" s="59" t="str">
        <f t="shared" si="17"/>
        <v/>
      </c>
      <c r="Y120" s="60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16" t="s">
        <v>675</v>
      </c>
      <c r="AU120" s="64"/>
      <c r="AV120" s="64"/>
      <c r="AW120" s="64"/>
      <c r="AX120" s="64"/>
      <c r="AY120" s="64"/>
      <c r="AZ120" s="64"/>
      <c r="BA120" s="64"/>
      <c r="BB120" s="64"/>
      <c r="BC120" s="16" t="s">
        <v>675</v>
      </c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5"/>
    </row>
    <row r="121" spans="1:72" ht="18" customHeight="1" x14ac:dyDescent="0.3">
      <c r="A121" s="47" t="s">
        <v>2256</v>
      </c>
      <c r="B121" s="49" t="s">
        <v>2257</v>
      </c>
      <c r="C121" s="49" t="s">
        <v>2329</v>
      </c>
      <c r="D121" s="16" t="s">
        <v>1114</v>
      </c>
      <c r="E121" s="50">
        <v>0</v>
      </c>
      <c r="F121" s="50">
        <v>0</v>
      </c>
      <c r="G121" s="173">
        <v>2</v>
      </c>
      <c r="H121" s="173" t="s">
        <v>1126</v>
      </c>
      <c r="I121" s="174" t="s">
        <v>2241</v>
      </c>
      <c r="J121" s="16" t="s">
        <v>2258</v>
      </c>
      <c r="K121" s="174">
        <v>1.5</v>
      </c>
      <c r="L121" s="174">
        <v>1.5</v>
      </c>
      <c r="M121" s="174" t="s">
        <v>1036</v>
      </c>
      <c r="N121" s="174" t="s">
        <v>2364</v>
      </c>
      <c r="O121" s="63" t="str">
        <f t="shared" si="19"/>
        <v>NO</v>
      </c>
      <c r="P121" s="73"/>
      <c r="Q121" s="53">
        <f t="shared" si="11"/>
        <v>1.5</v>
      </c>
      <c r="R121" s="54" t="str">
        <f t="shared" si="12"/>
        <v xml:space="preserve"> </v>
      </c>
      <c r="S121" s="55" t="str">
        <f t="shared" si="13"/>
        <v xml:space="preserve"> </v>
      </c>
      <c r="T121" s="105"/>
      <c r="U121" s="57" t="str">
        <f t="shared" si="14"/>
        <v xml:space="preserve"> </v>
      </c>
      <c r="V121" s="58" t="str">
        <f t="shared" si="15"/>
        <v xml:space="preserve"> </v>
      </c>
      <c r="W121" s="57" t="str">
        <f t="shared" si="16"/>
        <v xml:space="preserve"> </v>
      </c>
      <c r="X121" s="59" t="str">
        <f t="shared" si="17"/>
        <v>Mitigation</v>
      </c>
      <c r="Y121" s="106"/>
      <c r="Z121" s="16" t="s">
        <v>1987</v>
      </c>
      <c r="AA121" s="16" t="s">
        <v>1987</v>
      </c>
      <c r="AB121" s="16" t="s">
        <v>1987</v>
      </c>
      <c r="AC121" s="16" t="s">
        <v>1987</v>
      </c>
      <c r="AD121" s="16" t="s">
        <v>1987</v>
      </c>
      <c r="AE121" s="16" t="s">
        <v>1987</v>
      </c>
      <c r="AF121" s="16" t="s">
        <v>1987</v>
      </c>
      <c r="AG121" s="16" t="s">
        <v>1987</v>
      </c>
      <c r="AH121" s="16" t="s">
        <v>1987</v>
      </c>
      <c r="AI121" s="16" t="s">
        <v>1987</v>
      </c>
      <c r="AJ121" s="16" t="s">
        <v>1987</v>
      </c>
      <c r="AK121" s="16" t="s">
        <v>1987</v>
      </c>
      <c r="AL121" s="16" t="s">
        <v>1987</v>
      </c>
      <c r="AM121" s="16" t="s">
        <v>1987</v>
      </c>
      <c r="AN121" s="16" t="s">
        <v>1987</v>
      </c>
      <c r="AO121" s="16" t="s">
        <v>1987</v>
      </c>
      <c r="AP121" s="16" t="s">
        <v>1987</v>
      </c>
      <c r="AQ121" s="16" t="s">
        <v>1987</v>
      </c>
      <c r="AR121" s="16" t="s">
        <v>1987</v>
      </c>
      <c r="AS121" s="16" t="s">
        <v>1987</v>
      </c>
      <c r="AT121" s="16" t="s">
        <v>1987</v>
      </c>
      <c r="AU121" s="16" t="s">
        <v>1987</v>
      </c>
      <c r="AV121" s="16" t="s">
        <v>1987</v>
      </c>
      <c r="AW121" s="16" t="s">
        <v>1987</v>
      </c>
      <c r="AX121" s="16" t="s">
        <v>1987</v>
      </c>
      <c r="AY121" s="16" t="s">
        <v>1987</v>
      </c>
      <c r="AZ121" s="16" t="s">
        <v>1987</v>
      </c>
      <c r="BA121" s="16" t="s">
        <v>1987</v>
      </c>
      <c r="BB121" s="16" t="s">
        <v>1987</v>
      </c>
      <c r="BC121" s="16" t="s">
        <v>1987</v>
      </c>
      <c r="BD121" s="16" t="s">
        <v>1987</v>
      </c>
      <c r="BE121" s="16" t="s">
        <v>1987</v>
      </c>
      <c r="BF121" s="16" t="s">
        <v>1987</v>
      </c>
      <c r="BG121" s="16" t="s">
        <v>1987</v>
      </c>
      <c r="BH121" s="16" t="s">
        <v>1987</v>
      </c>
      <c r="BI121" s="16" t="s">
        <v>1987</v>
      </c>
      <c r="BJ121" s="16" t="s">
        <v>1987</v>
      </c>
      <c r="BK121" s="16" t="s">
        <v>1987</v>
      </c>
      <c r="BL121" s="16" t="s">
        <v>1987</v>
      </c>
      <c r="BM121" s="16" t="s">
        <v>1987</v>
      </c>
      <c r="BN121" s="16" t="s">
        <v>1987</v>
      </c>
      <c r="BO121" s="16" t="s">
        <v>1987</v>
      </c>
      <c r="BP121" s="16" t="s">
        <v>1987</v>
      </c>
      <c r="BQ121" s="16" t="s">
        <v>1987</v>
      </c>
      <c r="BR121" s="16" t="s">
        <v>1987</v>
      </c>
      <c r="BS121" s="16" t="s">
        <v>1987</v>
      </c>
      <c r="BT121" s="16" t="s">
        <v>1987</v>
      </c>
    </row>
    <row r="122" spans="1:72" ht="18" customHeight="1" x14ac:dyDescent="0.3">
      <c r="A122" s="47" t="s">
        <v>2259</v>
      </c>
      <c r="B122" s="49" t="s">
        <v>2260</v>
      </c>
      <c r="C122" s="49" t="s">
        <v>2330</v>
      </c>
      <c r="D122" s="16" t="s">
        <v>1114</v>
      </c>
      <c r="E122" s="50">
        <v>0</v>
      </c>
      <c r="F122" s="50">
        <v>0</v>
      </c>
      <c r="G122" s="173">
        <v>2</v>
      </c>
      <c r="H122" s="173" t="s">
        <v>1126</v>
      </c>
      <c r="I122" s="174" t="s">
        <v>2241</v>
      </c>
      <c r="J122" s="16" t="s">
        <v>2261</v>
      </c>
      <c r="K122" s="174">
        <v>1.5</v>
      </c>
      <c r="L122" s="174">
        <v>1.5</v>
      </c>
      <c r="M122" s="49" t="s">
        <v>1036</v>
      </c>
      <c r="N122" s="171"/>
      <c r="O122" s="63" t="str">
        <f t="shared" si="19"/>
        <v>YES</v>
      </c>
      <c r="P122" s="73"/>
      <c r="Q122" s="53">
        <f t="shared" si="11"/>
        <v>273.7</v>
      </c>
      <c r="R122" s="54" t="str">
        <f t="shared" si="12"/>
        <v xml:space="preserve"> </v>
      </c>
      <c r="S122" s="55" t="str">
        <f t="shared" si="13"/>
        <v xml:space="preserve"> </v>
      </c>
      <c r="T122" s="105"/>
      <c r="U122" s="57" t="str">
        <f t="shared" si="14"/>
        <v xml:space="preserve"> </v>
      </c>
      <c r="V122" s="58" t="str">
        <f t="shared" si="15"/>
        <v xml:space="preserve"> </v>
      </c>
      <c r="W122" s="57" t="str">
        <f t="shared" si="16"/>
        <v xml:space="preserve"> </v>
      </c>
      <c r="X122" s="59" t="str">
        <f t="shared" si="17"/>
        <v>Mitigation</v>
      </c>
      <c r="Y122" s="106"/>
      <c r="Z122" s="16" t="s">
        <v>1987</v>
      </c>
      <c r="AA122" s="16" t="s">
        <v>1987</v>
      </c>
      <c r="AB122" s="16" t="s">
        <v>1987</v>
      </c>
      <c r="AC122" s="16" t="s">
        <v>1987</v>
      </c>
      <c r="AD122" s="16" t="s">
        <v>1987</v>
      </c>
      <c r="AE122" s="16" t="s">
        <v>1987</v>
      </c>
      <c r="AF122" s="16" t="s">
        <v>1987</v>
      </c>
      <c r="AG122" s="16" t="s">
        <v>1987</v>
      </c>
      <c r="AH122" s="16" t="s">
        <v>1987</v>
      </c>
      <c r="AI122" s="16" t="s">
        <v>1987</v>
      </c>
      <c r="AJ122" s="16" t="s">
        <v>1987</v>
      </c>
      <c r="AK122" s="16" t="s">
        <v>1987</v>
      </c>
      <c r="AL122" s="16" t="s">
        <v>1987</v>
      </c>
      <c r="AM122" s="16" t="s">
        <v>1987</v>
      </c>
      <c r="AN122" s="16" t="s">
        <v>1987</v>
      </c>
      <c r="AO122" s="16" t="s">
        <v>1987</v>
      </c>
      <c r="AP122" s="16" t="s">
        <v>1987</v>
      </c>
      <c r="AQ122" s="16" t="s">
        <v>1987</v>
      </c>
      <c r="AR122" s="16" t="s">
        <v>1987</v>
      </c>
      <c r="AS122" s="16" t="s">
        <v>1987</v>
      </c>
      <c r="AT122" s="16" t="s">
        <v>1987</v>
      </c>
      <c r="AU122" s="16" t="s">
        <v>1987</v>
      </c>
      <c r="AV122" s="16" t="s">
        <v>1987</v>
      </c>
      <c r="AW122" s="16" t="s">
        <v>1987</v>
      </c>
      <c r="AX122" s="16" t="s">
        <v>1987</v>
      </c>
      <c r="AY122" s="16" t="s">
        <v>1987</v>
      </c>
      <c r="AZ122" s="16" t="s">
        <v>1987</v>
      </c>
      <c r="BA122" s="16" t="s">
        <v>1987</v>
      </c>
      <c r="BB122" s="16" t="s">
        <v>1987</v>
      </c>
      <c r="BC122" s="16" t="s">
        <v>1987</v>
      </c>
      <c r="BD122" s="16" t="s">
        <v>1987</v>
      </c>
      <c r="BE122" s="16" t="s">
        <v>1987</v>
      </c>
      <c r="BF122" s="16" t="s">
        <v>1987</v>
      </c>
      <c r="BG122" s="16" t="s">
        <v>1987</v>
      </c>
      <c r="BH122" s="16" t="s">
        <v>1987</v>
      </c>
      <c r="BI122" s="16" t="s">
        <v>1987</v>
      </c>
      <c r="BJ122" s="16" t="s">
        <v>1987</v>
      </c>
      <c r="BK122" s="16" t="s">
        <v>1987</v>
      </c>
      <c r="BL122" s="16" t="s">
        <v>1987</v>
      </c>
      <c r="BM122" s="16" t="s">
        <v>1987</v>
      </c>
      <c r="BN122" s="16" t="s">
        <v>1987</v>
      </c>
      <c r="BO122" s="16" t="s">
        <v>1987</v>
      </c>
      <c r="BP122" s="16" t="s">
        <v>1987</v>
      </c>
      <c r="BQ122" s="16" t="s">
        <v>1987</v>
      </c>
      <c r="BR122" s="16" t="s">
        <v>1987</v>
      </c>
      <c r="BS122" s="16" t="s">
        <v>1987</v>
      </c>
      <c r="BT122" s="16" t="s">
        <v>1987</v>
      </c>
    </row>
    <row r="123" spans="1:72" ht="18" customHeight="1" x14ac:dyDescent="0.3">
      <c r="A123" s="47" t="s">
        <v>2262</v>
      </c>
      <c r="B123" s="49" t="s">
        <v>2263</v>
      </c>
      <c r="C123" s="49" t="s">
        <v>2331</v>
      </c>
      <c r="D123" s="16" t="s">
        <v>1114</v>
      </c>
      <c r="E123" s="50">
        <v>0</v>
      </c>
      <c r="F123" s="50">
        <v>0</v>
      </c>
      <c r="G123" s="173">
        <v>2</v>
      </c>
      <c r="H123" s="173" t="s">
        <v>1126</v>
      </c>
      <c r="I123" s="174" t="s">
        <v>2241</v>
      </c>
      <c r="J123" s="16" t="s">
        <v>2264</v>
      </c>
      <c r="K123" s="174">
        <v>1.5</v>
      </c>
      <c r="L123" s="174">
        <v>1.5</v>
      </c>
      <c r="M123" s="49" t="s">
        <v>1036</v>
      </c>
      <c r="N123" s="171"/>
      <c r="O123" s="63" t="str">
        <f t="shared" si="19"/>
        <v>YES</v>
      </c>
      <c r="P123" s="73"/>
      <c r="Q123" s="53">
        <f t="shared" si="11"/>
        <v>273.7</v>
      </c>
      <c r="R123" s="54" t="str">
        <f t="shared" si="12"/>
        <v xml:space="preserve"> </v>
      </c>
      <c r="S123" s="55" t="str">
        <f t="shared" si="13"/>
        <v xml:space="preserve"> </v>
      </c>
      <c r="T123" s="105"/>
      <c r="U123" s="57" t="str">
        <f t="shared" si="14"/>
        <v xml:space="preserve"> </v>
      </c>
      <c r="V123" s="58" t="str">
        <f t="shared" si="15"/>
        <v xml:space="preserve"> </v>
      </c>
      <c r="W123" s="57" t="str">
        <f t="shared" si="16"/>
        <v xml:space="preserve"> </v>
      </c>
      <c r="X123" s="59" t="str">
        <f t="shared" si="17"/>
        <v>Mitigation</v>
      </c>
      <c r="Y123" s="106"/>
      <c r="Z123" s="16" t="s">
        <v>1987</v>
      </c>
      <c r="AA123" s="16" t="s">
        <v>1987</v>
      </c>
      <c r="AB123" s="16" t="s">
        <v>1987</v>
      </c>
      <c r="AC123" s="16" t="s">
        <v>1987</v>
      </c>
      <c r="AD123" s="16" t="s">
        <v>1987</v>
      </c>
      <c r="AE123" s="16" t="s">
        <v>1987</v>
      </c>
      <c r="AF123" s="16" t="s">
        <v>1987</v>
      </c>
      <c r="AG123" s="16" t="s">
        <v>1987</v>
      </c>
      <c r="AH123" s="16" t="s">
        <v>1987</v>
      </c>
      <c r="AI123" s="16" t="s">
        <v>1987</v>
      </c>
      <c r="AJ123" s="16" t="s">
        <v>1987</v>
      </c>
      <c r="AK123" s="16" t="s">
        <v>1987</v>
      </c>
      <c r="AL123" s="16" t="s">
        <v>1987</v>
      </c>
      <c r="AM123" s="16" t="s">
        <v>1987</v>
      </c>
      <c r="AN123" s="16" t="s">
        <v>1987</v>
      </c>
      <c r="AO123" s="16" t="s">
        <v>1987</v>
      </c>
      <c r="AP123" s="16" t="s">
        <v>1987</v>
      </c>
      <c r="AQ123" s="16" t="s">
        <v>1987</v>
      </c>
      <c r="AR123" s="16" t="s">
        <v>1987</v>
      </c>
      <c r="AS123" s="16" t="s">
        <v>1987</v>
      </c>
      <c r="AT123" s="16" t="s">
        <v>1987</v>
      </c>
      <c r="AU123" s="16" t="s">
        <v>1987</v>
      </c>
      <c r="AV123" s="16" t="s">
        <v>1987</v>
      </c>
      <c r="AW123" s="16" t="s">
        <v>1987</v>
      </c>
      <c r="AX123" s="16" t="s">
        <v>1987</v>
      </c>
      <c r="AY123" s="16" t="s">
        <v>1987</v>
      </c>
      <c r="AZ123" s="16" t="s">
        <v>1987</v>
      </c>
      <c r="BA123" s="16" t="s">
        <v>1987</v>
      </c>
      <c r="BB123" s="16" t="s">
        <v>1987</v>
      </c>
      <c r="BC123" s="16" t="s">
        <v>1987</v>
      </c>
      <c r="BD123" s="16" t="s">
        <v>1987</v>
      </c>
      <c r="BE123" s="16" t="s">
        <v>1987</v>
      </c>
      <c r="BF123" s="16" t="s">
        <v>1987</v>
      </c>
      <c r="BG123" s="16" t="s">
        <v>1987</v>
      </c>
      <c r="BH123" s="16" t="s">
        <v>1987</v>
      </c>
      <c r="BI123" s="16" t="s">
        <v>1987</v>
      </c>
      <c r="BJ123" s="16" t="s">
        <v>1987</v>
      </c>
      <c r="BK123" s="16" t="s">
        <v>1987</v>
      </c>
      <c r="BL123" s="16" t="s">
        <v>1987</v>
      </c>
      <c r="BM123" s="16" t="s">
        <v>1987</v>
      </c>
      <c r="BN123" s="16" t="s">
        <v>1987</v>
      </c>
      <c r="BO123" s="16" t="s">
        <v>1987</v>
      </c>
      <c r="BP123" s="16" t="s">
        <v>1987</v>
      </c>
      <c r="BQ123" s="16" t="s">
        <v>1987</v>
      </c>
      <c r="BR123" s="16" t="s">
        <v>1987</v>
      </c>
      <c r="BS123" s="16" t="s">
        <v>1987</v>
      </c>
      <c r="BT123" s="16" t="s">
        <v>1987</v>
      </c>
    </row>
    <row r="124" spans="1:72" ht="18" hidden="1" customHeight="1" x14ac:dyDescent="0.3">
      <c r="A124" s="80" t="s">
        <v>838</v>
      </c>
      <c r="B124" s="102" t="s">
        <v>839</v>
      </c>
      <c r="C124" s="87" t="s">
        <v>1590</v>
      </c>
      <c r="D124" s="16" t="s">
        <v>1114</v>
      </c>
      <c r="E124" s="50">
        <v>27.24</v>
      </c>
      <c r="F124" s="50">
        <v>0</v>
      </c>
      <c r="G124" s="16">
        <v>2</v>
      </c>
      <c r="H124" s="16">
        <v>250</v>
      </c>
      <c r="I124" s="16" t="s">
        <v>1573</v>
      </c>
      <c r="J124" s="16" t="s">
        <v>2386</v>
      </c>
      <c r="K124" s="49">
        <v>50</v>
      </c>
      <c r="L124" s="49">
        <v>50</v>
      </c>
      <c r="M124" s="64"/>
      <c r="N124" s="64"/>
      <c r="O124" s="63" t="str">
        <f t="shared" si="19"/>
        <v>YES</v>
      </c>
      <c r="P124" s="52"/>
      <c r="Q124" s="53">
        <f t="shared" si="11"/>
        <v>5000</v>
      </c>
      <c r="R124" s="54">
        <f t="shared" si="12"/>
        <v>1362</v>
      </c>
      <c r="S124" s="55" t="str">
        <f t="shared" si="13"/>
        <v xml:space="preserve"> </v>
      </c>
      <c r="T124" s="56"/>
      <c r="U124" s="57" t="str">
        <f t="shared" si="14"/>
        <v>100µg/100cm²</v>
      </c>
      <c r="V124" s="58">
        <f t="shared" si="15"/>
        <v>1362</v>
      </c>
      <c r="W124" s="58" t="str">
        <f t="shared" si="16"/>
        <v xml:space="preserve"> </v>
      </c>
      <c r="X124" s="59" t="str">
        <f t="shared" si="17"/>
        <v/>
      </c>
      <c r="Y124" s="60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16" t="s">
        <v>675</v>
      </c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16" t="s">
        <v>675</v>
      </c>
      <c r="BT124" s="65"/>
    </row>
    <row r="125" spans="1:72" ht="18" hidden="1" customHeight="1" x14ac:dyDescent="0.3">
      <c r="A125" s="47" t="s">
        <v>2000</v>
      </c>
      <c r="B125" s="102" t="s">
        <v>2001</v>
      </c>
      <c r="C125" s="16" t="s">
        <v>2006</v>
      </c>
      <c r="D125" s="16" t="s">
        <v>1011</v>
      </c>
      <c r="E125" s="50">
        <v>59.56</v>
      </c>
      <c r="F125" s="50">
        <v>0</v>
      </c>
      <c r="G125" s="16">
        <v>2</v>
      </c>
      <c r="H125" s="16" t="s">
        <v>2010</v>
      </c>
      <c r="I125" s="16" t="s">
        <v>1016</v>
      </c>
      <c r="J125" s="16" t="s">
        <v>2376</v>
      </c>
      <c r="K125" s="16">
        <v>20</v>
      </c>
      <c r="L125" s="16">
        <v>20</v>
      </c>
      <c r="M125" s="64"/>
      <c r="N125" s="16" t="s">
        <v>2377</v>
      </c>
      <c r="O125" s="63" t="str">
        <f t="shared" si="19"/>
        <v>NO</v>
      </c>
      <c r="P125" s="52"/>
      <c r="Q125" s="53">
        <f t="shared" si="11"/>
        <v>20</v>
      </c>
      <c r="R125" s="54">
        <f t="shared" si="12"/>
        <v>11.9</v>
      </c>
      <c r="S125" s="55" t="str">
        <f t="shared" si="13"/>
        <v xml:space="preserve"> </v>
      </c>
      <c r="T125" s="56"/>
      <c r="U125" s="57" t="str">
        <f t="shared" si="14"/>
        <v>Mitigation</v>
      </c>
      <c r="V125" s="58">
        <f t="shared" si="15"/>
        <v>11.9</v>
      </c>
      <c r="W125" s="57" t="str">
        <f t="shared" si="16"/>
        <v xml:space="preserve"> </v>
      </c>
      <c r="X125" s="59" t="str">
        <f t="shared" si="17"/>
        <v/>
      </c>
      <c r="Y125" s="60"/>
      <c r="Z125" s="64"/>
      <c r="AA125" s="64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</row>
    <row r="126" spans="1:72" ht="18" customHeight="1" x14ac:dyDescent="0.3">
      <c r="A126" s="47" t="s">
        <v>372</v>
      </c>
      <c r="B126" s="49" t="s">
        <v>373</v>
      </c>
      <c r="C126" s="49" t="s">
        <v>1369</v>
      </c>
      <c r="D126" s="49" t="s">
        <v>1114</v>
      </c>
      <c r="E126" s="50">
        <v>0</v>
      </c>
      <c r="F126" s="50">
        <v>0</v>
      </c>
      <c r="G126" s="61">
        <v>7</v>
      </c>
      <c r="H126" s="16">
        <v>14</v>
      </c>
      <c r="I126" s="49" t="s">
        <v>1012</v>
      </c>
      <c r="J126" s="16" t="s">
        <v>2386</v>
      </c>
      <c r="K126" s="49">
        <v>50</v>
      </c>
      <c r="L126" s="49">
        <v>50</v>
      </c>
      <c r="M126" s="64"/>
      <c r="N126" s="64"/>
      <c r="O126" s="63" t="str">
        <f t="shared" si="19"/>
        <v>YES</v>
      </c>
      <c r="P126" s="52"/>
      <c r="Q126" s="53">
        <f t="shared" si="11"/>
        <v>5000</v>
      </c>
      <c r="R126" s="54" t="str">
        <f t="shared" si="12"/>
        <v xml:space="preserve"> </v>
      </c>
      <c r="S126" s="55" t="str">
        <f t="shared" si="13"/>
        <v xml:space="preserve"> </v>
      </c>
      <c r="T126" s="56"/>
      <c r="U126" s="57" t="str">
        <f t="shared" si="14"/>
        <v xml:space="preserve"> </v>
      </c>
      <c r="V126" s="58" t="str">
        <f t="shared" si="15"/>
        <v xml:space="preserve"> </v>
      </c>
      <c r="W126" s="58" t="str">
        <f t="shared" si="16"/>
        <v xml:space="preserve"> </v>
      </c>
      <c r="X126" s="59" t="str">
        <f t="shared" si="17"/>
        <v>Mitigation</v>
      </c>
      <c r="Y126" s="60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16" t="s">
        <v>675</v>
      </c>
      <c r="AR126" s="64"/>
      <c r="AS126" s="16" t="s">
        <v>675</v>
      </c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16" t="s">
        <v>675</v>
      </c>
      <c r="BL126" s="64"/>
      <c r="BM126" s="64"/>
      <c r="BN126" s="64"/>
      <c r="BO126" s="64"/>
      <c r="BP126" s="64"/>
      <c r="BQ126" s="64"/>
      <c r="BR126" s="64"/>
      <c r="BS126" s="16" t="s">
        <v>675</v>
      </c>
      <c r="BT126" s="65"/>
    </row>
    <row r="127" spans="1:72" ht="18" customHeight="1" x14ac:dyDescent="0.3">
      <c r="A127" s="47" t="s">
        <v>157</v>
      </c>
      <c r="B127" s="49" t="s">
        <v>158</v>
      </c>
      <c r="C127" s="49" t="s">
        <v>1370</v>
      </c>
      <c r="D127" s="49" t="s">
        <v>1114</v>
      </c>
      <c r="E127" s="50">
        <v>0</v>
      </c>
      <c r="F127" s="50">
        <v>0</v>
      </c>
      <c r="G127" s="61">
        <v>2</v>
      </c>
      <c r="H127" s="16">
        <v>740</v>
      </c>
      <c r="I127" s="49" t="s">
        <v>1016</v>
      </c>
      <c r="J127" s="16" t="s">
        <v>2386</v>
      </c>
      <c r="K127" s="49">
        <v>50</v>
      </c>
      <c r="L127" s="49">
        <v>50</v>
      </c>
      <c r="M127" s="64"/>
      <c r="N127" s="64"/>
      <c r="O127" s="63" t="str">
        <f t="shared" si="19"/>
        <v>YES</v>
      </c>
      <c r="P127" s="52"/>
      <c r="Q127" s="53">
        <f t="shared" si="11"/>
        <v>5000</v>
      </c>
      <c r="R127" s="54" t="str">
        <f t="shared" si="12"/>
        <v xml:space="preserve"> </v>
      </c>
      <c r="S127" s="55" t="str">
        <f t="shared" si="13"/>
        <v xml:space="preserve"> </v>
      </c>
      <c r="T127" s="56"/>
      <c r="U127" s="57" t="str">
        <f t="shared" si="14"/>
        <v xml:space="preserve"> </v>
      </c>
      <c r="V127" s="58" t="str">
        <f t="shared" si="15"/>
        <v xml:space="preserve"> </v>
      </c>
      <c r="W127" s="58" t="str">
        <f t="shared" si="16"/>
        <v xml:space="preserve"> </v>
      </c>
      <c r="X127" s="59" t="str">
        <f t="shared" si="17"/>
        <v>Water criteria (conductivity)</v>
      </c>
      <c r="Y127" s="60"/>
      <c r="Z127" s="64"/>
      <c r="AA127" s="64"/>
      <c r="AB127" s="64"/>
      <c r="AC127" s="64"/>
      <c r="AD127" s="16" t="s">
        <v>675</v>
      </c>
      <c r="AE127" s="16" t="s">
        <v>675</v>
      </c>
      <c r="AF127" s="16" t="s">
        <v>675</v>
      </c>
      <c r="AG127" s="64"/>
      <c r="AH127" s="64"/>
      <c r="AI127" s="64"/>
      <c r="AJ127" s="64"/>
      <c r="AK127" s="64"/>
      <c r="AL127" s="64"/>
      <c r="AM127" s="16" t="s">
        <v>675</v>
      </c>
      <c r="AN127" s="64"/>
      <c r="AO127" s="64"/>
      <c r="AP127" s="64"/>
      <c r="AQ127" s="64"/>
      <c r="AR127" s="64"/>
      <c r="AS127" s="16" t="s">
        <v>675</v>
      </c>
      <c r="AT127" s="16" t="s">
        <v>675</v>
      </c>
      <c r="AU127" s="16" t="s">
        <v>675</v>
      </c>
      <c r="AV127" s="64"/>
      <c r="AW127" s="16" t="s">
        <v>675</v>
      </c>
      <c r="AX127" s="64"/>
      <c r="AY127" s="64"/>
      <c r="AZ127" s="64"/>
      <c r="BA127" s="64"/>
      <c r="BB127" s="64"/>
      <c r="BC127" s="64"/>
      <c r="BD127" s="64"/>
      <c r="BE127" s="64"/>
      <c r="BF127" s="64"/>
      <c r="BG127" s="16" t="s">
        <v>675</v>
      </c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16" t="s">
        <v>675</v>
      </c>
      <c r="BT127" s="65"/>
    </row>
    <row r="128" spans="1:72" ht="18" customHeight="1" x14ac:dyDescent="0.3">
      <c r="A128" s="47" t="s">
        <v>48</v>
      </c>
      <c r="B128" s="48" t="s">
        <v>49</v>
      </c>
      <c r="C128" s="49" t="s">
        <v>1371</v>
      </c>
      <c r="D128" s="49" t="s">
        <v>1114</v>
      </c>
      <c r="E128" s="50">
        <v>0</v>
      </c>
      <c r="F128" s="50">
        <v>0</v>
      </c>
      <c r="G128" s="61">
        <v>2</v>
      </c>
      <c r="H128" s="16">
        <v>147</v>
      </c>
      <c r="I128" s="48" t="s">
        <v>1016</v>
      </c>
      <c r="J128" s="16" t="s">
        <v>2386</v>
      </c>
      <c r="K128" s="49">
        <v>50</v>
      </c>
      <c r="L128" s="49">
        <v>50</v>
      </c>
      <c r="M128" s="64"/>
      <c r="N128" s="64"/>
      <c r="O128" s="63" t="str">
        <f t="shared" si="19"/>
        <v>YES</v>
      </c>
      <c r="P128" s="52"/>
      <c r="Q128" s="53">
        <f t="shared" si="11"/>
        <v>5000</v>
      </c>
      <c r="R128" s="54" t="str">
        <f t="shared" si="12"/>
        <v xml:space="preserve"> </v>
      </c>
      <c r="S128" s="55" t="str">
        <f t="shared" si="13"/>
        <v xml:space="preserve"> </v>
      </c>
      <c r="T128" s="56"/>
      <c r="U128" s="57" t="str">
        <f t="shared" si="14"/>
        <v xml:space="preserve"> </v>
      </c>
      <c r="V128" s="58" t="str">
        <f t="shared" si="15"/>
        <v xml:space="preserve"> </v>
      </c>
      <c r="W128" s="58" t="str">
        <f t="shared" si="16"/>
        <v xml:space="preserve"> </v>
      </c>
      <c r="X128" s="59" t="str">
        <f t="shared" si="17"/>
        <v>Water criteria (conductivity)</v>
      </c>
      <c r="Y128" s="60"/>
      <c r="Z128" s="16" t="s">
        <v>675</v>
      </c>
      <c r="AA128" s="16" t="s">
        <v>675</v>
      </c>
      <c r="AB128" s="16" t="s">
        <v>675</v>
      </c>
      <c r="AC128" s="64"/>
      <c r="AD128" s="64"/>
      <c r="AE128" s="64"/>
      <c r="AF128" s="16" t="s">
        <v>675</v>
      </c>
      <c r="AG128" s="64"/>
      <c r="AH128" s="16" t="s">
        <v>675</v>
      </c>
      <c r="AI128" s="16" t="s">
        <v>675</v>
      </c>
      <c r="AJ128" s="16" t="s">
        <v>675</v>
      </c>
      <c r="AK128" s="16" t="s">
        <v>675</v>
      </c>
      <c r="AL128" s="16" t="s">
        <v>675</v>
      </c>
      <c r="AM128" s="16" t="s">
        <v>675</v>
      </c>
      <c r="AN128" s="64"/>
      <c r="AO128" s="64"/>
      <c r="AP128" s="64"/>
      <c r="AQ128" s="16" t="s">
        <v>675</v>
      </c>
      <c r="AR128" s="64"/>
      <c r="AS128" s="16" t="s">
        <v>675</v>
      </c>
      <c r="AT128" s="16" t="s">
        <v>675</v>
      </c>
      <c r="AU128" s="16" t="s">
        <v>675</v>
      </c>
      <c r="AV128" s="64"/>
      <c r="AW128" s="16" t="s">
        <v>675</v>
      </c>
      <c r="AX128" s="16" t="s">
        <v>675</v>
      </c>
      <c r="AY128" s="64"/>
      <c r="AZ128" s="64"/>
      <c r="BA128" s="16" t="s">
        <v>675</v>
      </c>
      <c r="BB128" s="16" t="s">
        <v>675</v>
      </c>
      <c r="BC128" s="64"/>
      <c r="BD128" s="64"/>
      <c r="BE128" s="64"/>
      <c r="BF128" s="64"/>
      <c r="BG128" s="16" t="s">
        <v>675</v>
      </c>
      <c r="BH128" s="16" t="s">
        <v>675</v>
      </c>
      <c r="BI128" s="64"/>
      <c r="BJ128" s="64"/>
      <c r="BK128" s="16" t="s">
        <v>675</v>
      </c>
      <c r="BL128" s="64"/>
      <c r="BM128" s="64"/>
      <c r="BN128" s="64"/>
      <c r="BO128" s="64"/>
      <c r="BP128" s="64"/>
      <c r="BQ128" s="64"/>
      <c r="BR128" s="64"/>
      <c r="BS128" s="16" t="s">
        <v>675</v>
      </c>
      <c r="BT128" s="65"/>
    </row>
    <row r="129" spans="1:72" ht="18" hidden="1" customHeight="1" x14ac:dyDescent="0.3">
      <c r="A129" s="47" t="s">
        <v>66</v>
      </c>
      <c r="B129" s="48" t="s">
        <v>67</v>
      </c>
      <c r="C129" s="16" t="s">
        <v>2080</v>
      </c>
      <c r="D129" s="49" t="s">
        <v>1174</v>
      </c>
      <c r="E129" s="50">
        <v>45.37</v>
      </c>
      <c r="F129" s="50">
        <v>0</v>
      </c>
      <c r="G129" s="61">
        <v>2</v>
      </c>
      <c r="H129" s="16" t="s">
        <v>1398</v>
      </c>
      <c r="I129" s="48" t="s">
        <v>1016</v>
      </c>
      <c r="J129" s="16" t="s">
        <v>2386</v>
      </c>
      <c r="K129" s="49">
        <v>50</v>
      </c>
      <c r="L129" s="49">
        <v>50</v>
      </c>
      <c r="M129" s="64"/>
      <c r="N129" s="64"/>
      <c r="O129" s="63" t="str">
        <f t="shared" si="19"/>
        <v>YES</v>
      </c>
      <c r="P129" s="52"/>
      <c r="Q129" s="53">
        <f t="shared" si="11"/>
        <v>5000</v>
      </c>
      <c r="R129" s="54">
        <f t="shared" si="12"/>
        <v>2268.5</v>
      </c>
      <c r="S129" s="55" t="str">
        <f t="shared" si="13"/>
        <v xml:space="preserve"> </v>
      </c>
      <c r="T129" s="56"/>
      <c r="U129" s="57" t="str">
        <f t="shared" si="14"/>
        <v>100µg/100cm²</v>
      </c>
      <c r="V129" s="58">
        <f t="shared" si="15"/>
        <v>2268.5</v>
      </c>
      <c r="W129" s="58" t="str">
        <f t="shared" si="16"/>
        <v xml:space="preserve"> </v>
      </c>
      <c r="X129" s="59" t="str">
        <f t="shared" si="17"/>
        <v/>
      </c>
      <c r="Y129" s="60"/>
      <c r="Z129" s="16" t="s">
        <v>675</v>
      </c>
      <c r="AA129" s="16" t="s">
        <v>675</v>
      </c>
      <c r="AB129" s="16" t="s">
        <v>675</v>
      </c>
      <c r="AC129" s="64"/>
      <c r="AD129" s="16" t="s">
        <v>675</v>
      </c>
      <c r="AE129" s="16" t="s">
        <v>675</v>
      </c>
      <c r="AF129" s="16" t="s">
        <v>675</v>
      </c>
      <c r="AG129" s="64"/>
      <c r="AH129" s="16" t="s">
        <v>675</v>
      </c>
      <c r="AI129" s="16" t="s">
        <v>675</v>
      </c>
      <c r="AJ129" s="64"/>
      <c r="AK129" s="16" t="s">
        <v>675</v>
      </c>
      <c r="AL129" s="16" t="s">
        <v>675</v>
      </c>
      <c r="AM129" s="16" t="s">
        <v>675</v>
      </c>
      <c r="AN129" s="16" t="s">
        <v>675</v>
      </c>
      <c r="AO129" s="64"/>
      <c r="AP129" s="16" t="s">
        <v>675</v>
      </c>
      <c r="AQ129" s="16" t="s">
        <v>675</v>
      </c>
      <c r="AR129" s="64"/>
      <c r="AS129" s="16" t="s">
        <v>675</v>
      </c>
      <c r="AT129" s="16" t="s">
        <v>675</v>
      </c>
      <c r="AU129" s="64"/>
      <c r="AV129" s="64"/>
      <c r="AW129" s="64"/>
      <c r="AX129" s="16" t="s">
        <v>675</v>
      </c>
      <c r="AY129" s="64"/>
      <c r="AZ129" s="64"/>
      <c r="BA129" s="16" t="s">
        <v>675</v>
      </c>
      <c r="BB129" s="16" t="s">
        <v>675</v>
      </c>
      <c r="BC129" s="64"/>
      <c r="BD129" s="64"/>
      <c r="BE129" s="16" t="s">
        <v>675</v>
      </c>
      <c r="BF129" s="64"/>
      <c r="BG129" s="16" t="s">
        <v>675</v>
      </c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16" t="s">
        <v>675</v>
      </c>
      <c r="BT129" s="65"/>
    </row>
    <row r="130" spans="1:72" ht="18" customHeight="1" x14ac:dyDescent="0.3">
      <c r="A130" s="80" t="s">
        <v>1920</v>
      </c>
      <c r="B130" s="102" t="s">
        <v>840</v>
      </c>
      <c r="C130" s="87" t="s">
        <v>1591</v>
      </c>
      <c r="D130" s="16" t="s">
        <v>1114</v>
      </c>
      <c r="E130" s="50">
        <v>0</v>
      </c>
      <c r="F130" s="50">
        <v>0</v>
      </c>
      <c r="G130" s="16">
        <v>5</v>
      </c>
      <c r="H130" s="16">
        <v>1.72</v>
      </c>
      <c r="I130" s="16" t="s">
        <v>1016</v>
      </c>
      <c r="J130" s="16" t="s">
        <v>2386</v>
      </c>
      <c r="K130" s="49">
        <v>50</v>
      </c>
      <c r="L130" s="49">
        <v>50</v>
      </c>
      <c r="M130" s="64"/>
      <c r="N130" s="64"/>
      <c r="O130" s="63" t="str">
        <f t="shared" si="19"/>
        <v>YES</v>
      </c>
      <c r="P130" s="52"/>
      <c r="Q130" s="53">
        <f t="shared" si="11"/>
        <v>5000</v>
      </c>
      <c r="R130" s="54" t="str">
        <f t="shared" si="12"/>
        <v xml:space="preserve"> </v>
      </c>
      <c r="S130" s="55" t="str">
        <f t="shared" si="13"/>
        <v xml:space="preserve"> </v>
      </c>
      <c r="T130" s="56"/>
      <c r="U130" s="57" t="str">
        <f t="shared" si="14"/>
        <v xml:space="preserve"> </v>
      </c>
      <c r="V130" s="58" t="str">
        <f t="shared" si="15"/>
        <v xml:space="preserve"> </v>
      </c>
      <c r="W130" s="58" t="str">
        <f t="shared" si="16"/>
        <v xml:space="preserve"> </v>
      </c>
      <c r="X130" s="59" t="str">
        <f t="shared" si="17"/>
        <v>Mitigation</v>
      </c>
      <c r="Y130" s="60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16" t="s">
        <v>675</v>
      </c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16" t="s">
        <v>675</v>
      </c>
      <c r="BT130" s="65"/>
    </row>
    <row r="131" spans="1:72" ht="18" hidden="1" customHeight="1" x14ac:dyDescent="0.3">
      <c r="A131" s="81" t="s">
        <v>871</v>
      </c>
      <c r="B131" s="87" t="s">
        <v>1503</v>
      </c>
      <c r="C131" s="87" t="s">
        <v>1503</v>
      </c>
      <c r="D131" s="16" t="s">
        <v>1557</v>
      </c>
      <c r="E131" s="50">
        <v>30</v>
      </c>
      <c r="F131" s="50">
        <v>0</v>
      </c>
      <c r="G131" s="16">
        <v>1</v>
      </c>
      <c r="H131" s="16" t="s">
        <v>1418</v>
      </c>
      <c r="I131" s="16" t="s">
        <v>1016</v>
      </c>
      <c r="J131" s="16" t="s">
        <v>2382</v>
      </c>
      <c r="K131" s="16">
        <v>50</v>
      </c>
      <c r="L131" s="16">
        <v>50</v>
      </c>
      <c r="M131" s="64"/>
      <c r="N131" s="64"/>
      <c r="O131" s="63" t="str">
        <f t="shared" si="19"/>
        <v>YES</v>
      </c>
      <c r="P131" s="52"/>
      <c r="Q131" s="53">
        <f t="shared" si="11"/>
        <v>5000</v>
      </c>
      <c r="R131" s="54">
        <f t="shared" si="12"/>
        <v>1500</v>
      </c>
      <c r="S131" s="55" t="str">
        <f t="shared" si="13"/>
        <v xml:space="preserve"> </v>
      </c>
      <c r="T131" s="56"/>
      <c r="U131" s="57" t="str">
        <f t="shared" si="14"/>
        <v>100µg/100cm²</v>
      </c>
      <c r="V131" s="58">
        <f t="shared" si="15"/>
        <v>1500</v>
      </c>
      <c r="W131" s="58" t="str">
        <f t="shared" si="16"/>
        <v xml:space="preserve"> </v>
      </c>
      <c r="X131" s="59" t="str">
        <f t="shared" si="17"/>
        <v/>
      </c>
      <c r="Y131" s="60"/>
      <c r="Z131" s="64"/>
      <c r="AA131" s="64"/>
      <c r="AB131" s="64"/>
      <c r="AC131" s="64"/>
      <c r="AD131" s="64"/>
      <c r="AE131" s="64"/>
      <c r="AF131" s="64"/>
      <c r="AG131" s="64"/>
      <c r="AH131" s="64"/>
      <c r="AI131" s="16" t="s">
        <v>675</v>
      </c>
      <c r="AJ131" s="64"/>
      <c r="AK131" s="64"/>
      <c r="AL131" s="64"/>
      <c r="AM131" s="16" t="s">
        <v>675</v>
      </c>
      <c r="AN131" s="64"/>
      <c r="AO131" s="64"/>
      <c r="AP131" s="64"/>
      <c r="AQ131" s="64"/>
      <c r="AR131" s="64"/>
      <c r="AS131" s="64"/>
      <c r="AT131" s="64"/>
      <c r="AU131" s="82"/>
      <c r="AV131" s="82"/>
      <c r="AW131" s="82"/>
      <c r="AX131" s="64"/>
      <c r="AY131" s="64"/>
      <c r="AZ131" s="64"/>
      <c r="BA131" s="64"/>
      <c r="BB131" s="64"/>
      <c r="BC131" s="64"/>
      <c r="BD131" s="16" t="s">
        <v>675</v>
      </c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5"/>
    </row>
    <row r="132" spans="1:72" ht="18" hidden="1" customHeight="1" x14ac:dyDescent="0.3">
      <c r="A132" s="80" t="s">
        <v>1891</v>
      </c>
      <c r="B132" s="99" t="s">
        <v>459</v>
      </c>
      <c r="C132" s="16" t="s">
        <v>1502</v>
      </c>
      <c r="D132" s="16" t="s">
        <v>1491</v>
      </c>
      <c r="E132" s="50">
        <v>50</v>
      </c>
      <c r="F132" s="50">
        <v>0</v>
      </c>
      <c r="G132" s="16">
        <v>3</v>
      </c>
      <c r="H132" s="16" t="s">
        <v>1887</v>
      </c>
      <c r="I132" s="16" t="s">
        <v>1016</v>
      </c>
      <c r="J132" s="16" t="s">
        <v>2382</v>
      </c>
      <c r="K132" s="16">
        <v>50</v>
      </c>
      <c r="L132" s="16">
        <v>50</v>
      </c>
      <c r="M132" s="64"/>
      <c r="N132" s="64"/>
      <c r="O132" s="63" t="str">
        <f t="shared" si="19"/>
        <v>YES</v>
      </c>
      <c r="P132" s="52"/>
      <c r="Q132" s="53">
        <f t="shared" si="11"/>
        <v>5000</v>
      </c>
      <c r="R132" s="54">
        <f t="shared" si="12"/>
        <v>2500</v>
      </c>
      <c r="S132" s="55" t="str">
        <f t="shared" si="13"/>
        <v xml:space="preserve"> </v>
      </c>
      <c r="T132" s="56"/>
      <c r="U132" s="57" t="str">
        <f t="shared" si="14"/>
        <v>100µg/100cm²</v>
      </c>
      <c r="V132" s="58">
        <f t="shared" si="15"/>
        <v>2500</v>
      </c>
      <c r="W132" s="58" t="str">
        <f t="shared" si="16"/>
        <v xml:space="preserve"> </v>
      </c>
      <c r="X132" s="59" t="str">
        <f t="shared" si="17"/>
        <v/>
      </c>
      <c r="Y132" s="60"/>
      <c r="Z132" s="16" t="s">
        <v>1987</v>
      </c>
      <c r="AA132" s="16" t="s">
        <v>1987</v>
      </c>
      <c r="AB132" s="16" t="s">
        <v>1987</v>
      </c>
      <c r="AC132" s="16" t="s">
        <v>1987</v>
      </c>
      <c r="AD132" s="16" t="s">
        <v>1987</v>
      </c>
      <c r="AE132" s="16" t="s">
        <v>1987</v>
      </c>
      <c r="AF132" s="16" t="s">
        <v>1987</v>
      </c>
      <c r="AG132" s="16" t="s">
        <v>1987</v>
      </c>
      <c r="AH132" s="16" t="s">
        <v>1987</v>
      </c>
      <c r="AI132" s="16" t="s">
        <v>1987</v>
      </c>
      <c r="AJ132" s="16" t="s">
        <v>1987</v>
      </c>
      <c r="AK132" s="16" t="s">
        <v>1987</v>
      </c>
      <c r="AL132" s="16" t="s">
        <v>1987</v>
      </c>
      <c r="AM132" s="16" t="s">
        <v>1987</v>
      </c>
      <c r="AN132" s="16" t="s">
        <v>1987</v>
      </c>
      <c r="AO132" s="16" t="s">
        <v>1987</v>
      </c>
      <c r="AP132" s="16" t="s">
        <v>1987</v>
      </c>
      <c r="AQ132" s="16" t="s">
        <v>1987</v>
      </c>
      <c r="AR132" s="16" t="s">
        <v>1987</v>
      </c>
      <c r="AS132" s="16" t="s">
        <v>1987</v>
      </c>
      <c r="AT132" s="16" t="s">
        <v>1987</v>
      </c>
      <c r="AU132" s="16" t="s">
        <v>1987</v>
      </c>
      <c r="AV132" s="16" t="s">
        <v>1987</v>
      </c>
      <c r="AW132" s="16" t="s">
        <v>1987</v>
      </c>
      <c r="AX132" s="16" t="s">
        <v>1987</v>
      </c>
      <c r="AY132" s="16" t="s">
        <v>1987</v>
      </c>
      <c r="AZ132" s="16" t="s">
        <v>1987</v>
      </c>
      <c r="BA132" s="16" t="s">
        <v>1987</v>
      </c>
      <c r="BB132" s="16" t="s">
        <v>1987</v>
      </c>
      <c r="BC132" s="16" t="s">
        <v>1987</v>
      </c>
      <c r="BD132" s="16" t="s">
        <v>1987</v>
      </c>
      <c r="BE132" s="16" t="s">
        <v>1987</v>
      </c>
      <c r="BF132" s="16" t="s">
        <v>1987</v>
      </c>
      <c r="BG132" s="16" t="s">
        <v>1987</v>
      </c>
      <c r="BH132" s="16" t="s">
        <v>1987</v>
      </c>
      <c r="BI132" s="16" t="s">
        <v>1987</v>
      </c>
      <c r="BJ132" s="16" t="s">
        <v>1987</v>
      </c>
      <c r="BK132" s="16" t="s">
        <v>1987</v>
      </c>
      <c r="BL132" s="16" t="s">
        <v>1987</v>
      </c>
      <c r="BM132" s="16" t="s">
        <v>1987</v>
      </c>
      <c r="BN132" s="16" t="s">
        <v>1987</v>
      </c>
      <c r="BO132" s="16" t="s">
        <v>1987</v>
      </c>
      <c r="BP132" s="16" t="s">
        <v>1987</v>
      </c>
      <c r="BQ132" s="16" t="s">
        <v>1987</v>
      </c>
      <c r="BR132" s="16" t="s">
        <v>1987</v>
      </c>
      <c r="BS132" s="16" t="s">
        <v>1987</v>
      </c>
      <c r="BT132" s="16" t="s">
        <v>1987</v>
      </c>
    </row>
    <row r="133" spans="1:72" ht="18" hidden="1" customHeight="1" x14ac:dyDescent="0.3">
      <c r="A133" s="47" t="s">
        <v>1990</v>
      </c>
      <c r="B133" s="76" t="s">
        <v>459</v>
      </c>
      <c r="C133" s="16" t="s">
        <v>1595</v>
      </c>
      <c r="D133" s="16" t="s">
        <v>1305</v>
      </c>
      <c r="E133" s="50">
        <v>53.3</v>
      </c>
      <c r="F133" s="50">
        <v>0</v>
      </c>
      <c r="G133" s="16">
        <v>7</v>
      </c>
      <c r="H133" s="16" t="s">
        <v>1105</v>
      </c>
      <c r="I133" s="48" t="s">
        <v>1016</v>
      </c>
      <c r="J133" s="16" t="s">
        <v>2386</v>
      </c>
      <c r="K133" s="49">
        <v>50</v>
      </c>
      <c r="L133" s="49">
        <v>50</v>
      </c>
      <c r="M133" s="64"/>
      <c r="N133" s="64"/>
      <c r="O133" s="63" t="str">
        <f t="shared" si="19"/>
        <v>YES</v>
      </c>
      <c r="P133" s="52"/>
      <c r="Q133" s="53">
        <f t="shared" si="11"/>
        <v>5000</v>
      </c>
      <c r="R133" s="54">
        <f t="shared" si="12"/>
        <v>2665</v>
      </c>
      <c r="S133" s="55" t="str">
        <f t="shared" si="13"/>
        <v xml:space="preserve"> </v>
      </c>
      <c r="T133" s="56"/>
      <c r="U133" s="57" t="str">
        <f t="shared" si="14"/>
        <v>100µg/100cm²</v>
      </c>
      <c r="V133" s="58">
        <f t="shared" si="15"/>
        <v>2665</v>
      </c>
      <c r="W133" s="58" t="str">
        <f t="shared" si="16"/>
        <v xml:space="preserve"> </v>
      </c>
      <c r="X133" s="59" t="str">
        <f t="shared" si="17"/>
        <v/>
      </c>
      <c r="Y133" s="60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</row>
    <row r="134" spans="1:72" ht="18" customHeight="1" x14ac:dyDescent="0.3">
      <c r="A134" s="47" t="s">
        <v>1732</v>
      </c>
      <c r="B134" s="48" t="s">
        <v>1733</v>
      </c>
      <c r="C134" s="67" t="s">
        <v>2081</v>
      </c>
      <c r="D134" s="16" t="s">
        <v>1789</v>
      </c>
      <c r="E134" s="50">
        <v>0</v>
      </c>
      <c r="F134" s="50">
        <v>0</v>
      </c>
      <c r="G134" s="16">
        <v>5</v>
      </c>
      <c r="H134" s="16">
        <v>2</v>
      </c>
      <c r="I134" s="70" t="s">
        <v>1474</v>
      </c>
      <c r="J134" s="16" t="s">
        <v>2386</v>
      </c>
      <c r="K134" s="49">
        <v>50</v>
      </c>
      <c r="L134" s="49">
        <v>50</v>
      </c>
      <c r="M134" s="64"/>
      <c r="N134" s="64"/>
      <c r="O134" s="63" t="str">
        <f t="shared" si="19"/>
        <v>YES</v>
      </c>
      <c r="P134" s="52"/>
      <c r="Q134" s="53">
        <f t="shared" si="11"/>
        <v>5000</v>
      </c>
      <c r="R134" s="54" t="str">
        <f t="shared" si="12"/>
        <v xml:space="preserve"> </v>
      </c>
      <c r="S134" s="55" t="str">
        <f t="shared" si="13"/>
        <v xml:space="preserve"> </v>
      </c>
      <c r="T134" s="56"/>
      <c r="U134" s="57" t="str">
        <f t="shared" si="14"/>
        <v xml:space="preserve"> </v>
      </c>
      <c r="V134" s="58" t="str">
        <f t="shared" si="15"/>
        <v xml:space="preserve"> </v>
      </c>
      <c r="W134" s="58" t="str">
        <f t="shared" si="16"/>
        <v xml:space="preserve"> </v>
      </c>
      <c r="X134" s="59" t="str">
        <f t="shared" si="17"/>
        <v>Mitigation</v>
      </c>
      <c r="Y134" s="60"/>
      <c r="Z134" s="16" t="s">
        <v>675</v>
      </c>
      <c r="AA134" s="16" t="s">
        <v>675</v>
      </c>
      <c r="AB134" s="16" t="s">
        <v>675</v>
      </c>
      <c r="AC134" s="64"/>
      <c r="AD134" s="64"/>
      <c r="AE134" s="16" t="s">
        <v>675</v>
      </c>
      <c r="AF134" s="16" t="s">
        <v>675</v>
      </c>
      <c r="AG134" s="16" t="s">
        <v>675</v>
      </c>
      <c r="AH134" s="16" t="s">
        <v>675</v>
      </c>
      <c r="AI134" s="64"/>
      <c r="AJ134" s="16" t="s">
        <v>675</v>
      </c>
      <c r="AK134" s="16" t="s">
        <v>675</v>
      </c>
      <c r="AL134" s="16" t="s">
        <v>675</v>
      </c>
      <c r="AM134" s="16" t="s">
        <v>675</v>
      </c>
      <c r="AN134" s="64"/>
      <c r="AO134" s="64"/>
      <c r="AP134" s="64"/>
      <c r="AQ134" s="64"/>
      <c r="AR134" s="64"/>
      <c r="AS134" s="64"/>
      <c r="AT134" s="16" t="s">
        <v>675</v>
      </c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5"/>
    </row>
    <row r="135" spans="1:72" ht="18" hidden="1" customHeight="1" x14ac:dyDescent="0.3">
      <c r="A135" s="81" t="s">
        <v>522</v>
      </c>
      <c r="B135" s="99" t="s">
        <v>523</v>
      </c>
      <c r="C135" s="87" t="s">
        <v>1504</v>
      </c>
      <c r="D135" s="16" t="s">
        <v>1486</v>
      </c>
      <c r="E135" s="50">
        <v>66.12</v>
      </c>
      <c r="F135" s="50">
        <v>0</v>
      </c>
      <c r="G135" s="16">
        <v>2</v>
      </c>
      <c r="H135" s="16">
        <v>310</v>
      </c>
      <c r="I135" s="16" t="s">
        <v>1016</v>
      </c>
      <c r="J135" s="16" t="s">
        <v>2382</v>
      </c>
      <c r="K135" s="16">
        <v>50</v>
      </c>
      <c r="L135" s="16">
        <v>50</v>
      </c>
      <c r="M135" s="64"/>
      <c r="N135" s="64"/>
      <c r="O135" s="63" t="str">
        <f t="shared" si="19"/>
        <v>YES</v>
      </c>
      <c r="P135" s="52"/>
      <c r="Q135" s="53">
        <f t="shared" si="11"/>
        <v>5000</v>
      </c>
      <c r="R135" s="54">
        <f t="shared" si="12"/>
        <v>3306</v>
      </c>
      <c r="S135" s="55" t="str">
        <f t="shared" si="13"/>
        <v xml:space="preserve"> </v>
      </c>
      <c r="T135" s="56"/>
      <c r="U135" s="57" t="str">
        <f t="shared" si="14"/>
        <v>100µg/100cm²</v>
      </c>
      <c r="V135" s="58">
        <f t="shared" si="15"/>
        <v>3306</v>
      </c>
      <c r="W135" s="58" t="str">
        <f t="shared" si="16"/>
        <v xml:space="preserve"> </v>
      </c>
      <c r="X135" s="59" t="str">
        <f t="shared" si="17"/>
        <v/>
      </c>
      <c r="Y135" s="60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16" t="s">
        <v>675</v>
      </c>
      <c r="AS135" s="16" t="s">
        <v>675</v>
      </c>
      <c r="AT135" s="64"/>
      <c r="AU135" s="83" t="s">
        <v>675</v>
      </c>
      <c r="AV135" s="83" t="s">
        <v>675</v>
      </c>
      <c r="AW135" s="16" t="s">
        <v>675</v>
      </c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5"/>
    </row>
    <row r="136" spans="1:72" ht="18" hidden="1" customHeight="1" x14ac:dyDescent="0.3">
      <c r="A136" s="81" t="s">
        <v>872</v>
      </c>
      <c r="B136" s="99" t="s">
        <v>555</v>
      </c>
      <c r="C136" s="16" t="s">
        <v>1509</v>
      </c>
      <c r="D136" s="16" t="s">
        <v>1552</v>
      </c>
      <c r="E136" s="50">
        <v>50</v>
      </c>
      <c r="F136" s="50">
        <v>0</v>
      </c>
      <c r="G136" s="16">
        <v>5</v>
      </c>
      <c r="H136" s="103" t="s">
        <v>1986</v>
      </c>
      <c r="I136" s="16" t="s">
        <v>1016</v>
      </c>
      <c r="J136" s="16" t="s">
        <v>2382</v>
      </c>
      <c r="K136" s="16">
        <v>50</v>
      </c>
      <c r="L136" s="16">
        <v>50</v>
      </c>
      <c r="M136" s="64"/>
      <c r="N136" s="64"/>
      <c r="O136" s="63" t="str">
        <f t="shared" si="19"/>
        <v>YES</v>
      </c>
      <c r="P136" s="52"/>
      <c r="Q136" s="53">
        <f t="shared" ref="Q136:Q199" si="20">IF(K136="Pending","Pending",IF(AND(K136&lt;5000,O136="YES"),MIN(ROUNDDOWN(K136*25550/140,1),5000),IF(AND(K136&lt;5000,O136="NO"),K136,IF(K136&gt;=5000,5000))))</f>
        <v>5000</v>
      </c>
      <c r="R136" s="54">
        <f t="shared" ref="R136:R199" si="21">IF(Q136="Pending","Pending",IF(E136=0," ",ROUNDDOWN(Q136*E136/100,1)))</f>
        <v>2500</v>
      </c>
      <c r="S136" s="55" t="str">
        <f t="shared" ref="S136:S199" si="22">IF(Q136="Pending","Pending",IF(F136=0, " ",ROUNDDOWN(Q136*F136/100,1)))</f>
        <v xml:space="preserve"> </v>
      </c>
      <c r="T136" s="56"/>
      <c r="U136" s="57" t="str">
        <f t="shared" ref="U136:U199" si="23">IF(Q136="Pending","Pending",IF(R136= " ", " ", IF(R136&lt;20, "Mitigation", "100µg/100cm²")))</f>
        <v>100µg/100cm²</v>
      </c>
      <c r="V136" s="58">
        <f t="shared" ref="V136:V199" si="24">IF(R136=0, " ", R136)</f>
        <v>2500</v>
      </c>
      <c r="W136" s="58" t="str">
        <f t="shared" ref="W136:W199" si="25">IF(Q136="Pending","Pending",IF(S136= " ", " ", IF(S136&lt;20, "Mitigation", "100µg/100cm²")))</f>
        <v xml:space="preserve"> </v>
      </c>
      <c r="X136" s="59" t="str">
        <f t="shared" ref="X136:X199" si="26">IF(K136="","Pending",IF(AND(Q136=5000,G136&lt;4,SUM(E136,F136)=0),"Water criteria (conductivity)",IF(AND(Q136=5000,G136&gt;3,SUM(E136,F136)=0),"Mitigation",IF(AND(Q136&lt;5000,G136&gt;0,SUM(E136,F136)=0),"Mitigation",""))))</f>
        <v/>
      </c>
      <c r="Y136" s="60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16" t="s">
        <v>675</v>
      </c>
      <c r="AR136" s="64"/>
      <c r="AS136" s="16" t="s">
        <v>675</v>
      </c>
      <c r="AT136" s="64"/>
      <c r="AU136" s="82"/>
      <c r="AV136" s="82"/>
      <c r="AW136" s="82"/>
      <c r="AX136" s="64"/>
      <c r="AY136" s="16" t="s">
        <v>675</v>
      </c>
      <c r="AZ136" s="16" t="s">
        <v>675</v>
      </c>
      <c r="BA136" s="16" t="s">
        <v>675</v>
      </c>
      <c r="BB136" s="16" t="s">
        <v>675</v>
      </c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5"/>
    </row>
    <row r="137" spans="1:72" ht="18" hidden="1" customHeight="1" x14ac:dyDescent="0.3">
      <c r="A137" s="47" t="s">
        <v>642</v>
      </c>
      <c r="B137" s="49" t="s">
        <v>643</v>
      </c>
      <c r="C137" s="49" t="s">
        <v>1364</v>
      </c>
      <c r="D137" s="49" t="s">
        <v>1112</v>
      </c>
      <c r="E137" s="50">
        <v>40.85</v>
      </c>
      <c r="F137" s="50">
        <v>0</v>
      </c>
      <c r="G137" s="61">
        <v>1</v>
      </c>
      <c r="H137" s="16" t="s">
        <v>1023</v>
      </c>
      <c r="I137" s="49" t="s">
        <v>1016</v>
      </c>
      <c r="J137" s="16" t="s">
        <v>2386</v>
      </c>
      <c r="K137" s="49">
        <v>50</v>
      </c>
      <c r="L137" s="49">
        <v>50</v>
      </c>
      <c r="M137" s="64"/>
      <c r="N137" s="64"/>
      <c r="O137" s="63" t="str">
        <f t="shared" si="19"/>
        <v>YES</v>
      </c>
      <c r="P137" s="52"/>
      <c r="Q137" s="53">
        <f t="shared" si="20"/>
        <v>5000</v>
      </c>
      <c r="R137" s="54">
        <f t="shared" si="21"/>
        <v>2042.5</v>
      </c>
      <c r="S137" s="55" t="str">
        <f t="shared" si="22"/>
        <v xml:space="preserve"> </v>
      </c>
      <c r="T137" s="56"/>
      <c r="U137" s="57" t="str">
        <f t="shared" si="23"/>
        <v>100µg/100cm²</v>
      </c>
      <c r="V137" s="58">
        <f t="shared" si="24"/>
        <v>2042.5</v>
      </c>
      <c r="W137" s="58" t="str">
        <f t="shared" si="25"/>
        <v xml:space="preserve"> </v>
      </c>
      <c r="X137" s="59" t="str">
        <f t="shared" si="26"/>
        <v/>
      </c>
      <c r="Y137" s="60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16" t="s">
        <v>675</v>
      </c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5"/>
    </row>
    <row r="138" spans="1:72" ht="18" customHeight="1" x14ac:dyDescent="0.3">
      <c r="A138" s="66" t="s">
        <v>661</v>
      </c>
      <c r="B138" s="48" t="s">
        <v>662</v>
      </c>
      <c r="C138" s="67" t="s">
        <v>1191</v>
      </c>
      <c r="D138" s="49" t="s">
        <v>1270</v>
      </c>
      <c r="E138" s="50">
        <v>0</v>
      </c>
      <c r="F138" s="50">
        <v>0</v>
      </c>
      <c r="G138" s="61">
        <v>7</v>
      </c>
      <c r="H138" s="16" t="s">
        <v>1105</v>
      </c>
      <c r="I138" s="48" t="s">
        <v>1016</v>
      </c>
      <c r="J138" s="16" t="s">
        <v>1351</v>
      </c>
      <c r="K138" s="62">
        <v>6800</v>
      </c>
      <c r="L138" s="62">
        <v>61650</v>
      </c>
      <c r="M138" s="49" t="s">
        <v>1014</v>
      </c>
      <c r="N138" s="64"/>
      <c r="O138" s="63" t="str">
        <f t="shared" si="19"/>
        <v>YES</v>
      </c>
      <c r="P138" s="52"/>
      <c r="Q138" s="53">
        <f t="shared" si="20"/>
        <v>5000</v>
      </c>
      <c r="R138" s="54" t="str">
        <f t="shared" si="21"/>
        <v xml:space="preserve"> </v>
      </c>
      <c r="S138" s="55" t="str">
        <f t="shared" si="22"/>
        <v xml:space="preserve"> </v>
      </c>
      <c r="T138" s="56"/>
      <c r="U138" s="57" t="str">
        <f t="shared" si="23"/>
        <v xml:space="preserve"> </v>
      </c>
      <c r="V138" s="58" t="str">
        <f t="shared" si="24"/>
        <v xml:space="preserve"> </v>
      </c>
      <c r="W138" s="58" t="str">
        <f t="shared" si="25"/>
        <v xml:space="preserve"> </v>
      </c>
      <c r="X138" s="59" t="str">
        <f t="shared" si="26"/>
        <v>Mitigation</v>
      </c>
      <c r="Y138" s="60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16" t="s">
        <v>675</v>
      </c>
      <c r="BB138" s="16" t="s">
        <v>675</v>
      </c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5"/>
    </row>
    <row r="139" spans="1:72" ht="18" customHeight="1" x14ac:dyDescent="0.3">
      <c r="A139" s="66" t="s">
        <v>1991</v>
      </c>
      <c r="B139" s="104" t="s">
        <v>366</v>
      </c>
      <c r="C139" s="67" t="s">
        <v>1191</v>
      </c>
      <c r="D139" s="49" t="s">
        <v>1270</v>
      </c>
      <c r="E139" s="50">
        <v>0</v>
      </c>
      <c r="F139" s="50">
        <v>0</v>
      </c>
      <c r="G139" s="61">
        <v>7</v>
      </c>
      <c r="H139" s="16" t="s">
        <v>1105</v>
      </c>
      <c r="I139" s="87" t="s">
        <v>1016</v>
      </c>
      <c r="J139" s="16" t="s">
        <v>1351</v>
      </c>
      <c r="K139" s="62">
        <v>6800</v>
      </c>
      <c r="L139" s="62">
        <v>61650</v>
      </c>
      <c r="M139" s="49" t="s">
        <v>1014</v>
      </c>
      <c r="N139" s="64"/>
      <c r="O139" s="63" t="str">
        <f t="shared" si="19"/>
        <v>YES</v>
      </c>
      <c r="P139" s="52"/>
      <c r="Q139" s="53">
        <f t="shared" si="20"/>
        <v>5000</v>
      </c>
      <c r="R139" s="54" t="str">
        <f t="shared" si="21"/>
        <v xml:space="preserve"> </v>
      </c>
      <c r="S139" s="55" t="str">
        <f t="shared" si="22"/>
        <v xml:space="preserve"> </v>
      </c>
      <c r="T139" s="56"/>
      <c r="U139" s="57" t="str">
        <f t="shared" si="23"/>
        <v xml:space="preserve"> </v>
      </c>
      <c r="V139" s="58" t="str">
        <f t="shared" si="24"/>
        <v xml:space="preserve"> </v>
      </c>
      <c r="W139" s="58" t="str">
        <f t="shared" si="25"/>
        <v xml:space="preserve"> </v>
      </c>
      <c r="X139" s="59" t="str">
        <f t="shared" si="26"/>
        <v>Mitigation</v>
      </c>
      <c r="Y139" s="60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16" t="s">
        <v>675</v>
      </c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5"/>
    </row>
    <row r="140" spans="1:72" ht="18" customHeight="1" x14ac:dyDescent="0.3">
      <c r="A140" s="66" t="s">
        <v>655</v>
      </c>
      <c r="B140" s="69" t="s">
        <v>656</v>
      </c>
      <c r="C140" s="67" t="s">
        <v>1191</v>
      </c>
      <c r="D140" s="67" t="s">
        <v>1270</v>
      </c>
      <c r="E140" s="50">
        <v>0</v>
      </c>
      <c r="F140" s="50">
        <v>0</v>
      </c>
      <c r="G140" s="61">
        <v>7</v>
      </c>
      <c r="H140" s="16" t="s">
        <v>1271</v>
      </c>
      <c r="I140" s="48" t="s">
        <v>1016</v>
      </c>
      <c r="J140" s="16" t="s">
        <v>1272</v>
      </c>
      <c r="K140" s="62">
        <v>6800</v>
      </c>
      <c r="L140" s="62">
        <v>61650</v>
      </c>
      <c r="M140" s="49" t="s">
        <v>1014</v>
      </c>
      <c r="N140" s="51"/>
      <c r="O140" s="63" t="str">
        <f t="shared" si="19"/>
        <v>YES</v>
      </c>
      <c r="P140" s="52"/>
      <c r="Q140" s="53">
        <f t="shared" si="20"/>
        <v>5000</v>
      </c>
      <c r="R140" s="54" t="str">
        <f t="shared" si="21"/>
        <v xml:space="preserve"> </v>
      </c>
      <c r="S140" s="55" t="str">
        <f t="shared" si="22"/>
        <v xml:space="preserve"> </v>
      </c>
      <c r="T140" s="56"/>
      <c r="U140" s="57" t="str">
        <f t="shared" si="23"/>
        <v xml:space="preserve"> </v>
      </c>
      <c r="V140" s="58" t="str">
        <f t="shared" si="24"/>
        <v xml:space="preserve"> </v>
      </c>
      <c r="W140" s="58" t="str">
        <f t="shared" si="25"/>
        <v xml:space="preserve"> </v>
      </c>
      <c r="X140" s="59" t="str">
        <f t="shared" si="26"/>
        <v>Mitigation</v>
      </c>
      <c r="Y140" s="60"/>
      <c r="Z140" s="64"/>
      <c r="AA140" s="64"/>
      <c r="AB140" s="16" t="s">
        <v>675</v>
      </c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16" t="s">
        <v>675</v>
      </c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16" t="s">
        <v>675</v>
      </c>
      <c r="BB140" s="16" t="s">
        <v>675</v>
      </c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5"/>
    </row>
    <row r="141" spans="1:72" ht="18" hidden="1" customHeight="1" x14ac:dyDescent="0.3">
      <c r="A141" s="98" t="s">
        <v>461</v>
      </c>
      <c r="B141" s="99" t="s">
        <v>459</v>
      </c>
      <c r="C141" s="16" t="s">
        <v>1499</v>
      </c>
      <c r="D141" s="16" t="s">
        <v>1495</v>
      </c>
      <c r="E141" s="50">
        <v>10</v>
      </c>
      <c r="F141" s="50">
        <v>0</v>
      </c>
      <c r="G141" s="16">
        <v>7</v>
      </c>
      <c r="H141" s="16" t="s">
        <v>1428</v>
      </c>
      <c r="I141" s="16" t="s">
        <v>1016</v>
      </c>
      <c r="J141" s="16" t="s">
        <v>2382</v>
      </c>
      <c r="K141" s="16">
        <v>50</v>
      </c>
      <c r="L141" s="16">
        <v>50</v>
      </c>
      <c r="M141" s="64"/>
      <c r="N141" s="64"/>
      <c r="O141" s="63" t="str">
        <f t="shared" si="19"/>
        <v>YES</v>
      </c>
      <c r="P141" s="52"/>
      <c r="Q141" s="53">
        <f t="shared" si="20"/>
        <v>5000</v>
      </c>
      <c r="R141" s="54">
        <f t="shared" si="21"/>
        <v>500</v>
      </c>
      <c r="S141" s="55" t="str">
        <f t="shared" si="22"/>
        <v xml:space="preserve"> </v>
      </c>
      <c r="T141" s="56"/>
      <c r="U141" s="57" t="str">
        <f t="shared" si="23"/>
        <v>100µg/100cm²</v>
      </c>
      <c r="V141" s="58">
        <f t="shared" si="24"/>
        <v>500</v>
      </c>
      <c r="W141" s="58" t="str">
        <f t="shared" si="25"/>
        <v xml:space="preserve"> </v>
      </c>
      <c r="X141" s="59" t="str">
        <f t="shared" si="26"/>
        <v/>
      </c>
      <c r="Y141" s="60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16" t="s">
        <v>675</v>
      </c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5"/>
    </row>
    <row r="142" spans="1:72" ht="18" hidden="1" customHeight="1" x14ac:dyDescent="0.3">
      <c r="A142" s="47" t="s">
        <v>1926</v>
      </c>
      <c r="B142" s="76" t="s">
        <v>1927</v>
      </c>
      <c r="C142" s="17" t="s">
        <v>1928</v>
      </c>
      <c r="D142" s="16" t="s">
        <v>1605</v>
      </c>
      <c r="E142" s="50">
        <v>42.07</v>
      </c>
      <c r="F142" s="50">
        <v>0</v>
      </c>
      <c r="G142" s="16">
        <v>2</v>
      </c>
      <c r="H142" s="16">
        <v>125</v>
      </c>
      <c r="I142" s="16" t="s">
        <v>1573</v>
      </c>
      <c r="J142" s="16" t="s">
        <v>2386</v>
      </c>
      <c r="K142" s="49">
        <v>50</v>
      </c>
      <c r="L142" s="49">
        <v>50</v>
      </c>
      <c r="M142" s="64"/>
      <c r="N142" s="64"/>
      <c r="O142" s="63" t="str">
        <f t="shared" si="19"/>
        <v>YES</v>
      </c>
      <c r="P142" s="73"/>
      <c r="Q142" s="53">
        <f t="shared" si="20"/>
        <v>5000</v>
      </c>
      <c r="R142" s="54">
        <f t="shared" si="21"/>
        <v>2103.5</v>
      </c>
      <c r="S142" s="55" t="str">
        <f t="shared" si="22"/>
        <v xml:space="preserve"> </v>
      </c>
      <c r="T142" s="105"/>
      <c r="U142" s="57" t="str">
        <f t="shared" si="23"/>
        <v>100µg/100cm²</v>
      </c>
      <c r="V142" s="58">
        <f t="shared" si="24"/>
        <v>2103.5</v>
      </c>
      <c r="W142" s="58" t="str">
        <f t="shared" si="25"/>
        <v xml:space="preserve"> </v>
      </c>
      <c r="X142" s="59" t="str">
        <f t="shared" si="26"/>
        <v/>
      </c>
      <c r="Y142" s="106"/>
      <c r="Z142" s="16" t="s">
        <v>1987</v>
      </c>
      <c r="AA142" s="16" t="s">
        <v>1987</v>
      </c>
      <c r="AB142" s="16" t="s">
        <v>1987</v>
      </c>
      <c r="AC142" s="16" t="s">
        <v>1987</v>
      </c>
      <c r="AD142" s="16" t="s">
        <v>1987</v>
      </c>
      <c r="AE142" s="16" t="s">
        <v>1987</v>
      </c>
      <c r="AF142" s="16" t="s">
        <v>1987</v>
      </c>
      <c r="AG142" s="16" t="s">
        <v>1987</v>
      </c>
      <c r="AH142" s="16" t="s">
        <v>1987</v>
      </c>
      <c r="AI142" s="16" t="s">
        <v>1987</v>
      </c>
      <c r="AJ142" s="16" t="s">
        <v>1987</v>
      </c>
      <c r="AK142" s="16" t="s">
        <v>1987</v>
      </c>
      <c r="AL142" s="16" t="s">
        <v>1987</v>
      </c>
      <c r="AM142" s="16" t="s">
        <v>1987</v>
      </c>
      <c r="AN142" s="16" t="s">
        <v>1987</v>
      </c>
      <c r="AO142" s="16" t="s">
        <v>1987</v>
      </c>
      <c r="AP142" s="16" t="s">
        <v>1987</v>
      </c>
      <c r="AQ142" s="16" t="s">
        <v>1987</v>
      </c>
      <c r="AR142" s="16" t="s">
        <v>1987</v>
      </c>
      <c r="AS142" s="16" t="s">
        <v>1987</v>
      </c>
      <c r="AT142" s="16" t="s">
        <v>1987</v>
      </c>
      <c r="AU142" s="16" t="s">
        <v>1987</v>
      </c>
      <c r="AV142" s="16" t="s">
        <v>1987</v>
      </c>
      <c r="AW142" s="16" t="s">
        <v>1987</v>
      </c>
      <c r="AX142" s="16" t="s">
        <v>1987</v>
      </c>
      <c r="AY142" s="16" t="s">
        <v>1987</v>
      </c>
      <c r="AZ142" s="16" t="s">
        <v>1987</v>
      </c>
      <c r="BA142" s="16" t="s">
        <v>1987</v>
      </c>
      <c r="BB142" s="16" t="s">
        <v>1987</v>
      </c>
      <c r="BC142" s="16" t="s">
        <v>1987</v>
      </c>
      <c r="BD142" s="16" t="s">
        <v>1987</v>
      </c>
      <c r="BE142" s="16" t="s">
        <v>1987</v>
      </c>
      <c r="BF142" s="16" t="s">
        <v>1987</v>
      </c>
      <c r="BG142" s="16" t="s">
        <v>1987</v>
      </c>
      <c r="BH142" s="16" t="s">
        <v>1987</v>
      </c>
      <c r="BI142" s="16" t="s">
        <v>1987</v>
      </c>
      <c r="BJ142" s="16" t="s">
        <v>1987</v>
      </c>
      <c r="BK142" s="16" t="s">
        <v>1987</v>
      </c>
      <c r="BL142" s="16" t="s">
        <v>1987</v>
      </c>
      <c r="BM142" s="16" t="s">
        <v>1987</v>
      </c>
      <c r="BN142" s="16" t="s">
        <v>1987</v>
      </c>
      <c r="BO142" s="16" t="s">
        <v>1987</v>
      </c>
      <c r="BP142" s="16" t="s">
        <v>1987</v>
      </c>
      <c r="BQ142" s="16" t="s">
        <v>1987</v>
      </c>
      <c r="BR142" s="16" t="s">
        <v>1987</v>
      </c>
      <c r="BS142" s="16" t="s">
        <v>1987</v>
      </c>
      <c r="BT142" s="16" t="s">
        <v>1987</v>
      </c>
    </row>
    <row r="143" spans="1:72" ht="18" hidden="1" customHeight="1" x14ac:dyDescent="0.3">
      <c r="A143" s="81" t="s">
        <v>462</v>
      </c>
      <c r="B143" s="99" t="s">
        <v>459</v>
      </c>
      <c r="C143" s="16" t="s">
        <v>1499</v>
      </c>
      <c r="D143" s="16" t="s">
        <v>1495</v>
      </c>
      <c r="E143" s="50">
        <v>10</v>
      </c>
      <c r="F143" s="50">
        <v>0</v>
      </c>
      <c r="G143" s="16">
        <v>7</v>
      </c>
      <c r="H143" s="16" t="s">
        <v>1428</v>
      </c>
      <c r="I143" s="16" t="s">
        <v>1016</v>
      </c>
      <c r="J143" s="16" t="s">
        <v>2382</v>
      </c>
      <c r="K143" s="16">
        <v>50</v>
      </c>
      <c r="L143" s="16">
        <v>50</v>
      </c>
      <c r="M143" s="64"/>
      <c r="N143" s="64"/>
      <c r="O143" s="63" t="str">
        <f t="shared" si="19"/>
        <v>YES</v>
      </c>
      <c r="P143" s="52"/>
      <c r="Q143" s="53">
        <f t="shared" si="20"/>
        <v>5000</v>
      </c>
      <c r="R143" s="54">
        <f t="shared" si="21"/>
        <v>500</v>
      </c>
      <c r="S143" s="55" t="str">
        <f t="shared" si="22"/>
        <v xml:space="preserve"> </v>
      </c>
      <c r="T143" s="56"/>
      <c r="U143" s="57" t="str">
        <f t="shared" si="23"/>
        <v>100µg/100cm²</v>
      </c>
      <c r="V143" s="58">
        <f t="shared" si="24"/>
        <v>500</v>
      </c>
      <c r="W143" s="58" t="str">
        <f t="shared" si="25"/>
        <v xml:space="preserve"> </v>
      </c>
      <c r="X143" s="59" t="str">
        <f t="shared" si="26"/>
        <v/>
      </c>
      <c r="Y143" s="60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16" t="s">
        <v>675</v>
      </c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16" t="s">
        <v>675</v>
      </c>
      <c r="BJ143" s="16" t="s">
        <v>675</v>
      </c>
      <c r="BK143" s="16" t="s">
        <v>675</v>
      </c>
      <c r="BL143" s="64"/>
      <c r="BM143" s="64"/>
      <c r="BN143" s="64"/>
      <c r="BO143" s="64"/>
      <c r="BP143" s="64"/>
      <c r="BQ143" s="64"/>
      <c r="BR143" s="64"/>
      <c r="BS143" s="16" t="s">
        <v>675</v>
      </c>
      <c r="BT143" s="65"/>
    </row>
    <row r="144" spans="1:72" ht="18" hidden="1" customHeight="1" x14ac:dyDescent="0.3">
      <c r="A144" s="107" t="s">
        <v>1950</v>
      </c>
      <c r="B144" s="16" t="s">
        <v>1910</v>
      </c>
      <c r="C144" s="108" t="s">
        <v>1911</v>
      </c>
      <c r="D144" s="16" t="s">
        <v>1073</v>
      </c>
      <c r="E144" s="50">
        <v>55.27</v>
      </c>
      <c r="F144" s="50">
        <v>0</v>
      </c>
      <c r="G144" s="16">
        <v>4</v>
      </c>
      <c r="H144" s="16" t="s">
        <v>1949</v>
      </c>
      <c r="I144" s="16" t="s">
        <v>1016</v>
      </c>
      <c r="J144" s="170" t="s">
        <v>2014</v>
      </c>
      <c r="K144" s="16" t="s">
        <v>2027</v>
      </c>
      <c r="L144" s="16" t="s">
        <v>2027</v>
      </c>
      <c r="M144" s="64"/>
      <c r="N144" s="64"/>
      <c r="O144" s="16" t="s">
        <v>2027</v>
      </c>
      <c r="P144" s="73"/>
      <c r="Q144" s="53" t="str">
        <f t="shared" si="20"/>
        <v>Pending</v>
      </c>
      <c r="R144" s="54" t="str">
        <f t="shared" si="21"/>
        <v>Pending</v>
      </c>
      <c r="S144" s="55" t="str">
        <f t="shared" si="22"/>
        <v>Pending</v>
      </c>
      <c r="T144" s="105"/>
      <c r="U144" s="57" t="str">
        <f t="shared" si="23"/>
        <v>Pending</v>
      </c>
      <c r="V144" s="58" t="str">
        <f t="shared" si="24"/>
        <v>Pending</v>
      </c>
      <c r="W144" s="57" t="str">
        <f t="shared" si="25"/>
        <v>Pending</v>
      </c>
      <c r="X144" s="59" t="str">
        <f t="shared" si="26"/>
        <v/>
      </c>
      <c r="Y144" s="106"/>
      <c r="Z144" s="16" t="s">
        <v>1987</v>
      </c>
      <c r="AA144" s="16" t="s">
        <v>1987</v>
      </c>
      <c r="AB144" s="16" t="s">
        <v>1987</v>
      </c>
      <c r="AC144" s="16" t="s">
        <v>1987</v>
      </c>
      <c r="AD144" s="16" t="s">
        <v>1987</v>
      </c>
      <c r="AE144" s="16" t="s">
        <v>1987</v>
      </c>
      <c r="AF144" s="16" t="s">
        <v>1987</v>
      </c>
      <c r="AG144" s="16" t="s">
        <v>1987</v>
      </c>
      <c r="AH144" s="16" t="s">
        <v>1987</v>
      </c>
      <c r="AI144" s="16" t="s">
        <v>1987</v>
      </c>
      <c r="AJ144" s="16" t="s">
        <v>1987</v>
      </c>
      <c r="AK144" s="16" t="s">
        <v>1987</v>
      </c>
      <c r="AL144" s="16" t="s">
        <v>1987</v>
      </c>
      <c r="AM144" s="16" t="s">
        <v>1987</v>
      </c>
      <c r="AN144" s="16" t="s">
        <v>1987</v>
      </c>
      <c r="AO144" s="16" t="s">
        <v>1987</v>
      </c>
      <c r="AP144" s="16" t="s">
        <v>1987</v>
      </c>
      <c r="AQ144" s="16" t="s">
        <v>1987</v>
      </c>
      <c r="AR144" s="16" t="s">
        <v>1987</v>
      </c>
      <c r="AS144" s="16" t="s">
        <v>1987</v>
      </c>
      <c r="AT144" s="16" t="s">
        <v>1987</v>
      </c>
      <c r="AU144" s="16" t="s">
        <v>1987</v>
      </c>
      <c r="AV144" s="16" t="s">
        <v>1987</v>
      </c>
      <c r="AW144" s="16" t="s">
        <v>1987</v>
      </c>
      <c r="AX144" s="16" t="s">
        <v>1987</v>
      </c>
      <c r="AY144" s="16" t="s">
        <v>1987</v>
      </c>
      <c r="AZ144" s="16" t="s">
        <v>1987</v>
      </c>
      <c r="BA144" s="16" t="s">
        <v>1987</v>
      </c>
      <c r="BB144" s="16" t="s">
        <v>1987</v>
      </c>
      <c r="BC144" s="16" t="s">
        <v>1987</v>
      </c>
      <c r="BD144" s="16" t="s">
        <v>1987</v>
      </c>
      <c r="BE144" s="16" t="s">
        <v>1987</v>
      </c>
      <c r="BF144" s="16" t="s">
        <v>1987</v>
      </c>
      <c r="BG144" s="16" t="s">
        <v>1987</v>
      </c>
      <c r="BH144" s="16" t="s">
        <v>1987</v>
      </c>
      <c r="BI144" s="16" t="s">
        <v>1987</v>
      </c>
      <c r="BJ144" s="16" t="s">
        <v>1987</v>
      </c>
      <c r="BK144" s="16" t="s">
        <v>1987</v>
      </c>
      <c r="BL144" s="16" t="s">
        <v>1987</v>
      </c>
      <c r="BM144" s="16" t="s">
        <v>1987</v>
      </c>
      <c r="BN144" s="16" t="s">
        <v>1987</v>
      </c>
      <c r="BO144" s="16" t="s">
        <v>1987</v>
      </c>
      <c r="BP144" s="16" t="s">
        <v>1987</v>
      </c>
      <c r="BQ144" s="16" t="s">
        <v>1987</v>
      </c>
      <c r="BR144" s="16" t="s">
        <v>1987</v>
      </c>
      <c r="BS144" s="16" t="s">
        <v>1987</v>
      </c>
      <c r="BT144" s="16" t="s">
        <v>1987</v>
      </c>
    </row>
    <row r="145" spans="1:72" ht="18" customHeight="1" x14ac:dyDescent="0.3">
      <c r="A145" s="47" t="s">
        <v>687</v>
      </c>
      <c r="B145" s="48" t="s">
        <v>688</v>
      </c>
      <c r="C145" s="49" t="s">
        <v>1116</v>
      </c>
      <c r="D145" s="49" t="s">
        <v>1114</v>
      </c>
      <c r="E145" s="50">
        <v>0</v>
      </c>
      <c r="F145" s="50">
        <v>0</v>
      </c>
      <c r="G145" s="61">
        <v>1</v>
      </c>
      <c r="H145" s="16">
        <v>1860</v>
      </c>
      <c r="I145" s="48" t="s">
        <v>1016</v>
      </c>
      <c r="J145" s="16" t="s">
        <v>1117</v>
      </c>
      <c r="K145" s="49">
        <v>1.5</v>
      </c>
      <c r="L145" s="49">
        <v>1.5</v>
      </c>
      <c r="M145" s="62" t="s">
        <v>1036</v>
      </c>
      <c r="N145" s="51"/>
      <c r="O145" s="63" t="str">
        <f t="shared" ref="O145:O179" si="27">IF(AND(ISBLANK(K145),ISBLANK(N145))," ",IF(ISBLANK(N145),"YES","NO"))</f>
        <v>YES</v>
      </c>
      <c r="P145" s="52"/>
      <c r="Q145" s="53">
        <f t="shared" si="20"/>
        <v>273.7</v>
      </c>
      <c r="R145" s="54" t="str">
        <f t="shared" si="21"/>
        <v xml:space="preserve"> </v>
      </c>
      <c r="S145" s="55" t="str">
        <f t="shared" si="22"/>
        <v xml:space="preserve"> </v>
      </c>
      <c r="T145" s="56"/>
      <c r="U145" s="57" t="str">
        <f t="shared" si="23"/>
        <v xml:space="preserve"> </v>
      </c>
      <c r="V145" s="58" t="str">
        <f t="shared" si="24"/>
        <v xml:space="preserve"> </v>
      </c>
      <c r="W145" s="58" t="str">
        <f t="shared" si="25"/>
        <v xml:space="preserve"> </v>
      </c>
      <c r="X145" s="59" t="str">
        <f t="shared" si="26"/>
        <v>Mitigation</v>
      </c>
      <c r="Y145" s="60"/>
      <c r="Z145" s="16" t="s">
        <v>675</v>
      </c>
      <c r="AA145" s="16" t="s">
        <v>675</v>
      </c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16" t="s">
        <v>675</v>
      </c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</row>
    <row r="146" spans="1:72" ht="18" hidden="1" customHeight="1" x14ac:dyDescent="0.3">
      <c r="A146" s="47" t="s">
        <v>605</v>
      </c>
      <c r="B146" s="48" t="s">
        <v>606</v>
      </c>
      <c r="C146" s="16" t="s">
        <v>2082</v>
      </c>
      <c r="D146" s="49" t="s">
        <v>1163</v>
      </c>
      <c r="E146" s="50">
        <v>62.64</v>
      </c>
      <c r="F146" s="50">
        <v>0</v>
      </c>
      <c r="G146" s="61">
        <v>3</v>
      </c>
      <c r="H146" s="16">
        <v>36.4</v>
      </c>
      <c r="I146" s="48" t="s">
        <v>1016</v>
      </c>
      <c r="J146" s="16" t="s">
        <v>2386</v>
      </c>
      <c r="K146" s="49">
        <v>50</v>
      </c>
      <c r="L146" s="49">
        <v>50</v>
      </c>
      <c r="M146" s="64"/>
      <c r="N146" s="64"/>
      <c r="O146" s="63" t="str">
        <f t="shared" si="27"/>
        <v>YES</v>
      </c>
      <c r="P146" s="52"/>
      <c r="Q146" s="53">
        <f t="shared" si="20"/>
        <v>5000</v>
      </c>
      <c r="R146" s="54">
        <f t="shared" si="21"/>
        <v>3132</v>
      </c>
      <c r="S146" s="55" t="str">
        <f t="shared" si="22"/>
        <v xml:space="preserve"> </v>
      </c>
      <c r="T146" s="56"/>
      <c r="U146" s="57" t="str">
        <f t="shared" si="23"/>
        <v>100µg/100cm²</v>
      </c>
      <c r="V146" s="58">
        <f t="shared" si="24"/>
        <v>3132</v>
      </c>
      <c r="W146" s="58" t="str">
        <f t="shared" si="25"/>
        <v xml:space="preserve"> </v>
      </c>
      <c r="X146" s="59" t="str">
        <f t="shared" si="26"/>
        <v/>
      </c>
      <c r="Y146" s="60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16" t="s">
        <v>675</v>
      </c>
      <c r="AV146" s="64"/>
      <c r="AW146" s="16" t="s">
        <v>675</v>
      </c>
      <c r="AX146" s="64"/>
      <c r="AY146" s="64"/>
      <c r="AZ146" s="64"/>
      <c r="BA146" s="16" t="s">
        <v>675</v>
      </c>
      <c r="BB146" s="16" t="s">
        <v>675</v>
      </c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5"/>
    </row>
    <row r="147" spans="1:72" ht="18" hidden="1" customHeight="1" x14ac:dyDescent="0.3">
      <c r="A147" s="47" t="s">
        <v>154</v>
      </c>
      <c r="B147" s="49" t="s">
        <v>118</v>
      </c>
      <c r="C147" s="49" t="s">
        <v>1354</v>
      </c>
      <c r="D147" s="83" t="s">
        <v>1305</v>
      </c>
      <c r="E147" s="50">
        <v>53.3</v>
      </c>
      <c r="F147" s="50">
        <v>0</v>
      </c>
      <c r="G147" s="61">
        <v>7</v>
      </c>
      <c r="H147" s="16" t="s">
        <v>1105</v>
      </c>
      <c r="I147" s="48" t="s">
        <v>1016</v>
      </c>
      <c r="J147" s="16" t="s">
        <v>2386</v>
      </c>
      <c r="K147" s="49">
        <v>50</v>
      </c>
      <c r="L147" s="49">
        <v>50</v>
      </c>
      <c r="M147" s="64"/>
      <c r="N147" s="64"/>
      <c r="O147" s="63" t="str">
        <f t="shared" si="27"/>
        <v>YES</v>
      </c>
      <c r="P147" s="52"/>
      <c r="Q147" s="53">
        <f t="shared" si="20"/>
        <v>5000</v>
      </c>
      <c r="R147" s="54">
        <f t="shared" si="21"/>
        <v>2665</v>
      </c>
      <c r="S147" s="55" t="str">
        <f t="shared" si="22"/>
        <v xml:space="preserve"> </v>
      </c>
      <c r="T147" s="56"/>
      <c r="U147" s="57" t="str">
        <f t="shared" si="23"/>
        <v>100µg/100cm²</v>
      </c>
      <c r="V147" s="58">
        <f t="shared" si="24"/>
        <v>2665</v>
      </c>
      <c r="W147" s="58" t="str">
        <f t="shared" si="25"/>
        <v xml:space="preserve"> </v>
      </c>
      <c r="X147" s="59" t="str">
        <f t="shared" si="26"/>
        <v/>
      </c>
      <c r="Y147" s="60"/>
      <c r="Z147" s="64"/>
      <c r="AA147" s="64"/>
      <c r="AB147" s="64"/>
      <c r="AC147" s="64"/>
      <c r="AD147" s="16" t="s">
        <v>675</v>
      </c>
      <c r="AE147" s="64"/>
      <c r="AF147" s="64"/>
      <c r="AG147" s="64"/>
      <c r="AH147" s="64"/>
      <c r="AI147" s="64"/>
      <c r="AJ147" s="64"/>
      <c r="AK147" s="64"/>
      <c r="AL147" s="64"/>
      <c r="AM147" s="16" t="s">
        <v>675</v>
      </c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5"/>
    </row>
    <row r="148" spans="1:72" ht="18" customHeight="1" x14ac:dyDescent="0.3">
      <c r="A148" s="84" t="s">
        <v>15</v>
      </c>
      <c r="B148" s="49" t="s">
        <v>16</v>
      </c>
      <c r="C148" s="70" t="s">
        <v>1336</v>
      </c>
      <c r="D148" s="70" t="s">
        <v>1011</v>
      </c>
      <c r="E148" s="50">
        <v>0</v>
      </c>
      <c r="F148" s="50">
        <v>0</v>
      </c>
      <c r="G148" s="61">
        <v>1</v>
      </c>
      <c r="H148" s="16" t="s">
        <v>1023</v>
      </c>
      <c r="I148" s="49" t="s">
        <v>1012</v>
      </c>
      <c r="J148" s="16" t="s">
        <v>2386</v>
      </c>
      <c r="K148" s="49">
        <v>50</v>
      </c>
      <c r="L148" s="49">
        <v>50</v>
      </c>
      <c r="M148" s="64"/>
      <c r="N148" s="64"/>
      <c r="O148" s="63" t="str">
        <f t="shared" si="27"/>
        <v>YES</v>
      </c>
      <c r="P148" s="52"/>
      <c r="Q148" s="53">
        <f t="shared" si="20"/>
        <v>5000</v>
      </c>
      <c r="R148" s="54" t="str">
        <f t="shared" si="21"/>
        <v xml:space="preserve"> </v>
      </c>
      <c r="S148" s="55" t="str">
        <f t="shared" si="22"/>
        <v xml:space="preserve"> </v>
      </c>
      <c r="T148" s="56"/>
      <c r="U148" s="57" t="str">
        <f t="shared" si="23"/>
        <v xml:space="preserve"> </v>
      </c>
      <c r="V148" s="58" t="str">
        <f t="shared" si="24"/>
        <v xml:space="preserve"> </v>
      </c>
      <c r="W148" s="58" t="str">
        <f t="shared" si="25"/>
        <v xml:space="preserve"> </v>
      </c>
      <c r="X148" s="59" t="str">
        <f t="shared" si="26"/>
        <v>Water criteria (conductivity)</v>
      </c>
      <c r="Y148" s="60"/>
      <c r="Z148" s="16" t="s">
        <v>675</v>
      </c>
      <c r="AA148" s="16" t="s">
        <v>675</v>
      </c>
      <c r="AB148" s="16" t="s">
        <v>675</v>
      </c>
      <c r="AC148" s="16" t="s">
        <v>675</v>
      </c>
      <c r="AD148" s="16" t="s">
        <v>675</v>
      </c>
      <c r="AE148" s="16" t="s">
        <v>675</v>
      </c>
      <c r="AF148" s="16" t="s">
        <v>675</v>
      </c>
      <c r="AG148" s="64"/>
      <c r="AH148" s="16" t="s">
        <v>675</v>
      </c>
      <c r="AI148" s="16" t="s">
        <v>675</v>
      </c>
      <c r="AJ148" s="16" t="s">
        <v>675</v>
      </c>
      <c r="AK148" s="16" t="s">
        <v>675</v>
      </c>
      <c r="AL148" s="16" t="s">
        <v>675</v>
      </c>
      <c r="AM148" s="16" t="s">
        <v>675</v>
      </c>
      <c r="AN148" s="16" t="s">
        <v>675</v>
      </c>
      <c r="AO148" s="64"/>
      <c r="AP148" s="16" t="s">
        <v>675</v>
      </c>
      <c r="AQ148" s="16" t="s">
        <v>675</v>
      </c>
      <c r="AR148" s="16" t="s">
        <v>675</v>
      </c>
      <c r="AS148" s="16" t="s">
        <v>675</v>
      </c>
      <c r="AT148" s="16" t="s">
        <v>675</v>
      </c>
      <c r="AU148" s="16" t="s">
        <v>675</v>
      </c>
      <c r="AV148" s="16" t="s">
        <v>675</v>
      </c>
      <c r="AW148" s="16" t="s">
        <v>675</v>
      </c>
      <c r="AX148" s="16" t="s">
        <v>675</v>
      </c>
      <c r="AY148" s="16" t="s">
        <v>675</v>
      </c>
      <c r="AZ148" s="16" t="s">
        <v>675</v>
      </c>
      <c r="BA148" s="16" t="s">
        <v>675</v>
      </c>
      <c r="BB148" s="16" t="s">
        <v>675</v>
      </c>
      <c r="BC148" s="64"/>
      <c r="BD148" s="64"/>
      <c r="BE148" s="64"/>
      <c r="BF148" s="64"/>
      <c r="BG148" s="64"/>
      <c r="BH148" s="16" t="s">
        <v>675</v>
      </c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16" t="s">
        <v>675</v>
      </c>
      <c r="BT148" s="65"/>
    </row>
    <row r="149" spans="1:72" ht="18" hidden="1" customHeight="1" x14ac:dyDescent="0.3">
      <c r="A149" s="66" t="s">
        <v>396</v>
      </c>
      <c r="B149" s="69" t="s">
        <v>397</v>
      </c>
      <c r="C149" s="67" t="s">
        <v>1265</v>
      </c>
      <c r="D149" s="67" t="s">
        <v>1210</v>
      </c>
      <c r="E149" s="50">
        <v>10.1</v>
      </c>
      <c r="F149" s="50">
        <v>0</v>
      </c>
      <c r="G149" s="61">
        <v>5</v>
      </c>
      <c r="H149" s="68">
        <v>8</v>
      </c>
      <c r="I149" s="48" t="s">
        <v>1016</v>
      </c>
      <c r="J149" s="16" t="s">
        <v>1266</v>
      </c>
      <c r="K149" s="49">
        <v>60</v>
      </c>
      <c r="L149" s="49">
        <v>600</v>
      </c>
      <c r="M149" s="62" t="s">
        <v>1267</v>
      </c>
      <c r="N149" s="51"/>
      <c r="O149" s="63" t="str">
        <f t="shared" si="27"/>
        <v>YES</v>
      </c>
      <c r="P149" s="52"/>
      <c r="Q149" s="53">
        <f t="shared" si="20"/>
        <v>5000</v>
      </c>
      <c r="R149" s="54">
        <f t="shared" si="21"/>
        <v>505</v>
      </c>
      <c r="S149" s="55" t="str">
        <f t="shared" si="22"/>
        <v xml:space="preserve"> </v>
      </c>
      <c r="T149" s="56"/>
      <c r="U149" s="57" t="str">
        <f t="shared" si="23"/>
        <v>100µg/100cm²</v>
      </c>
      <c r="V149" s="58">
        <f t="shared" si="24"/>
        <v>505</v>
      </c>
      <c r="W149" s="58" t="str">
        <f t="shared" si="25"/>
        <v xml:space="preserve"> </v>
      </c>
      <c r="X149" s="59" t="str">
        <f t="shared" si="26"/>
        <v/>
      </c>
      <c r="Y149" s="60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16" t="s">
        <v>675</v>
      </c>
      <c r="AS149" s="64"/>
      <c r="AT149" s="64"/>
      <c r="AU149" s="64"/>
      <c r="AV149" s="64"/>
      <c r="AW149" s="64"/>
      <c r="AX149" s="64"/>
      <c r="AY149" s="16" t="s">
        <v>675</v>
      </c>
      <c r="AZ149" s="16" t="s">
        <v>675</v>
      </c>
      <c r="BA149" s="16" t="s">
        <v>675</v>
      </c>
      <c r="BB149" s="16" t="s">
        <v>675</v>
      </c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5"/>
    </row>
    <row r="150" spans="1:72" ht="18" hidden="1" customHeight="1" x14ac:dyDescent="0.3">
      <c r="A150" s="66" t="s">
        <v>733</v>
      </c>
      <c r="B150" s="69" t="s">
        <v>450</v>
      </c>
      <c r="C150" s="16" t="s">
        <v>1285</v>
      </c>
      <c r="D150" s="67" t="s">
        <v>1073</v>
      </c>
      <c r="E150" s="50">
        <v>51.28</v>
      </c>
      <c r="F150" s="50">
        <v>0</v>
      </c>
      <c r="G150" s="61">
        <v>5</v>
      </c>
      <c r="H150" s="16">
        <v>8.6</v>
      </c>
      <c r="I150" s="48" t="s">
        <v>1016</v>
      </c>
      <c r="J150" s="16" t="s">
        <v>1286</v>
      </c>
      <c r="K150" s="49">
        <v>6.7</v>
      </c>
      <c r="L150" s="49">
        <v>60.5</v>
      </c>
      <c r="M150" s="62" t="s">
        <v>1014</v>
      </c>
      <c r="N150" s="51"/>
      <c r="O150" s="63" t="str">
        <f t="shared" si="27"/>
        <v>YES</v>
      </c>
      <c r="P150" s="52"/>
      <c r="Q150" s="53">
        <f t="shared" si="20"/>
        <v>1222.7</v>
      </c>
      <c r="R150" s="54">
        <f t="shared" si="21"/>
        <v>627</v>
      </c>
      <c r="S150" s="55" t="str">
        <f t="shared" si="22"/>
        <v xml:space="preserve"> </v>
      </c>
      <c r="T150" s="56"/>
      <c r="U150" s="57" t="str">
        <f t="shared" si="23"/>
        <v>100µg/100cm²</v>
      </c>
      <c r="V150" s="58">
        <f t="shared" si="24"/>
        <v>627</v>
      </c>
      <c r="W150" s="58" t="str">
        <f t="shared" si="25"/>
        <v xml:space="preserve"> </v>
      </c>
      <c r="X150" s="59" t="str">
        <f t="shared" si="26"/>
        <v/>
      </c>
      <c r="Y150" s="60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16" t="s">
        <v>675</v>
      </c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16" t="s">
        <v>675</v>
      </c>
      <c r="BL150" s="64"/>
      <c r="BM150" s="64"/>
      <c r="BN150" s="64"/>
      <c r="BO150" s="64"/>
      <c r="BP150" s="64"/>
      <c r="BQ150" s="64"/>
      <c r="BR150" s="64"/>
      <c r="BS150" s="16" t="s">
        <v>675</v>
      </c>
      <c r="BT150" s="65"/>
    </row>
    <row r="151" spans="1:72" ht="18" hidden="1" customHeight="1" x14ac:dyDescent="0.3">
      <c r="A151" s="81" t="s">
        <v>873</v>
      </c>
      <c r="B151" s="16" t="s">
        <v>459</v>
      </c>
      <c r="C151" s="16" t="s">
        <v>1499</v>
      </c>
      <c r="D151" s="16" t="s">
        <v>1495</v>
      </c>
      <c r="E151" s="50">
        <v>10</v>
      </c>
      <c r="F151" s="50">
        <v>0</v>
      </c>
      <c r="G151" s="16">
        <v>7</v>
      </c>
      <c r="H151" s="16" t="s">
        <v>1428</v>
      </c>
      <c r="I151" s="16" t="s">
        <v>1016</v>
      </c>
      <c r="J151" s="16" t="s">
        <v>2382</v>
      </c>
      <c r="K151" s="16">
        <v>50</v>
      </c>
      <c r="L151" s="16">
        <v>50</v>
      </c>
      <c r="M151" s="64"/>
      <c r="N151" s="64"/>
      <c r="O151" s="63" t="str">
        <f t="shared" si="27"/>
        <v>YES</v>
      </c>
      <c r="P151" s="52"/>
      <c r="Q151" s="53">
        <f t="shared" si="20"/>
        <v>5000</v>
      </c>
      <c r="R151" s="54">
        <f t="shared" si="21"/>
        <v>500</v>
      </c>
      <c r="S151" s="55" t="str">
        <f t="shared" si="22"/>
        <v xml:space="preserve"> </v>
      </c>
      <c r="T151" s="56"/>
      <c r="U151" s="57" t="str">
        <f t="shared" si="23"/>
        <v>100µg/100cm²</v>
      </c>
      <c r="V151" s="58">
        <f t="shared" si="24"/>
        <v>500</v>
      </c>
      <c r="W151" s="58" t="str">
        <f t="shared" si="25"/>
        <v xml:space="preserve"> </v>
      </c>
      <c r="X151" s="59" t="str">
        <f t="shared" si="26"/>
        <v/>
      </c>
      <c r="Y151" s="60"/>
      <c r="Z151" s="64"/>
      <c r="AA151" s="64"/>
      <c r="AB151" s="64"/>
      <c r="AC151" s="16" t="s">
        <v>675</v>
      </c>
      <c r="AD151" s="64"/>
      <c r="AE151" s="64"/>
      <c r="AF151" s="64"/>
      <c r="AG151" s="64"/>
      <c r="AH151" s="64"/>
      <c r="AI151" s="64"/>
      <c r="AJ151" s="64"/>
      <c r="AK151" s="64"/>
      <c r="AL151" s="64"/>
      <c r="AM151" s="16" t="s">
        <v>675</v>
      </c>
      <c r="AN151" s="64"/>
      <c r="AO151" s="64"/>
      <c r="AP151" s="64"/>
      <c r="AQ151" s="64"/>
      <c r="AR151" s="64"/>
      <c r="AS151" s="64"/>
      <c r="AT151" s="64"/>
      <c r="AU151" s="82"/>
      <c r="AV151" s="82"/>
      <c r="AW151" s="82"/>
      <c r="AX151" s="64"/>
      <c r="AY151" s="64"/>
      <c r="AZ151" s="64"/>
      <c r="BA151" s="64"/>
      <c r="BB151" s="64"/>
      <c r="BC151" s="64"/>
      <c r="BD151" s="16" t="s">
        <v>675</v>
      </c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5"/>
    </row>
    <row r="152" spans="1:72" ht="18" hidden="1" customHeight="1" x14ac:dyDescent="0.3">
      <c r="A152" s="47" t="s">
        <v>106</v>
      </c>
      <c r="B152" s="48" t="s">
        <v>107</v>
      </c>
      <c r="C152" s="16" t="s">
        <v>2083</v>
      </c>
      <c r="D152" s="49" t="s">
        <v>1104</v>
      </c>
      <c r="E152" s="50">
        <v>83.94</v>
      </c>
      <c r="F152" s="50">
        <v>0</v>
      </c>
      <c r="G152" s="61">
        <v>7</v>
      </c>
      <c r="H152" s="16">
        <v>2E-3</v>
      </c>
      <c r="I152" s="97" t="s">
        <v>1016</v>
      </c>
      <c r="J152" s="16" t="s">
        <v>1988</v>
      </c>
      <c r="K152" s="49">
        <v>1000</v>
      </c>
      <c r="L152" s="49" t="s">
        <v>1987</v>
      </c>
      <c r="M152" s="62" t="s">
        <v>1053</v>
      </c>
      <c r="N152" s="51"/>
      <c r="O152" s="63" t="str">
        <f t="shared" si="27"/>
        <v>YES</v>
      </c>
      <c r="P152" s="52"/>
      <c r="Q152" s="53">
        <f t="shared" si="20"/>
        <v>5000</v>
      </c>
      <c r="R152" s="54">
        <f t="shared" si="21"/>
        <v>4197</v>
      </c>
      <c r="S152" s="55" t="str">
        <f t="shared" si="22"/>
        <v xml:space="preserve"> </v>
      </c>
      <c r="T152" s="56"/>
      <c r="U152" s="57" t="str">
        <f t="shared" si="23"/>
        <v>100µg/100cm²</v>
      </c>
      <c r="V152" s="58">
        <f t="shared" si="24"/>
        <v>4197</v>
      </c>
      <c r="W152" s="58" t="str">
        <f t="shared" si="25"/>
        <v xml:space="preserve"> </v>
      </c>
      <c r="X152" s="59" t="str">
        <f t="shared" si="26"/>
        <v/>
      </c>
      <c r="Y152" s="60"/>
      <c r="Z152" s="64"/>
      <c r="AA152" s="64"/>
      <c r="AB152" s="64"/>
      <c r="AC152" s="16" t="s">
        <v>675</v>
      </c>
      <c r="AD152" s="16" t="s">
        <v>675</v>
      </c>
      <c r="AE152" s="16" t="s">
        <v>675</v>
      </c>
      <c r="AF152" s="16" t="s">
        <v>675</v>
      </c>
      <c r="AG152" s="64"/>
      <c r="AH152" s="64"/>
      <c r="AI152" s="16" t="s">
        <v>675</v>
      </c>
      <c r="AJ152" s="64"/>
      <c r="AK152" s="64"/>
      <c r="AL152" s="64"/>
      <c r="AM152" s="16" t="s">
        <v>675</v>
      </c>
      <c r="AN152" s="16" t="s">
        <v>675</v>
      </c>
      <c r="AO152" s="64"/>
      <c r="AP152" s="16" t="s">
        <v>675</v>
      </c>
      <c r="AQ152" s="64"/>
      <c r="AR152" s="64"/>
      <c r="AS152" s="16" t="s">
        <v>675</v>
      </c>
      <c r="AT152" s="16" t="s">
        <v>675</v>
      </c>
      <c r="AU152" s="64"/>
      <c r="AV152" s="16" t="s">
        <v>675</v>
      </c>
      <c r="AW152" s="16" t="s">
        <v>675</v>
      </c>
      <c r="AX152" s="16" t="s">
        <v>675</v>
      </c>
      <c r="AY152" s="64"/>
      <c r="AZ152" s="64"/>
      <c r="BA152" s="64"/>
      <c r="BB152" s="64"/>
      <c r="BC152" s="64"/>
      <c r="BD152" s="16" t="s">
        <v>675</v>
      </c>
      <c r="BE152" s="64"/>
      <c r="BF152" s="64"/>
      <c r="BG152" s="16" t="s">
        <v>675</v>
      </c>
      <c r="BH152" s="64"/>
      <c r="BI152" s="64"/>
      <c r="BJ152" s="64"/>
      <c r="BK152" s="16" t="s">
        <v>675</v>
      </c>
      <c r="BL152" s="64"/>
      <c r="BM152" s="64"/>
      <c r="BN152" s="64"/>
      <c r="BO152" s="64"/>
      <c r="BP152" s="64"/>
      <c r="BQ152" s="64"/>
      <c r="BR152" s="64"/>
      <c r="BS152" s="16" t="s">
        <v>675</v>
      </c>
      <c r="BT152" s="65"/>
    </row>
    <row r="153" spans="1:72" ht="18" hidden="1" customHeight="1" x14ac:dyDescent="0.3">
      <c r="A153" s="47" t="s">
        <v>68</v>
      </c>
      <c r="B153" s="48" t="s">
        <v>69</v>
      </c>
      <c r="C153" s="16" t="s">
        <v>2084</v>
      </c>
      <c r="D153" s="49" t="s">
        <v>1174</v>
      </c>
      <c r="E153" s="50">
        <v>43.01</v>
      </c>
      <c r="F153" s="50">
        <v>0</v>
      </c>
      <c r="G153" s="61">
        <v>1</v>
      </c>
      <c r="H153" s="16" t="s">
        <v>1023</v>
      </c>
      <c r="I153" s="48" t="s">
        <v>1016</v>
      </c>
      <c r="J153" s="16" t="s">
        <v>2386</v>
      </c>
      <c r="K153" s="49">
        <v>50</v>
      </c>
      <c r="L153" s="49">
        <v>50</v>
      </c>
      <c r="M153" s="64"/>
      <c r="N153" s="64"/>
      <c r="O153" s="63" t="str">
        <f t="shared" si="27"/>
        <v>YES</v>
      </c>
      <c r="P153" s="52"/>
      <c r="Q153" s="53">
        <f t="shared" si="20"/>
        <v>5000</v>
      </c>
      <c r="R153" s="54">
        <f t="shared" si="21"/>
        <v>2150.5</v>
      </c>
      <c r="S153" s="55" t="str">
        <f t="shared" si="22"/>
        <v xml:space="preserve"> </v>
      </c>
      <c r="T153" s="56"/>
      <c r="U153" s="57" t="str">
        <f t="shared" si="23"/>
        <v>100µg/100cm²</v>
      </c>
      <c r="V153" s="58">
        <f t="shared" si="24"/>
        <v>2150.5</v>
      </c>
      <c r="W153" s="58" t="str">
        <f t="shared" si="25"/>
        <v xml:space="preserve"> </v>
      </c>
      <c r="X153" s="59" t="str">
        <f t="shared" si="26"/>
        <v/>
      </c>
      <c r="Y153" s="60"/>
      <c r="Z153" s="64"/>
      <c r="AA153" s="64"/>
      <c r="AB153" s="16" t="s">
        <v>675</v>
      </c>
      <c r="AC153" s="64"/>
      <c r="AD153" s="16" t="s">
        <v>675</v>
      </c>
      <c r="AE153" s="16" t="s">
        <v>675</v>
      </c>
      <c r="AF153" s="16" t="s">
        <v>675</v>
      </c>
      <c r="AG153" s="64"/>
      <c r="AH153" s="16" t="s">
        <v>675</v>
      </c>
      <c r="AI153" s="16" t="s">
        <v>675</v>
      </c>
      <c r="AJ153" s="64"/>
      <c r="AK153" s="16" t="s">
        <v>675</v>
      </c>
      <c r="AL153" s="16" t="s">
        <v>675</v>
      </c>
      <c r="AM153" s="16" t="s">
        <v>675</v>
      </c>
      <c r="AN153" s="16" t="s">
        <v>675</v>
      </c>
      <c r="AO153" s="64"/>
      <c r="AP153" s="16" t="s">
        <v>675</v>
      </c>
      <c r="AQ153" s="64"/>
      <c r="AR153" s="64"/>
      <c r="AS153" s="16" t="s">
        <v>675</v>
      </c>
      <c r="AT153" s="16" t="s">
        <v>675</v>
      </c>
      <c r="AU153" s="64"/>
      <c r="AV153" s="64"/>
      <c r="AW153" s="64"/>
      <c r="AX153" s="16" t="s">
        <v>675</v>
      </c>
      <c r="AY153" s="64"/>
      <c r="AZ153" s="64"/>
      <c r="BA153" s="16" t="s">
        <v>675</v>
      </c>
      <c r="BB153" s="16" t="s">
        <v>675</v>
      </c>
      <c r="BC153" s="64"/>
      <c r="BD153" s="64"/>
      <c r="BE153" s="64"/>
      <c r="BF153" s="64"/>
      <c r="BG153" s="16" t="s">
        <v>675</v>
      </c>
      <c r="BH153" s="64"/>
      <c r="BI153" s="64"/>
      <c r="BJ153" s="64"/>
      <c r="BK153" s="64"/>
      <c r="BL153" s="16" t="s">
        <v>675</v>
      </c>
      <c r="BM153" s="64"/>
      <c r="BN153" s="64"/>
      <c r="BO153" s="64"/>
      <c r="BP153" s="64"/>
      <c r="BQ153" s="64"/>
      <c r="BR153" s="64"/>
      <c r="BS153" s="16" t="s">
        <v>675</v>
      </c>
      <c r="BT153" s="65"/>
    </row>
    <row r="154" spans="1:72" ht="18" customHeight="1" x14ac:dyDescent="0.3">
      <c r="A154" s="47" t="s">
        <v>1670</v>
      </c>
      <c r="B154" s="48" t="s">
        <v>1671</v>
      </c>
      <c r="C154" s="49" t="s">
        <v>2085</v>
      </c>
      <c r="D154" s="16" t="s">
        <v>1114</v>
      </c>
      <c r="E154" s="50">
        <v>0</v>
      </c>
      <c r="F154" s="50">
        <v>0</v>
      </c>
      <c r="G154" s="61">
        <v>7</v>
      </c>
      <c r="H154" s="16" t="s">
        <v>1192</v>
      </c>
      <c r="I154" s="70" t="s">
        <v>1474</v>
      </c>
      <c r="J154" s="16" t="s">
        <v>1672</v>
      </c>
      <c r="K154" s="49">
        <v>119</v>
      </c>
      <c r="L154" s="49">
        <v>1070</v>
      </c>
      <c r="M154" s="49" t="s">
        <v>1030</v>
      </c>
      <c r="N154" s="51"/>
      <c r="O154" s="63" t="str">
        <f t="shared" si="27"/>
        <v>YES</v>
      </c>
      <c r="P154" s="52"/>
      <c r="Q154" s="53">
        <f t="shared" si="20"/>
        <v>5000</v>
      </c>
      <c r="R154" s="54" t="str">
        <f t="shared" si="21"/>
        <v xml:space="preserve"> </v>
      </c>
      <c r="S154" s="55" t="str">
        <f t="shared" si="22"/>
        <v xml:space="preserve"> </v>
      </c>
      <c r="T154" s="56"/>
      <c r="U154" s="57" t="str">
        <f t="shared" si="23"/>
        <v xml:space="preserve"> </v>
      </c>
      <c r="V154" s="58" t="str">
        <f t="shared" si="24"/>
        <v xml:space="preserve"> </v>
      </c>
      <c r="W154" s="58" t="str">
        <f t="shared" si="25"/>
        <v xml:space="preserve"> </v>
      </c>
      <c r="X154" s="59" t="str">
        <f t="shared" si="26"/>
        <v>Mitigation</v>
      </c>
      <c r="Y154" s="60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16" t="s">
        <v>675</v>
      </c>
      <c r="AK154" s="64"/>
      <c r="AL154" s="64"/>
      <c r="AM154" s="16" t="s">
        <v>675</v>
      </c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16" t="s">
        <v>675</v>
      </c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5"/>
    </row>
    <row r="155" spans="1:72" ht="18" hidden="1" customHeight="1" x14ac:dyDescent="0.3">
      <c r="A155" s="84" t="s">
        <v>400</v>
      </c>
      <c r="B155" s="49" t="s">
        <v>401</v>
      </c>
      <c r="C155" s="16" t="s">
        <v>2086</v>
      </c>
      <c r="D155" s="70" t="s">
        <v>1011</v>
      </c>
      <c r="E155" s="50">
        <v>37.5</v>
      </c>
      <c r="F155" s="50">
        <v>0</v>
      </c>
      <c r="G155" s="61">
        <v>2</v>
      </c>
      <c r="H155" s="16">
        <v>590</v>
      </c>
      <c r="I155" s="49" t="s">
        <v>1012</v>
      </c>
      <c r="J155" s="16" t="s">
        <v>2386</v>
      </c>
      <c r="K155" s="49">
        <v>50</v>
      </c>
      <c r="L155" s="49">
        <v>50</v>
      </c>
      <c r="M155" s="64"/>
      <c r="N155" s="64"/>
      <c r="O155" s="63" t="str">
        <f t="shared" si="27"/>
        <v>YES</v>
      </c>
      <c r="P155" s="52"/>
      <c r="Q155" s="53">
        <f t="shared" si="20"/>
        <v>5000</v>
      </c>
      <c r="R155" s="54">
        <f t="shared" si="21"/>
        <v>1875</v>
      </c>
      <c r="S155" s="55" t="str">
        <f t="shared" si="22"/>
        <v xml:space="preserve"> </v>
      </c>
      <c r="T155" s="56"/>
      <c r="U155" s="57" t="str">
        <f t="shared" si="23"/>
        <v>100µg/100cm²</v>
      </c>
      <c r="V155" s="58">
        <f t="shared" si="24"/>
        <v>1875</v>
      </c>
      <c r="W155" s="58" t="str">
        <f t="shared" si="25"/>
        <v xml:space="preserve"> </v>
      </c>
      <c r="X155" s="59" t="str">
        <f t="shared" si="26"/>
        <v/>
      </c>
      <c r="Y155" s="60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16" t="s">
        <v>675</v>
      </c>
      <c r="AK155" s="16" t="s">
        <v>675</v>
      </c>
      <c r="AL155" s="16" t="s">
        <v>675</v>
      </c>
      <c r="AM155" s="16" t="s">
        <v>675</v>
      </c>
      <c r="AN155" s="64"/>
      <c r="AO155" s="64"/>
      <c r="AP155" s="64"/>
      <c r="AQ155" s="64"/>
      <c r="AR155" s="16" t="s">
        <v>675</v>
      </c>
      <c r="AS155" s="16" t="s">
        <v>675</v>
      </c>
      <c r="AT155" s="16" t="s">
        <v>675</v>
      </c>
      <c r="AU155" s="16" t="s">
        <v>675</v>
      </c>
      <c r="AV155" s="16" t="s">
        <v>675</v>
      </c>
      <c r="AW155" s="16" t="s">
        <v>675</v>
      </c>
      <c r="AX155" s="64"/>
      <c r="AY155" s="16" t="s">
        <v>675</v>
      </c>
      <c r="AZ155" s="16" t="s">
        <v>675</v>
      </c>
      <c r="BA155" s="16" t="s">
        <v>675</v>
      </c>
      <c r="BB155" s="16" t="s">
        <v>675</v>
      </c>
      <c r="BC155" s="16" t="s">
        <v>675</v>
      </c>
      <c r="BD155" s="64"/>
      <c r="BE155" s="64"/>
      <c r="BF155" s="64"/>
      <c r="BG155" s="64"/>
      <c r="BH155" s="16" t="s">
        <v>675</v>
      </c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16" t="s">
        <v>675</v>
      </c>
      <c r="BT155" s="65"/>
    </row>
    <row r="156" spans="1:72" ht="18" hidden="1" customHeight="1" x14ac:dyDescent="0.3">
      <c r="A156" s="84" t="s">
        <v>658</v>
      </c>
      <c r="B156" s="49" t="s">
        <v>515</v>
      </c>
      <c r="C156" s="16" t="s">
        <v>2087</v>
      </c>
      <c r="D156" s="70" t="s">
        <v>1011</v>
      </c>
      <c r="E156" s="50">
        <v>34.29</v>
      </c>
      <c r="F156" s="50">
        <v>0</v>
      </c>
      <c r="G156" s="61">
        <v>2</v>
      </c>
      <c r="H156" s="16">
        <v>592</v>
      </c>
      <c r="I156" s="49" t="s">
        <v>1012</v>
      </c>
      <c r="J156" s="16" t="s">
        <v>2386</v>
      </c>
      <c r="K156" s="49">
        <v>50</v>
      </c>
      <c r="L156" s="49">
        <v>50</v>
      </c>
      <c r="M156" s="64"/>
      <c r="N156" s="64"/>
      <c r="O156" s="63" t="str">
        <f t="shared" si="27"/>
        <v>YES</v>
      </c>
      <c r="P156" s="52"/>
      <c r="Q156" s="53">
        <f t="shared" si="20"/>
        <v>5000</v>
      </c>
      <c r="R156" s="54">
        <f t="shared" si="21"/>
        <v>1714.5</v>
      </c>
      <c r="S156" s="55" t="str">
        <f t="shared" si="22"/>
        <v xml:space="preserve"> </v>
      </c>
      <c r="T156" s="56"/>
      <c r="U156" s="57" t="str">
        <f t="shared" si="23"/>
        <v>100µg/100cm²</v>
      </c>
      <c r="V156" s="58">
        <f t="shared" si="24"/>
        <v>1714.5</v>
      </c>
      <c r="W156" s="58" t="str">
        <f t="shared" si="25"/>
        <v xml:space="preserve"> </v>
      </c>
      <c r="X156" s="59" t="str">
        <f t="shared" si="26"/>
        <v/>
      </c>
      <c r="Y156" s="60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16" t="s">
        <v>675</v>
      </c>
      <c r="AT156" s="64"/>
      <c r="AU156" s="64"/>
      <c r="AV156" s="64"/>
      <c r="AW156" s="64"/>
      <c r="AX156" s="64"/>
      <c r="AY156" s="64"/>
      <c r="AZ156" s="64"/>
      <c r="BA156" s="16" t="s">
        <v>675</v>
      </c>
      <c r="BB156" s="16" t="s">
        <v>675</v>
      </c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5"/>
    </row>
    <row r="157" spans="1:72" ht="18" customHeight="1" x14ac:dyDescent="0.3">
      <c r="A157" s="47" t="s">
        <v>145</v>
      </c>
      <c r="B157" s="48" t="s">
        <v>146</v>
      </c>
      <c r="C157" s="49" t="s">
        <v>1118</v>
      </c>
      <c r="D157" s="49" t="s">
        <v>1114</v>
      </c>
      <c r="E157" s="50">
        <v>0</v>
      </c>
      <c r="F157" s="50">
        <v>0</v>
      </c>
      <c r="G157" s="61">
        <v>2</v>
      </c>
      <c r="H157" s="16">
        <v>767</v>
      </c>
      <c r="I157" s="48" t="s">
        <v>1016</v>
      </c>
      <c r="J157" s="16" t="s">
        <v>1119</v>
      </c>
      <c r="K157" s="49">
        <v>1.5</v>
      </c>
      <c r="L157" s="49">
        <v>1.5</v>
      </c>
      <c r="M157" s="62" t="s">
        <v>1036</v>
      </c>
      <c r="N157" s="62" t="s">
        <v>1047</v>
      </c>
      <c r="O157" s="63" t="str">
        <f t="shared" si="27"/>
        <v>NO</v>
      </c>
      <c r="P157" s="52"/>
      <c r="Q157" s="53">
        <f t="shared" si="20"/>
        <v>1.5</v>
      </c>
      <c r="R157" s="54" t="str">
        <f t="shared" si="21"/>
        <v xml:space="preserve"> </v>
      </c>
      <c r="S157" s="55" t="str">
        <f t="shared" si="22"/>
        <v xml:space="preserve"> </v>
      </c>
      <c r="T157" s="56"/>
      <c r="U157" s="57" t="str">
        <f t="shared" si="23"/>
        <v xml:space="preserve"> </v>
      </c>
      <c r="V157" s="58" t="str">
        <f t="shared" si="24"/>
        <v xml:space="preserve"> </v>
      </c>
      <c r="W157" s="58" t="str">
        <f t="shared" si="25"/>
        <v xml:space="preserve"> </v>
      </c>
      <c r="X157" s="59" t="str">
        <f t="shared" si="26"/>
        <v>Mitigation</v>
      </c>
      <c r="Y157" s="60"/>
      <c r="Z157" s="64"/>
      <c r="AA157" s="16" t="s">
        <v>675</v>
      </c>
      <c r="AB157" s="64"/>
      <c r="AC157" s="64"/>
      <c r="AD157" s="16" t="s">
        <v>675</v>
      </c>
      <c r="AE157" s="64"/>
      <c r="AF157" s="64"/>
      <c r="AG157" s="64"/>
      <c r="AH157" s="64"/>
      <c r="AI157" s="64"/>
      <c r="AJ157" s="64"/>
      <c r="AK157" s="64"/>
      <c r="AL157" s="64"/>
      <c r="AM157" s="16" t="s">
        <v>675</v>
      </c>
      <c r="AN157" s="64"/>
      <c r="AO157" s="64"/>
      <c r="AP157" s="64"/>
      <c r="AQ157" s="64"/>
      <c r="AR157" s="64"/>
      <c r="AS157" s="16" t="s">
        <v>675</v>
      </c>
      <c r="AT157" s="64"/>
      <c r="AU157" s="64"/>
      <c r="AV157" s="64"/>
      <c r="AW157" s="64"/>
      <c r="AX157" s="64"/>
      <c r="AY157" s="64"/>
      <c r="AZ157" s="64"/>
      <c r="BA157" s="16" t="s">
        <v>675</v>
      </c>
      <c r="BB157" s="16" t="s">
        <v>675</v>
      </c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5"/>
    </row>
    <row r="158" spans="1:72" ht="18" customHeight="1" x14ac:dyDescent="0.3">
      <c r="A158" s="80" t="s">
        <v>841</v>
      </c>
      <c r="B158" s="102" t="s">
        <v>842</v>
      </c>
      <c r="C158" s="87" t="s">
        <v>1606</v>
      </c>
      <c r="D158" s="16" t="s">
        <v>1114</v>
      </c>
      <c r="E158" s="50">
        <v>0</v>
      </c>
      <c r="F158" s="50">
        <v>0</v>
      </c>
      <c r="G158" s="16">
        <v>2</v>
      </c>
      <c r="H158" s="16">
        <v>362</v>
      </c>
      <c r="I158" s="16" t="s">
        <v>1016</v>
      </c>
      <c r="J158" s="16" t="s">
        <v>2386</v>
      </c>
      <c r="K158" s="49">
        <v>50</v>
      </c>
      <c r="L158" s="49">
        <v>50</v>
      </c>
      <c r="M158" s="64"/>
      <c r="N158" s="64"/>
      <c r="O158" s="63" t="str">
        <f t="shared" si="27"/>
        <v>YES</v>
      </c>
      <c r="P158" s="52"/>
      <c r="Q158" s="53">
        <f t="shared" si="20"/>
        <v>5000</v>
      </c>
      <c r="R158" s="54" t="str">
        <f t="shared" si="21"/>
        <v xml:space="preserve"> </v>
      </c>
      <c r="S158" s="55" t="str">
        <f t="shared" si="22"/>
        <v xml:space="preserve"> </v>
      </c>
      <c r="T158" s="56"/>
      <c r="U158" s="57" t="str">
        <f t="shared" si="23"/>
        <v xml:space="preserve"> </v>
      </c>
      <c r="V158" s="58" t="str">
        <f t="shared" si="24"/>
        <v xml:space="preserve"> </v>
      </c>
      <c r="W158" s="58" t="str">
        <f t="shared" si="25"/>
        <v xml:space="preserve"> </v>
      </c>
      <c r="X158" s="59" t="str">
        <f t="shared" si="26"/>
        <v>Water criteria (conductivity)</v>
      </c>
      <c r="Y158" s="60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16" t="s">
        <v>675</v>
      </c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16" t="s">
        <v>675</v>
      </c>
      <c r="BT158" s="65"/>
    </row>
    <row r="159" spans="1:72" ht="18" hidden="1" customHeight="1" x14ac:dyDescent="0.3">
      <c r="A159" s="47" t="s">
        <v>714</v>
      </c>
      <c r="B159" s="48" t="s">
        <v>715</v>
      </c>
      <c r="C159" s="49" t="s">
        <v>2088</v>
      </c>
      <c r="D159" s="49" t="s">
        <v>1114</v>
      </c>
      <c r="E159" s="50">
        <v>50</v>
      </c>
      <c r="F159" s="50">
        <v>0</v>
      </c>
      <c r="G159" s="61">
        <v>3</v>
      </c>
      <c r="H159" s="16" t="s">
        <v>1226</v>
      </c>
      <c r="I159" s="48" t="s">
        <v>1189</v>
      </c>
      <c r="J159" s="16" t="s">
        <v>1227</v>
      </c>
      <c r="K159" s="49">
        <v>1.5</v>
      </c>
      <c r="L159" s="49">
        <v>1.5</v>
      </c>
      <c r="M159" s="62" t="s">
        <v>1036</v>
      </c>
      <c r="N159" s="49" t="s">
        <v>2357</v>
      </c>
      <c r="O159" s="63" t="str">
        <f t="shared" si="27"/>
        <v>NO</v>
      </c>
      <c r="P159" s="52"/>
      <c r="Q159" s="53">
        <f t="shared" si="20"/>
        <v>1.5</v>
      </c>
      <c r="R159" s="54">
        <f t="shared" si="21"/>
        <v>0.7</v>
      </c>
      <c r="S159" s="55" t="str">
        <f t="shared" si="22"/>
        <v xml:space="preserve"> </v>
      </c>
      <c r="T159" s="56"/>
      <c r="U159" s="57" t="str">
        <f t="shared" si="23"/>
        <v>Mitigation</v>
      </c>
      <c r="V159" s="58">
        <f t="shared" si="24"/>
        <v>0.7</v>
      </c>
      <c r="W159" s="58" t="str">
        <f t="shared" si="25"/>
        <v xml:space="preserve"> </v>
      </c>
      <c r="X159" s="59" t="str">
        <f t="shared" si="26"/>
        <v/>
      </c>
      <c r="Y159" s="60"/>
      <c r="Z159" s="16" t="s">
        <v>1987</v>
      </c>
      <c r="AA159" s="16" t="s">
        <v>1987</v>
      </c>
      <c r="AB159" s="16" t="s">
        <v>1987</v>
      </c>
      <c r="AC159" s="16" t="s">
        <v>1987</v>
      </c>
      <c r="AD159" s="16" t="s">
        <v>1987</v>
      </c>
      <c r="AE159" s="16" t="s">
        <v>1987</v>
      </c>
      <c r="AF159" s="16" t="s">
        <v>1987</v>
      </c>
      <c r="AG159" s="16" t="s">
        <v>1987</v>
      </c>
      <c r="AH159" s="16" t="s">
        <v>1987</v>
      </c>
      <c r="AI159" s="16" t="s">
        <v>1987</v>
      </c>
      <c r="AJ159" s="16" t="s">
        <v>1987</v>
      </c>
      <c r="AK159" s="16" t="s">
        <v>1987</v>
      </c>
      <c r="AL159" s="16" t="s">
        <v>1987</v>
      </c>
      <c r="AM159" s="16" t="s">
        <v>1987</v>
      </c>
      <c r="AN159" s="16" t="s">
        <v>1987</v>
      </c>
      <c r="AO159" s="16" t="s">
        <v>1987</v>
      </c>
      <c r="AP159" s="16" t="s">
        <v>1987</v>
      </c>
      <c r="AQ159" s="16" t="s">
        <v>1987</v>
      </c>
      <c r="AR159" s="16" t="s">
        <v>1987</v>
      </c>
      <c r="AS159" s="16" t="s">
        <v>1987</v>
      </c>
      <c r="AT159" s="16" t="s">
        <v>1987</v>
      </c>
      <c r="AU159" s="16" t="s">
        <v>1987</v>
      </c>
      <c r="AV159" s="16" t="s">
        <v>1987</v>
      </c>
      <c r="AW159" s="16" t="s">
        <v>1987</v>
      </c>
      <c r="AX159" s="16" t="s">
        <v>1987</v>
      </c>
      <c r="AY159" s="16" t="s">
        <v>1987</v>
      </c>
      <c r="AZ159" s="16" t="s">
        <v>1987</v>
      </c>
      <c r="BA159" s="16" t="s">
        <v>1987</v>
      </c>
      <c r="BB159" s="16" t="s">
        <v>1987</v>
      </c>
      <c r="BC159" s="16" t="s">
        <v>1987</v>
      </c>
      <c r="BD159" s="16" t="s">
        <v>1987</v>
      </c>
      <c r="BE159" s="16" t="s">
        <v>1987</v>
      </c>
      <c r="BF159" s="16" t="s">
        <v>1987</v>
      </c>
      <c r="BG159" s="16" t="s">
        <v>1987</v>
      </c>
      <c r="BH159" s="16" t="s">
        <v>1987</v>
      </c>
      <c r="BI159" s="16" t="s">
        <v>1987</v>
      </c>
      <c r="BJ159" s="16" t="s">
        <v>1987</v>
      </c>
      <c r="BK159" s="16" t="s">
        <v>1987</v>
      </c>
      <c r="BL159" s="16" t="s">
        <v>1987</v>
      </c>
      <c r="BM159" s="16" t="s">
        <v>1987</v>
      </c>
      <c r="BN159" s="16" t="s">
        <v>1987</v>
      </c>
      <c r="BO159" s="16" t="s">
        <v>1987</v>
      </c>
      <c r="BP159" s="16" t="s">
        <v>1987</v>
      </c>
      <c r="BQ159" s="16" t="s">
        <v>1987</v>
      </c>
      <c r="BR159" s="16" t="s">
        <v>1987</v>
      </c>
      <c r="BS159" s="16" t="s">
        <v>1987</v>
      </c>
      <c r="BT159" s="16" t="s">
        <v>1987</v>
      </c>
    </row>
    <row r="160" spans="1:72" ht="18" hidden="1" customHeight="1" x14ac:dyDescent="0.3">
      <c r="A160" s="98" t="s">
        <v>463</v>
      </c>
      <c r="B160" s="99" t="s">
        <v>459</v>
      </c>
      <c r="C160" s="110" t="s">
        <v>1979</v>
      </c>
      <c r="D160" s="16" t="s">
        <v>1980</v>
      </c>
      <c r="E160" s="50">
        <v>50</v>
      </c>
      <c r="F160" s="50">
        <v>0</v>
      </c>
      <c r="G160" s="16">
        <v>1</v>
      </c>
      <c r="H160" s="16" t="s">
        <v>1023</v>
      </c>
      <c r="I160" s="16" t="s">
        <v>1016</v>
      </c>
      <c r="J160" s="16" t="s">
        <v>2382</v>
      </c>
      <c r="K160" s="16">
        <v>50</v>
      </c>
      <c r="L160" s="16">
        <v>50</v>
      </c>
      <c r="M160" s="64"/>
      <c r="N160" s="64"/>
      <c r="O160" s="63" t="str">
        <f t="shared" si="27"/>
        <v>YES</v>
      </c>
      <c r="P160" s="52"/>
      <c r="Q160" s="53">
        <f t="shared" si="20"/>
        <v>5000</v>
      </c>
      <c r="R160" s="54">
        <f t="shared" si="21"/>
        <v>2500</v>
      </c>
      <c r="S160" s="55" t="str">
        <f t="shared" si="22"/>
        <v xml:space="preserve"> </v>
      </c>
      <c r="T160" s="56"/>
      <c r="U160" s="57" t="str">
        <f t="shared" si="23"/>
        <v>100µg/100cm²</v>
      </c>
      <c r="V160" s="58">
        <f t="shared" si="24"/>
        <v>2500</v>
      </c>
      <c r="W160" s="58" t="str">
        <f t="shared" si="25"/>
        <v xml:space="preserve"> </v>
      </c>
      <c r="X160" s="59" t="str">
        <f t="shared" si="26"/>
        <v/>
      </c>
      <c r="Y160" s="60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16" t="s">
        <v>675</v>
      </c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5"/>
    </row>
    <row r="161" spans="1:72" ht="18" hidden="1" customHeight="1" x14ac:dyDescent="0.3">
      <c r="A161" s="47" t="s">
        <v>527</v>
      </c>
      <c r="B161" s="48" t="s">
        <v>528</v>
      </c>
      <c r="C161" s="16" t="s">
        <v>2089</v>
      </c>
      <c r="D161" s="67" t="s">
        <v>1605</v>
      </c>
      <c r="E161" s="50">
        <v>44.7</v>
      </c>
      <c r="F161" s="50">
        <v>0</v>
      </c>
      <c r="G161" s="61">
        <v>1</v>
      </c>
      <c r="H161" s="16" t="s">
        <v>1259</v>
      </c>
      <c r="I161" s="48" t="s">
        <v>1016</v>
      </c>
      <c r="J161" s="16" t="s">
        <v>1260</v>
      </c>
      <c r="K161" s="62">
        <v>35500</v>
      </c>
      <c r="L161" s="62">
        <v>319500</v>
      </c>
      <c r="M161" s="49" t="s">
        <v>1053</v>
      </c>
      <c r="N161" s="64"/>
      <c r="O161" s="63" t="str">
        <f t="shared" si="27"/>
        <v>YES</v>
      </c>
      <c r="P161" s="52"/>
      <c r="Q161" s="53">
        <f t="shared" si="20"/>
        <v>5000</v>
      </c>
      <c r="R161" s="54">
        <f t="shared" si="21"/>
        <v>2235</v>
      </c>
      <c r="S161" s="55" t="str">
        <f t="shared" si="22"/>
        <v xml:space="preserve"> </v>
      </c>
      <c r="T161" s="56"/>
      <c r="U161" s="57" t="str">
        <f t="shared" si="23"/>
        <v>100µg/100cm²</v>
      </c>
      <c r="V161" s="58">
        <f t="shared" si="24"/>
        <v>2235</v>
      </c>
      <c r="W161" s="58" t="str">
        <f t="shared" si="25"/>
        <v xml:space="preserve"> </v>
      </c>
      <c r="X161" s="59" t="str">
        <f t="shared" si="26"/>
        <v/>
      </c>
      <c r="Y161" s="60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16" t="s">
        <v>675</v>
      </c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5"/>
    </row>
    <row r="162" spans="1:72" ht="18" hidden="1" customHeight="1" x14ac:dyDescent="0.3">
      <c r="A162" s="81" t="s">
        <v>573</v>
      </c>
      <c r="B162" s="76" t="s">
        <v>459</v>
      </c>
      <c r="C162" s="16" t="s">
        <v>1499</v>
      </c>
      <c r="D162" s="16" t="s">
        <v>1488</v>
      </c>
      <c r="E162" s="50">
        <v>50</v>
      </c>
      <c r="F162" s="50">
        <v>0</v>
      </c>
      <c r="G162" s="16">
        <v>1</v>
      </c>
      <c r="H162" s="16" t="s">
        <v>1023</v>
      </c>
      <c r="I162" s="16" t="s">
        <v>1016</v>
      </c>
      <c r="J162" s="16" t="s">
        <v>2382</v>
      </c>
      <c r="K162" s="16">
        <v>50</v>
      </c>
      <c r="L162" s="16">
        <v>50</v>
      </c>
      <c r="M162" s="64"/>
      <c r="N162" s="64"/>
      <c r="O162" s="63" t="str">
        <f t="shared" si="27"/>
        <v>YES</v>
      </c>
      <c r="P162" s="52"/>
      <c r="Q162" s="53">
        <f t="shared" si="20"/>
        <v>5000</v>
      </c>
      <c r="R162" s="54">
        <f t="shared" si="21"/>
        <v>2500</v>
      </c>
      <c r="S162" s="55" t="str">
        <f t="shared" si="22"/>
        <v xml:space="preserve"> </v>
      </c>
      <c r="T162" s="56"/>
      <c r="U162" s="57" t="str">
        <f t="shared" si="23"/>
        <v>100µg/100cm²</v>
      </c>
      <c r="V162" s="58">
        <f t="shared" si="24"/>
        <v>2500</v>
      </c>
      <c r="W162" s="58" t="str">
        <f t="shared" si="25"/>
        <v xml:space="preserve"> </v>
      </c>
      <c r="X162" s="59" t="str">
        <f t="shared" si="26"/>
        <v/>
      </c>
      <c r="Y162" s="60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16" t="s">
        <v>675</v>
      </c>
      <c r="AT162" s="64"/>
      <c r="AU162" s="83" t="s">
        <v>675</v>
      </c>
      <c r="AV162" s="83" t="s">
        <v>675</v>
      </c>
      <c r="AW162" s="16" t="s">
        <v>675</v>
      </c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5"/>
    </row>
    <row r="163" spans="1:72" ht="18" hidden="1" customHeight="1" x14ac:dyDescent="0.3">
      <c r="A163" s="47" t="s">
        <v>1994</v>
      </c>
      <c r="B163" s="76" t="s">
        <v>459</v>
      </c>
      <c r="C163" s="16" t="s">
        <v>1502</v>
      </c>
      <c r="D163" s="16" t="s">
        <v>1484</v>
      </c>
      <c r="E163" s="50">
        <v>50</v>
      </c>
      <c r="F163" s="50">
        <v>0</v>
      </c>
      <c r="G163" s="16">
        <v>1</v>
      </c>
      <c r="H163" s="16" t="s">
        <v>1023</v>
      </c>
      <c r="I163" s="16" t="s">
        <v>1016</v>
      </c>
      <c r="J163" s="16" t="s">
        <v>2374</v>
      </c>
      <c r="K163" s="16">
        <v>7</v>
      </c>
      <c r="L163" s="16">
        <v>100</v>
      </c>
      <c r="M163" s="64"/>
      <c r="N163" s="64"/>
      <c r="O163" s="63" t="str">
        <f t="shared" si="27"/>
        <v>YES</v>
      </c>
      <c r="P163" s="52"/>
      <c r="Q163" s="53">
        <f t="shared" si="20"/>
        <v>1277.5</v>
      </c>
      <c r="R163" s="54">
        <f t="shared" si="21"/>
        <v>638.70000000000005</v>
      </c>
      <c r="S163" s="55" t="str">
        <f t="shared" si="22"/>
        <v xml:space="preserve"> </v>
      </c>
      <c r="T163" s="56"/>
      <c r="U163" s="57" t="str">
        <f t="shared" si="23"/>
        <v>100µg/100cm²</v>
      </c>
      <c r="V163" s="58">
        <f t="shared" si="24"/>
        <v>638.70000000000005</v>
      </c>
      <c r="W163" s="58" t="str">
        <f t="shared" si="25"/>
        <v xml:space="preserve"> </v>
      </c>
      <c r="X163" s="59" t="str">
        <f t="shared" si="26"/>
        <v/>
      </c>
      <c r="Y163" s="60"/>
      <c r="Z163" s="64"/>
      <c r="AA163" s="64"/>
      <c r="AB163" s="64"/>
      <c r="AC163" s="64"/>
      <c r="AD163" s="64"/>
      <c r="AE163" s="64"/>
      <c r="AF163" s="111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</row>
    <row r="164" spans="1:72" ht="18" hidden="1" customHeight="1" x14ac:dyDescent="0.3">
      <c r="A164" s="81" t="s">
        <v>874</v>
      </c>
      <c r="B164" s="76" t="s">
        <v>459</v>
      </c>
      <c r="C164" s="16" t="s">
        <v>1500</v>
      </c>
      <c r="D164" s="16" t="s">
        <v>1485</v>
      </c>
      <c r="E164" s="50">
        <v>50</v>
      </c>
      <c r="F164" s="50">
        <v>0</v>
      </c>
      <c r="G164" s="16">
        <v>1</v>
      </c>
      <c r="H164" s="16" t="s">
        <v>1023</v>
      </c>
      <c r="I164" s="16" t="s">
        <v>1016</v>
      </c>
      <c r="J164" s="16" t="s">
        <v>2382</v>
      </c>
      <c r="K164" s="16">
        <v>50</v>
      </c>
      <c r="L164" s="16">
        <v>50</v>
      </c>
      <c r="M164" s="64"/>
      <c r="N164" s="64"/>
      <c r="O164" s="63" t="str">
        <f t="shared" si="27"/>
        <v>YES</v>
      </c>
      <c r="P164" s="52"/>
      <c r="Q164" s="53">
        <f t="shared" si="20"/>
        <v>5000</v>
      </c>
      <c r="R164" s="54">
        <f t="shared" si="21"/>
        <v>2500</v>
      </c>
      <c r="S164" s="55" t="str">
        <f t="shared" si="22"/>
        <v xml:space="preserve"> </v>
      </c>
      <c r="T164" s="56"/>
      <c r="U164" s="57" t="str">
        <f t="shared" si="23"/>
        <v>100µg/100cm²</v>
      </c>
      <c r="V164" s="58">
        <f t="shared" si="24"/>
        <v>2500</v>
      </c>
      <c r="W164" s="58" t="str">
        <f t="shared" si="25"/>
        <v xml:space="preserve"> </v>
      </c>
      <c r="X164" s="59" t="str">
        <f t="shared" si="26"/>
        <v/>
      </c>
      <c r="Y164" s="60"/>
      <c r="Z164" s="64"/>
      <c r="AA164" s="64"/>
      <c r="AB164" s="64"/>
      <c r="AC164" s="64"/>
      <c r="AD164" s="64"/>
      <c r="AE164" s="16" t="s">
        <v>675</v>
      </c>
      <c r="AF164" s="64"/>
      <c r="AG164" s="64"/>
      <c r="AH164" s="64"/>
      <c r="AI164" s="64"/>
      <c r="AJ164" s="64"/>
      <c r="AK164" s="64"/>
      <c r="AL164" s="64"/>
      <c r="AM164" s="16" t="s">
        <v>675</v>
      </c>
      <c r="AN164" s="64"/>
      <c r="AO164" s="64"/>
      <c r="AP164" s="64"/>
      <c r="AQ164" s="64"/>
      <c r="AR164" s="64"/>
      <c r="AS164" s="64"/>
      <c r="AT164" s="64"/>
      <c r="AU164" s="82"/>
      <c r="AV164" s="82"/>
      <c r="AW164" s="82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5"/>
    </row>
    <row r="165" spans="1:72" ht="18" hidden="1" customHeight="1" x14ac:dyDescent="0.3">
      <c r="A165" s="81" t="s">
        <v>875</v>
      </c>
      <c r="B165" s="76" t="s">
        <v>459</v>
      </c>
      <c r="C165" s="16" t="s">
        <v>1500</v>
      </c>
      <c r="D165" s="16" t="s">
        <v>1485</v>
      </c>
      <c r="E165" s="50">
        <v>50</v>
      </c>
      <c r="F165" s="50">
        <v>0</v>
      </c>
      <c r="G165" s="16">
        <v>1</v>
      </c>
      <c r="H165" s="16" t="s">
        <v>1023</v>
      </c>
      <c r="I165" s="16" t="s">
        <v>1016</v>
      </c>
      <c r="J165" s="16" t="s">
        <v>2382</v>
      </c>
      <c r="K165" s="16">
        <v>50</v>
      </c>
      <c r="L165" s="16">
        <v>50</v>
      </c>
      <c r="M165" s="64"/>
      <c r="N165" s="64"/>
      <c r="O165" s="63" t="str">
        <f t="shared" si="27"/>
        <v>YES</v>
      </c>
      <c r="P165" s="52"/>
      <c r="Q165" s="53">
        <f t="shared" si="20"/>
        <v>5000</v>
      </c>
      <c r="R165" s="54">
        <f t="shared" si="21"/>
        <v>2500</v>
      </c>
      <c r="S165" s="55" t="str">
        <f t="shared" si="22"/>
        <v xml:space="preserve"> </v>
      </c>
      <c r="T165" s="56"/>
      <c r="U165" s="57" t="str">
        <f t="shared" si="23"/>
        <v>100µg/100cm²</v>
      </c>
      <c r="V165" s="58">
        <f t="shared" si="24"/>
        <v>2500</v>
      </c>
      <c r="W165" s="58" t="str">
        <f t="shared" si="25"/>
        <v xml:space="preserve"> </v>
      </c>
      <c r="X165" s="59" t="str">
        <f t="shared" si="26"/>
        <v/>
      </c>
      <c r="Y165" s="60"/>
      <c r="Z165" s="64"/>
      <c r="AA165" s="64"/>
      <c r="AB165" s="64"/>
      <c r="AC165" s="64"/>
      <c r="AD165" s="64"/>
      <c r="AE165" s="16" t="s">
        <v>675</v>
      </c>
      <c r="AF165" s="16" t="s">
        <v>675</v>
      </c>
      <c r="AG165" s="64"/>
      <c r="AH165" s="64"/>
      <c r="AI165" s="64"/>
      <c r="AJ165" s="64"/>
      <c r="AK165" s="64"/>
      <c r="AL165" s="64"/>
      <c r="AM165" s="16" t="s">
        <v>675</v>
      </c>
      <c r="AN165" s="64"/>
      <c r="AO165" s="64"/>
      <c r="AP165" s="64"/>
      <c r="AQ165" s="64"/>
      <c r="AR165" s="64"/>
      <c r="AS165" s="64"/>
      <c r="AT165" s="64"/>
      <c r="AU165" s="83" t="s">
        <v>675</v>
      </c>
      <c r="AV165" s="83" t="s">
        <v>675</v>
      </c>
      <c r="AW165" s="16" t="s">
        <v>675</v>
      </c>
      <c r="AX165" s="64"/>
      <c r="AY165" s="64"/>
      <c r="AZ165" s="64"/>
      <c r="BA165" s="64"/>
      <c r="BB165" s="64"/>
      <c r="BC165" s="64"/>
      <c r="BD165" s="16" t="s">
        <v>675</v>
      </c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5"/>
    </row>
    <row r="166" spans="1:72" ht="18" hidden="1" customHeight="1" x14ac:dyDescent="0.3">
      <c r="A166" s="81" t="s">
        <v>876</v>
      </c>
      <c r="B166" s="76" t="s">
        <v>459</v>
      </c>
      <c r="C166" s="16" t="s">
        <v>1500</v>
      </c>
      <c r="D166" s="16" t="s">
        <v>1485</v>
      </c>
      <c r="E166" s="50">
        <v>50</v>
      </c>
      <c r="F166" s="50">
        <v>0</v>
      </c>
      <c r="G166" s="16">
        <v>1</v>
      </c>
      <c r="H166" s="16" t="s">
        <v>1023</v>
      </c>
      <c r="I166" s="16" t="s">
        <v>1016</v>
      </c>
      <c r="J166" s="16" t="s">
        <v>2382</v>
      </c>
      <c r="K166" s="16">
        <v>50</v>
      </c>
      <c r="L166" s="16">
        <v>50</v>
      </c>
      <c r="M166" s="64"/>
      <c r="N166" s="64"/>
      <c r="O166" s="63" t="str">
        <f t="shared" si="27"/>
        <v>YES</v>
      </c>
      <c r="P166" s="52"/>
      <c r="Q166" s="53">
        <f t="shared" si="20"/>
        <v>5000</v>
      </c>
      <c r="R166" s="54">
        <f t="shared" si="21"/>
        <v>2500</v>
      </c>
      <c r="S166" s="55" t="str">
        <f t="shared" si="22"/>
        <v xml:space="preserve"> </v>
      </c>
      <c r="T166" s="56"/>
      <c r="U166" s="57" t="str">
        <f t="shared" si="23"/>
        <v>100µg/100cm²</v>
      </c>
      <c r="V166" s="58">
        <f t="shared" si="24"/>
        <v>2500</v>
      </c>
      <c r="W166" s="58" t="str">
        <f t="shared" si="25"/>
        <v xml:space="preserve"> </v>
      </c>
      <c r="X166" s="59" t="str">
        <f t="shared" si="26"/>
        <v/>
      </c>
      <c r="Y166" s="60"/>
      <c r="Z166" s="64"/>
      <c r="AA166" s="64"/>
      <c r="AB166" s="64"/>
      <c r="AC166" s="64"/>
      <c r="AD166" s="64"/>
      <c r="AE166" s="16" t="s">
        <v>675</v>
      </c>
      <c r="AF166" s="16" t="s">
        <v>675</v>
      </c>
      <c r="AG166" s="64"/>
      <c r="AH166" s="64"/>
      <c r="AI166" s="64"/>
      <c r="AJ166" s="64"/>
      <c r="AK166" s="64"/>
      <c r="AL166" s="64"/>
      <c r="AM166" s="16" t="s">
        <v>675</v>
      </c>
      <c r="AN166" s="64"/>
      <c r="AO166" s="64"/>
      <c r="AP166" s="64"/>
      <c r="AQ166" s="64"/>
      <c r="AR166" s="64"/>
      <c r="AS166" s="64"/>
      <c r="AT166" s="64"/>
      <c r="AU166" s="83" t="s">
        <v>675</v>
      </c>
      <c r="AV166" s="83" t="s">
        <v>675</v>
      </c>
      <c r="AW166" s="16" t="s">
        <v>675</v>
      </c>
      <c r="AX166" s="64"/>
      <c r="AY166" s="64"/>
      <c r="AZ166" s="64"/>
      <c r="BA166" s="64"/>
      <c r="BB166" s="64"/>
      <c r="BC166" s="64"/>
      <c r="BD166" s="16" t="s">
        <v>675</v>
      </c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5"/>
    </row>
    <row r="167" spans="1:72" ht="18" hidden="1" customHeight="1" x14ac:dyDescent="0.3">
      <c r="A167" s="81" t="s">
        <v>877</v>
      </c>
      <c r="B167" s="76" t="s">
        <v>459</v>
      </c>
      <c r="C167" s="16" t="s">
        <v>1500</v>
      </c>
      <c r="D167" s="16" t="s">
        <v>1485</v>
      </c>
      <c r="E167" s="50">
        <v>50</v>
      </c>
      <c r="F167" s="50">
        <v>0</v>
      </c>
      <c r="G167" s="16">
        <v>1</v>
      </c>
      <c r="H167" s="16" t="s">
        <v>1023</v>
      </c>
      <c r="I167" s="16" t="s">
        <v>1016</v>
      </c>
      <c r="J167" s="16" t="s">
        <v>2382</v>
      </c>
      <c r="K167" s="16">
        <v>50</v>
      </c>
      <c r="L167" s="16">
        <v>50</v>
      </c>
      <c r="M167" s="64"/>
      <c r="N167" s="64"/>
      <c r="O167" s="63" t="str">
        <f t="shared" si="27"/>
        <v>YES</v>
      </c>
      <c r="P167" s="52"/>
      <c r="Q167" s="53">
        <f t="shared" si="20"/>
        <v>5000</v>
      </c>
      <c r="R167" s="54">
        <f t="shared" si="21"/>
        <v>2500</v>
      </c>
      <c r="S167" s="55" t="str">
        <f t="shared" si="22"/>
        <v xml:space="preserve"> </v>
      </c>
      <c r="T167" s="56"/>
      <c r="U167" s="57" t="str">
        <f t="shared" si="23"/>
        <v>100µg/100cm²</v>
      </c>
      <c r="V167" s="58">
        <f t="shared" si="24"/>
        <v>2500</v>
      </c>
      <c r="W167" s="58" t="str">
        <f t="shared" si="25"/>
        <v xml:space="preserve"> </v>
      </c>
      <c r="X167" s="59" t="str">
        <f t="shared" si="26"/>
        <v/>
      </c>
      <c r="Y167" s="60"/>
      <c r="Z167" s="64"/>
      <c r="AA167" s="64"/>
      <c r="AB167" s="64"/>
      <c r="AC167" s="64"/>
      <c r="AD167" s="64"/>
      <c r="AE167" s="16" t="s">
        <v>675</v>
      </c>
      <c r="AF167" s="16" t="s">
        <v>675</v>
      </c>
      <c r="AG167" s="64"/>
      <c r="AH167" s="64"/>
      <c r="AI167" s="64"/>
      <c r="AJ167" s="64"/>
      <c r="AK167" s="64"/>
      <c r="AL167" s="64"/>
      <c r="AM167" s="16" t="s">
        <v>675</v>
      </c>
      <c r="AN167" s="64"/>
      <c r="AO167" s="64"/>
      <c r="AP167" s="64"/>
      <c r="AQ167" s="64"/>
      <c r="AR167" s="64"/>
      <c r="AS167" s="64"/>
      <c r="AT167" s="64"/>
      <c r="AU167" s="83" t="s">
        <v>675</v>
      </c>
      <c r="AV167" s="83" t="s">
        <v>675</v>
      </c>
      <c r="AW167" s="16" t="s">
        <v>675</v>
      </c>
      <c r="AX167" s="64"/>
      <c r="AY167" s="64"/>
      <c r="AZ167" s="64"/>
      <c r="BA167" s="64"/>
      <c r="BB167" s="64"/>
      <c r="BC167" s="64"/>
      <c r="BD167" s="16" t="s">
        <v>675</v>
      </c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5"/>
    </row>
    <row r="168" spans="1:72" ht="18" hidden="1" customHeight="1" x14ac:dyDescent="0.3">
      <c r="A168" s="81" t="s">
        <v>878</v>
      </c>
      <c r="B168" s="76" t="s">
        <v>459</v>
      </c>
      <c r="C168" s="16" t="s">
        <v>1500</v>
      </c>
      <c r="D168" s="16" t="s">
        <v>1485</v>
      </c>
      <c r="E168" s="50">
        <v>50</v>
      </c>
      <c r="F168" s="50">
        <v>0</v>
      </c>
      <c r="G168" s="16">
        <v>1</v>
      </c>
      <c r="H168" s="16" t="s">
        <v>1023</v>
      </c>
      <c r="I168" s="16" t="s">
        <v>1016</v>
      </c>
      <c r="J168" s="16" t="s">
        <v>2382</v>
      </c>
      <c r="K168" s="16">
        <v>50</v>
      </c>
      <c r="L168" s="16">
        <v>50</v>
      </c>
      <c r="M168" s="64"/>
      <c r="N168" s="64"/>
      <c r="O168" s="63" t="str">
        <f t="shared" si="27"/>
        <v>YES</v>
      </c>
      <c r="P168" s="52"/>
      <c r="Q168" s="53">
        <f t="shared" si="20"/>
        <v>5000</v>
      </c>
      <c r="R168" s="54">
        <f t="shared" si="21"/>
        <v>2500</v>
      </c>
      <c r="S168" s="55" t="str">
        <f t="shared" si="22"/>
        <v xml:space="preserve"> </v>
      </c>
      <c r="T168" s="56"/>
      <c r="U168" s="57" t="str">
        <f t="shared" si="23"/>
        <v>100µg/100cm²</v>
      </c>
      <c r="V168" s="58">
        <f t="shared" si="24"/>
        <v>2500</v>
      </c>
      <c r="W168" s="58" t="str">
        <f t="shared" si="25"/>
        <v xml:space="preserve"> </v>
      </c>
      <c r="X168" s="59" t="str">
        <f t="shared" si="26"/>
        <v/>
      </c>
      <c r="Y168" s="60"/>
      <c r="Z168" s="64"/>
      <c r="AA168" s="64"/>
      <c r="AB168" s="64"/>
      <c r="AC168" s="64"/>
      <c r="AD168" s="64"/>
      <c r="AE168" s="16" t="s">
        <v>675</v>
      </c>
      <c r="AF168" s="16" t="s">
        <v>675</v>
      </c>
      <c r="AG168" s="16" t="s">
        <v>675</v>
      </c>
      <c r="AH168" s="64"/>
      <c r="AI168" s="64"/>
      <c r="AJ168" s="64"/>
      <c r="AK168" s="64"/>
      <c r="AL168" s="64"/>
      <c r="AM168" s="16" t="s">
        <v>675</v>
      </c>
      <c r="AN168" s="64"/>
      <c r="AO168" s="64"/>
      <c r="AP168" s="64"/>
      <c r="AQ168" s="64"/>
      <c r="AR168" s="64"/>
      <c r="AS168" s="64"/>
      <c r="AT168" s="64"/>
      <c r="AU168" s="83" t="s">
        <v>675</v>
      </c>
      <c r="AV168" s="83" t="s">
        <v>675</v>
      </c>
      <c r="AW168" s="16" t="s">
        <v>675</v>
      </c>
      <c r="AX168" s="64"/>
      <c r="AY168" s="64"/>
      <c r="AZ168" s="64"/>
      <c r="BA168" s="64"/>
      <c r="BB168" s="64"/>
      <c r="BC168" s="64"/>
      <c r="BD168" s="16" t="s">
        <v>675</v>
      </c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5"/>
    </row>
    <row r="169" spans="1:72" ht="18" hidden="1" customHeight="1" x14ac:dyDescent="0.3">
      <c r="A169" s="81" t="s">
        <v>879</v>
      </c>
      <c r="B169" s="76" t="s">
        <v>459</v>
      </c>
      <c r="C169" s="16" t="s">
        <v>1500</v>
      </c>
      <c r="D169" s="16" t="s">
        <v>1485</v>
      </c>
      <c r="E169" s="50">
        <v>50</v>
      </c>
      <c r="F169" s="50">
        <v>0</v>
      </c>
      <c r="G169" s="16">
        <v>1</v>
      </c>
      <c r="H169" s="16" t="s">
        <v>1023</v>
      </c>
      <c r="I169" s="16" t="s">
        <v>1016</v>
      </c>
      <c r="J169" s="16" t="s">
        <v>2382</v>
      </c>
      <c r="K169" s="16">
        <v>50</v>
      </c>
      <c r="L169" s="16">
        <v>50</v>
      </c>
      <c r="M169" s="64"/>
      <c r="N169" s="64"/>
      <c r="O169" s="63" t="str">
        <f t="shared" si="27"/>
        <v>YES</v>
      </c>
      <c r="P169" s="52"/>
      <c r="Q169" s="53">
        <f t="shared" si="20"/>
        <v>5000</v>
      </c>
      <c r="R169" s="54">
        <f t="shared" si="21"/>
        <v>2500</v>
      </c>
      <c r="S169" s="55" t="str">
        <f t="shared" si="22"/>
        <v xml:space="preserve"> </v>
      </c>
      <c r="T169" s="56"/>
      <c r="U169" s="57" t="str">
        <f t="shared" si="23"/>
        <v>100µg/100cm²</v>
      </c>
      <c r="V169" s="58">
        <f t="shared" si="24"/>
        <v>2500</v>
      </c>
      <c r="W169" s="58" t="str">
        <f t="shared" si="25"/>
        <v xml:space="preserve"> </v>
      </c>
      <c r="X169" s="59" t="str">
        <f t="shared" si="26"/>
        <v/>
      </c>
      <c r="Y169" s="60"/>
      <c r="Z169" s="64"/>
      <c r="AA169" s="64"/>
      <c r="AB169" s="64"/>
      <c r="AC169" s="64"/>
      <c r="AD169" s="64"/>
      <c r="AE169" s="16" t="s">
        <v>675</v>
      </c>
      <c r="AF169" s="16" t="s">
        <v>675</v>
      </c>
      <c r="AG169" s="64"/>
      <c r="AH169" s="64"/>
      <c r="AI169" s="64"/>
      <c r="AJ169" s="64"/>
      <c r="AK169" s="64"/>
      <c r="AL169" s="64"/>
      <c r="AM169" s="16" t="s">
        <v>675</v>
      </c>
      <c r="AN169" s="64"/>
      <c r="AO169" s="64"/>
      <c r="AP169" s="64"/>
      <c r="AQ169" s="64"/>
      <c r="AR169" s="64"/>
      <c r="AS169" s="64"/>
      <c r="AT169" s="64"/>
      <c r="AU169" s="83" t="s">
        <v>675</v>
      </c>
      <c r="AV169" s="83" t="s">
        <v>675</v>
      </c>
      <c r="AW169" s="16" t="s">
        <v>675</v>
      </c>
      <c r="AX169" s="64"/>
      <c r="AY169" s="64"/>
      <c r="AZ169" s="64"/>
      <c r="BA169" s="64"/>
      <c r="BB169" s="64"/>
      <c r="BC169" s="64"/>
      <c r="BD169" s="16" t="s">
        <v>675</v>
      </c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5"/>
    </row>
    <row r="170" spans="1:72" ht="18" hidden="1" customHeight="1" x14ac:dyDescent="0.3">
      <c r="A170" s="81" t="s">
        <v>880</v>
      </c>
      <c r="B170" s="76" t="s">
        <v>459</v>
      </c>
      <c r="C170" s="16" t="s">
        <v>1502</v>
      </c>
      <c r="D170" s="16" t="s">
        <v>1484</v>
      </c>
      <c r="E170" s="50">
        <v>50</v>
      </c>
      <c r="F170" s="50">
        <v>0</v>
      </c>
      <c r="G170" s="16">
        <v>1</v>
      </c>
      <c r="H170" s="16" t="s">
        <v>1023</v>
      </c>
      <c r="I170" s="16" t="s">
        <v>1016</v>
      </c>
      <c r="J170" s="16" t="s">
        <v>2382</v>
      </c>
      <c r="K170" s="16">
        <v>50</v>
      </c>
      <c r="L170" s="16">
        <v>50</v>
      </c>
      <c r="M170" s="64"/>
      <c r="N170" s="64"/>
      <c r="O170" s="63" t="str">
        <f t="shared" si="27"/>
        <v>YES</v>
      </c>
      <c r="P170" s="52"/>
      <c r="Q170" s="53">
        <f t="shared" si="20"/>
        <v>5000</v>
      </c>
      <c r="R170" s="54">
        <f t="shared" si="21"/>
        <v>2500</v>
      </c>
      <c r="S170" s="55" t="str">
        <f t="shared" si="22"/>
        <v xml:space="preserve"> </v>
      </c>
      <c r="T170" s="56"/>
      <c r="U170" s="57" t="str">
        <f t="shared" si="23"/>
        <v>100µg/100cm²</v>
      </c>
      <c r="V170" s="58">
        <f t="shared" si="24"/>
        <v>2500</v>
      </c>
      <c r="W170" s="58" t="str">
        <f t="shared" si="25"/>
        <v xml:space="preserve"> </v>
      </c>
      <c r="X170" s="59" t="str">
        <f t="shared" si="26"/>
        <v/>
      </c>
      <c r="Y170" s="60"/>
      <c r="Z170" s="64"/>
      <c r="AA170" s="64"/>
      <c r="AB170" s="64"/>
      <c r="AC170" s="64"/>
      <c r="AD170" s="64"/>
      <c r="AE170" s="16" t="s">
        <v>675</v>
      </c>
      <c r="AF170" s="64"/>
      <c r="AG170" s="64"/>
      <c r="AH170" s="64"/>
      <c r="AI170" s="64"/>
      <c r="AJ170" s="64"/>
      <c r="AK170" s="64"/>
      <c r="AL170" s="64"/>
      <c r="AM170" s="16" t="s">
        <v>675</v>
      </c>
      <c r="AN170" s="64"/>
      <c r="AO170" s="64"/>
      <c r="AP170" s="64"/>
      <c r="AQ170" s="64"/>
      <c r="AR170" s="64"/>
      <c r="AS170" s="64"/>
      <c r="AT170" s="64"/>
      <c r="AU170" s="83" t="s">
        <v>675</v>
      </c>
      <c r="AV170" s="83" t="s">
        <v>675</v>
      </c>
      <c r="AW170" s="16" t="s">
        <v>675</v>
      </c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5"/>
    </row>
    <row r="171" spans="1:72" ht="18" hidden="1" customHeight="1" x14ac:dyDescent="0.3">
      <c r="A171" s="81" t="s">
        <v>881</v>
      </c>
      <c r="B171" s="76" t="s">
        <v>459</v>
      </c>
      <c r="C171" s="16" t="s">
        <v>1502</v>
      </c>
      <c r="D171" s="16" t="s">
        <v>1484</v>
      </c>
      <c r="E171" s="50">
        <v>50</v>
      </c>
      <c r="F171" s="50">
        <v>0</v>
      </c>
      <c r="G171" s="16">
        <v>1</v>
      </c>
      <c r="H171" s="16" t="s">
        <v>1023</v>
      </c>
      <c r="I171" s="16" t="s">
        <v>1016</v>
      </c>
      <c r="J171" s="16" t="s">
        <v>2382</v>
      </c>
      <c r="K171" s="16">
        <v>50</v>
      </c>
      <c r="L171" s="16">
        <v>50</v>
      </c>
      <c r="M171" s="64"/>
      <c r="N171" s="64"/>
      <c r="O171" s="63" t="str">
        <f t="shared" si="27"/>
        <v>YES</v>
      </c>
      <c r="P171" s="52"/>
      <c r="Q171" s="53">
        <f t="shared" si="20"/>
        <v>5000</v>
      </c>
      <c r="R171" s="54">
        <f t="shared" si="21"/>
        <v>2500</v>
      </c>
      <c r="S171" s="55" t="str">
        <f t="shared" si="22"/>
        <v xml:space="preserve"> </v>
      </c>
      <c r="T171" s="56"/>
      <c r="U171" s="57" t="str">
        <f t="shared" si="23"/>
        <v>100µg/100cm²</v>
      </c>
      <c r="V171" s="58">
        <f t="shared" si="24"/>
        <v>2500</v>
      </c>
      <c r="W171" s="58" t="str">
        <f t="shared" si="25"/>
        <v xml:space="preserve"> </v>
      </c>
      <c r="X171" s="59" t="str">
        <f t="shared" si="26"/>
        <v/>
      </c>
      <c r="Y171" s="60"/>
      <c r="Z171" s="64"/>
      <c r="AA171" s="64"/>
      <c r="AB171" s="64"/>
      <c r="AC171" s="64"/>
      <c r="AD171" s="64"/>
      <c r="AE171" s="16" t="s">
        <v>675</v>
      </c>
      <c r="AF171" s="64"/>
      <c r="AG171" s="64"/>
      <c r="AH171" s="64"/>
      <c r="AI171" s="64"/>
      <c r="AJ171" s="64"/>
      <c r="AK171" s="64"/>
      <c r="AL171" s="64"/>
      <c r="AM171" s="16" t="s">
        <v>675</v>
      </c>
      <c r="AN171" s="64"/>
      <c r="AO171" s="64"/>
      <c r="AP171" s="64"/>
      <c r="AQ171" s="64"/>
      <c r="AR171" s="64"/>
      <c r="AS171" s="64"/>
      <c r="AT171" s="64"/>
      <c r="AU171" s="83" t="s">
        <v>675</v>
      </c>
      <c r="AV171" s="83" t="s">
        <v>675</v>
      </c>
      <c r="AW171" s="16" t="s">
        <v>675</v>
      </c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5"/>
    </row>
    <row r="172" spans="1:72" ht="18" hidden="1" customHeight="1" x14ac:dyDescent="0.3">
      <c r="A172" s="47" t="s">
        <v>1679</v>
      </c>
      <c r="B172" s="48" t="s">
        <v>1680</v>
      </c>
      <c r="C172" s="49" t="s">
        <v>2090</v>
      </c>
      <c r="D172" s="16" t="s">
        <v>1268</v>
      </c>
      <c r="E172" s="50">
        <v>89.9</v>
      </c>
      <c r="F172" s="50">
        <v>0</v>
      </c>
      <c r="G172" s="61">
        <v>7</v>
      </c>
      <c r="H172" s="16">
        <v>0.05</v>
      </c>
      <c r="I172" s="70" t="s">
        <v>1474</v>
      </c>
      <c r="J172" s="16" t="s">
        <v>1681</v>
      </c>
      <c r="K172" s="49">
        <v>77</v>
      </c>
      <c r="L172" s="49">
        <v>700</v>
      </c>
      <c r="M172" s="49" t="s">
        <v>1030</v>
      </c>
      <c r="N172" s="51"/>
      <c r="O172" s="63" t="str">
        <f t="shared" si="27"/>
        <v>YES</v>
      </c>
      <c r="P172" s="52"/>
      <c r="Q172" s="53">
        <f t="shared" si="20"/>
        <v>5000</v>
      </c>
      <c r="R172" s="54">
        <f t="shared" si="21"/>
        <v>4495</v>
      </c>
      <c r="S172" s="55" t="str">
        <f t="shared" si="22"/>
        <v xml:space="preserve"> </v>
      </c>
      <c r="T172" s="56"/>
      <c r="U172" s="57" t="str">
        <f t="shared" si="23"/>
        <v>100µg/100cm²</v>
      </c>
      <c r="V172" s="58">
        <f t="shared" si="24"/>
        <v>4495</v>
      </c>
      <c r="W172" s="58" t="str">
        <f t="shared" si="25"/>
        <v xml:space="preserve"> </v>
      </c>
      <c r="X172" s="59" t="str">
        <f t="shared" si="26"/>
        <v/>
      </c>
      <c r="Y172" s="60"/>
      <c r="Z172" s="64"/>
      <c r="AA172" s="64"/>
      <c r="AB172" s="64"/>
      <c r="AC172" s="64"/>
      <c r="AD172" s="64"/>
      <c r="AE172" s="64"/>
      <c r="AF172" s="65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16" t="s">
        <v>675</v>
      </c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5"/>
    </row>
    <row r="173" spans="1:72" ht="18" hidden="1" customHeight="1" x14ac:dyDescent="0.3">
      <c r="A173" s="47" t="s">
        <v>1676</v>
      </c>
      <c r="B173" s="48" t="s">
        <v>1677</v>
      </c>
      <c r="C173" s="49" t="s">
        <v>2091</v>
      </c>
      <c r="D173" s="16" t="s">
        <v>1618</v>
      </c>
      <c r="E173" s="50">
        <v>71.05</v>
      </c>
      <c r="F173" s="50">
        <v>0</v>
      </c>
      <c r="G173" s="61">
        <v>4</v>
      </c>
      <c r="H173" s="16">
        <v>13</v>
      </c>
      <c r="I173" s="70" t="s">
        <v>1474</v>
      </c>
      <c r="J173" s="16" t="s">
        <v>1678</v>
      </c>
      <c r="K173" s="49">
        <v>1.5</v>
      </c>
      <c r="L173" s="49">
        <v>1.5</v>
      </c>
      <c r="M173" s="49" t="s">
        <v>1036</v>
      </c>
      <c r="N173" s="51"/>
      <c r="O173" s="63" t="str">
        <f t="shared" si="27"/>
        <v>YES</v>
      </c>
      <c r="P173" s="52"/>
      <c r="Q173" s="53">
        <f t="shared" si="20"/>
        <v>273.7</v>
      </c>
      <c r="R173" s="54">
        <f t="shared" si="21"/>
        <v>194.4</v>
      </c>
      <c r="S173" s="55" t="str">
        <f t="shared" si="22"/>
        <v xml:space="preserve"> </v>
      </c>
      <c r="T173" s="56"/>
      <c r="U173" s="57" t="str">
        <f t="shared" si="23"/>
        <v>100µg/100cm²</v>
      </c>
      <c r="V173" s="58">
        <f t="shared" si="24"/>
        <v>194.4</v>
      </c>
      <c r="W173" s="58" t="str">
        <f t="shared" si="25"/>
        <v xml:space="preserve"> </v>
      </c>
      <c r="X173" s="59" t="str">
        <f t="shared" si="26"/>
        <v/>
      </c>
      <c r="Y173" s="60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16" t="s">
        <v>675</v>
      </c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5"/>
    </row>
    <row r="174" spans="1:72" ht="18" customHeight="1" x14ac:dyDescent="0.3">
      <c r="A174" s="47" t="s">
        <v>689</v>
      </c>
      <c r="B174" s="49" t="s">
        <v>690</v>
      </c>
      <c r="C174" s="49" t="s">
        <v>1120</v>
      </c>
      <c r="D174" s="49" t="s">
        <v>1114</v>
      </c>
      <c r="E174" s="50">
        <v>0</v>
      </c>
      <c r="F174" s="50">
        <v>0</v>
      </c>
      <c r="G174" s="61">
        <v>1</v>
      </c>
      <c r="H174" s="16">
        <v>1150</v>
      </c>
      <c r="I174" s="49" t="s">
        <v>1016</v>
      </c>
      <c r="J174" s="16" t="s">
        <v>1121</v>
      </c>
      <c r="K174" s="62">
        <v>295</v>
      </c>
      <c r="L174" s="62">
        <v>2655</v>
      </c>
      <c r="M174" s="62" t="s">
        <v>1014</v>
      </c>
      <c r="N174" s="51"/>
      <c r="O174" s="63" t="str">
        <f t="shared" si="27"/>
        <v>YES</v>
      </c>
      <c r="P174" s="52"/>
      <c r="Q174" s="53">
        <f t="shared" si="20"/>
        <v>5000</v>
      </c>
      <c r="R174" s="54" t="str">
        <f t="shared" si="21"/>
        <v xml:space="preserve"> </v>
      </c>
      <c r="S174" s="55" t="str">
        <f t="shared" si="22"/>
        <v xml:space="preserve"> </v>
      </c>
      <c r="T174" s="56"/>
      <c r="U174" s="57" t="str">
        <f t="shared" si="23"/>
        <v xml:space="preserve"> </v>
      </c>
      <c r="V174" s="58" t="str">
        <f t="shared" si="24"/>
        <v xml:space="preserve"> </v>
      </c>
      <c r="W174" s="58" t="str">
        <f t="shared" si="25"/>
        <v xml:space="preserve"> </v>
      </c>
      <c r="X174" s="59" t="str">
        <f t="shared" si="26"/>
        <v>Water criteria (conductivity)</v>
      </c>
      <c r="Y174" s="60"/>
      <c r="Z174" s="64"/>
      <c r="AA174" s="64"/>
      <c r="AB174" s="64"/>
      <c r="AC174" s="64"/>
      <c r="AD174" s="16" t="s">
        <v>675</v>
      </c>
      <c r="AE174" s="64"/>
      <c r="AF174" s="64"/>
      <c r="AG174" s="64"/>
      <c r="AH174" s="64"/>
      <c r="AI174" s="64"/>
      <c r="AJ174" s="64"/>
      <c r="AK174" s="64"/>
      <c r="AL174" s="64"/>
      <c r="AM174" s="16" t="s">
        <v>675</v>
      </c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5"/>
    </row>
    <row r="175" spans="1:72" ht="18" customHeight="1" x14ac:dyDescent="0.3">
      <c r="A175" s="47" t="s">
        <v>347</v>
      </c>
      <c r="B175" s="48" t="s">
        <v>348</v>
      </c>
      <c r="C175" s="16" t="s">
        <v>2092</v>
      </c>
      <c r="D175" s="49" t="s">
        <v>1114</v>
      </c>
      <c r="E175" s="50">
        <v>0</v>
      </c>
      <c r="F175" s="50">
        <v>0</v>
      </c>
      <c r="G175" s="61">
        <v>2</v>
      </c>
      <c r="H175" s="16">
        <v>317</v>
      </c>
      <c r="I175" s="48" t="s">
        <v>1016</v>
      </c>
      <c r="J175" s="16" t="s">
        <v>1122</v>
      </c>
      <c r="K175" s="62">
        <v>1.5</v>
      </c>
      <c r="L175" s="62">
        <v>1.5</v>
      </c>
      <c r="M175" s="62" t="s">
        <v>1036</v>
      </c>
      <c r="N175" s="51"/>
      <c r="O175" s="63" t="str">
        <f t="shared" si="27"/>
        <v>YES</v>
      </c>
      <c r="P175" s="52"/>
      <c r="Q175" s="53">
        <f t="shared" si="20"/>
        <v>273.7</v>
      </c>
      <c r="R175" s="54" t="str">
        <f t="shared" si="21"/>
        <v xml:space="preserve"> </v>
      </c>
      <c r="S175" s="55" t="str">
        <f t="shared" si="22"/>
        <v xml:space="preserve"> </v>
      </c>
      <c r="T175" s="56"/>
      <c r="U175" s="57" t="str">
        <f t="shared" si="23"/>
        <v xml:space="preserve"> </v>
      </c>
      <c r="V175" s="58" t="str">
        <f t="shared" si="24"/>
        <v xml:space="preserve"> </v>
      </c>
      <c r="W175" s="58" t="str">
        <f t="shared" si="25"/>
        <v xml:space="preserve"> </v>
      </c>
      <c r="X175" s="59" t="str">
        <f t="shared" si="26"/>
        <v>Mitigation</v>
      </c>
      <c r="Y175" s="60"/>
      <c r="Z175" s="16" t="s">
        <v>675</v>
      </c>
      <c r="AA175" s="16" t="s">
        <v>675</v>
      </c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16" t="s">
        <v>675</v>
      </c>
      <c r="AN175" s="64"/>
      <c r="AO175" s="64"/>
      <c r="AP175" s="64"/>
      <c r="AQ175" s="16" t="s">
        <v>675</v>
      </c>
      <c r="AR175" s="64"/>
      <c r="AS175" s="16" t="s">
        <v>675</v>
      </c>
      <c r="AT175" s="64"/>
      <c r="AU175" s="16" t="s">
        <v>675</v>
      </c>
      <c r="AV175" s="64"/>
      <c r="AW175" s="16" t="s">
        <v>675</v>
      </c>
      <c r="AX175" s="64"/>
      <c r="AY175" s="64"/>
      <c r="AZ175" s="64"/>
      <c r="BA175" s="16" t="s">
        <v>675</v>
      </c>
      <c r="BB175" s="16" t="s">
        <v>675</v>
      </c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5"/>
    </row>
    <row r="176" spans="1:72" ht="18" hidden="1" customHeight="1" x14ac:dyDescent="0.3">
      <c r="A176" s="47" t="s">
        <v>376</v>
      </c>
      <c r="B176" s="48" t="s">
        <v>377</v>
      </c>
      <c r="C176" s="49" t="s">
        <v>1399</v>
      </c>
      <c r="D176" s="49" t="s">
        <v>1174</v>
      </c>
      <c r="E176" s="50">
        <v>55.83</v>
      </c>
      <c r="F176" s="50">
        <v>0</v>
      </c>
      <c r="G176" s="61">
        <v>4</v>
      </c>
      <c r="H176" s="16">
        <v>12.5</v>
      </c>
      <c r="I176" s="48" t="s">
        <v>1016</v>
      </c>
      <c r="J176" s="16" t="s">
        <v>2386</v>
      </c>
      <c r="K176" s="49">
        <v>50</v>
      </c>
      <c r="L176" s="49">
        <v>50</v>
      </c>
      <c r="M176" s="64"/>
      <c r="N176" s="64"/>
      <c r="O176" s="63" t="str">
        <f t="shared" si="27"/>
        <v>YES</v>
      </c>
      <c r="P176" s="52"/>
      <c r="Q176" s="53">
        <f t="shared" si="20"/>
        <v>5000</v>
      </c>
      <c r="R176" s="54">
        <f t="shared" si="21"/>
        <v>2791.5</v>
      </c>
      <c r="S176" s="55" t="str">
        <f t="shared" si="22"/>
        <v xml:space="preserve"> </v>
      </c>
      <c r="T176" s="56"/>
      <c r="U176" s="57" t="str">
        <f t="shared" si="23"/>
        <v>100µg/100cm²</v>
      </c>
      <c r="V176" s="58">
        <f t="shared" si="24"/>
        <v>2791.5</v>
      </c>
      <c r="W176" s="58" t="str">
        <f t="shared" si="25"/>
        <v xml:space="preserve"> </v>
      </c>
      <c r="X176" s="59" t="str">
        <f t="shared" si="26"/>
        <v/>
      </c>
      <c r="Y176" s="60"/>
      <c r="Z176" s="64"/>
      <c r="AA176" s="64"/>
      <c r="AB176" s="64"/>
      <c r="AC176" s="64"/>
      <c r="AD176" s="16" t="s">
        <v>675</v>
      </c>
      <c r="AE176" s="64"/>
      <c r="AF176" s="64"/>
      <c r="AG176" s="64"/>
      <c r="AH176" s="64"/>
      <c r="AI176" s="64"/>
      <c r="AJ176" s="64"/>
      <c r="AK176" s="64"/>
      <c r="AL176" s="64"/>
      <c r="AM176" s="16" t="s">
        <v>675</v>
      </c>
      <c r="AN176" s="64"/>
      <c r="AO176" s="64"/>
      <c r="AP176" s="64"/>
      <c r="AQ176" s="16" t="s">
        <v>675</v>
      </c>
      <c r="AR176" s="64"/>
      <c r="AS176" s="16" t="s">
        <v>675</v>
      </c>
      <c r="AT176" s="64"/>
      <c r="AU176" s="16" t="s">
        <v>675</v>
      </c>
      <c r="AV176" s="64"/>
      <c r="AW176" s="16" t="s">
        <v>675</v>
      </c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5"/>
    </row>
    <row r="177" spans="1:72" ht="18" hidden="1" customHeight="1" x14ac:dyDescent="0.3">
      <c r="A177" s="90" t="s">
        <v>644</v>
      </c>
      <c r="B177" s="48" t="s">
        <v>645</v>
      </c>
      <c r="C177" s="48" t="s">
        <v>1100</v>
      </c>
      <c r="D177" s="48" t="s">
        <v>1101</v>
      </c>
      <c r="E177" s="50">
        <v>11.34</v>
      </c>
      <c r="F177" s="50">
        <v>0</v>
      </c>
      <c r="G177" s="61">
        <v>5</v>
      </c>
      <c r="H177" s="71" t="s">
        <v>1102</v>
      </c>
      <c r="I177" s="48" t="s">
        <v>1016</v>
      </c>
      <c r="J177" s="16" t="s">
        <v>1103</v>
      </c>
      <c r="K177" s="62">
        <v>45</v>
      </c>
      <c r="L177" s="62">
        <v>405</v>
      </c>
      <c r="M177" s="62" t="s">
        <v>1027</v>
      </c>
      <c r="N177" s="49" t="s">
        <v>2358</v>
      </c>
      <c r="O177" s="63" t="str">
        <f t="shared" si="27"/>
        <v>NO</v>
      </c>
      <c r="P177" s="52"/>
      <c r="Q177" s="53">
        <f t="shared" si="20"/>
        <v>45</v>
      </c>
      <c r="R177" s="54">
        <f t="shared" si="21"/>
        <v>5.0999999999999996</v>
      </c>
      <c r="S177" s="55" t="str">
        <f t="shared" si="22"/>
        <v xml:space="preserve"> </v>
      </c>
      <c r="T177" s="56"/>
      <c r="U177" s="57" t="str">
        <f t="shared" si="23"/>
        <v>Mitigation</v>
      </c>
      <c r="V177" s="58">
        <f t="shared" si="24"/>
        <v>5.0999999999999996</v>
      </c>
      <c r="W177" s="58" t="str">
        <f t="shared" si="25"/>
        <v xml:space="preserve"> </v>
      </c>
      <c r="X177" s="59" t="str">
        <f t="shared" si="26"/>
        <v/>
      </c>
      <c r="Y177" s="60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16" t="s">
        <v>675</v>
      </c>
      <c r="BA177" s="64"/>
      <c r="BB177" s="16" t="s">
        <v>675</v>
      </c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5"/>
    </row>
    <row r="178" spans="1:72" ht="18" hidden="1" customHeight="1" x14ac:dyDescent="0.3">
      <c r="A178" s="66" t="s">
        <v>789</v>
      </c>
      <c r="B178" s="69" t="s">
        <v>453</v>
      </c>
      <c r="C178" s="16" t="s">
        <v>2093</v>
      </c>
      <c r="D178" s="49" t="s">
        <v>1397</v>
      </c>
      <c r="E178" s="50">
        <v>44.4</v>
      </c>
      <c r="F178" s="50">
        <v>0</v>
      </c>
      <c r="G178" s="61">
        <v>2</v>
      </c>
      <c r="H178" s="68" t="s">
        <v>1457</v>
      </c>
      <c r="I178" s="48" t="s">
        <v>1016</v>
      </c>
      <c r="J178" s="16" t="s">
        <v>2386</v>
      </c>
      <c r="K178" s="16">
        <v>50</v>
      </c>
      <c r="L178" s="16">
        <v>50</v>
      </c>
      <c r="M178" s="64"/>
      <c r="N178" s="64"/>
      <c r="O178" s="63" t="str">
        <f t="shared" si="27"/>
        <v>YES</v>
      </c>
      <c r="P178" s="52"/>
      <c r="Q178" s="53">
        <f t="shared" si="20"/>
        <v>5000</v>
      </c>
      <c r="R178" s="54">
        <f t="shared" si="21"/>
        <v>2220</v>
      </c>
      <c r="S178" s="55" t="str">
        <f t="shared" si="22"/>
        <v xml:space="preserve"> </v>
      </c>
      <c r="T178" s="56"/>
      <c r="U178" s="57" t="str">
        <f t="shared" si="23"/>
        <v>100µg/100cm²</v>
      </c>
      <c r="V178" s="58">
        <f t="shared" si="24"/>
        <v>2220</v>
      </c>
      <c r="W178" s="58" t="str">
        <f t="shared" si="25"/>
        <v xml:space="preserve"> </v>
      </c>
      <c r="X178" s="59" t="str">
        <f t="shared" si="26"/>
        <v/>
      </c>
      <c r="Y178" s="60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16" t="s">
        <v>675</v>
      </c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5"/>
    </row>
    <row r="179" spans="1:72" ht="18" hidden="1" customHeight="1" x14ac:dyDescent="0.3">
      <c r="A179" s="84" t="s">
        <v>300</v>
      </c>
      <c r="B179" s="70" t="s">
        <v>301</v>
      </c>
      <c r="C179" s="87" t="s">
        <v>1592</v>
      </c>
      <c r="D179" s="49" t="s">
        <v>1363</v>
      </c>
      <c r="E179" s="50">
        <v>51</v>
      </c>
      <c r="F179" s="50">
        <v>0</v>
      </c>
      <c r="G179" s="61">
        <v>7</v>
      </c>
      <c r="H179" s="16" t="s">
        <v>1105</v>
      </c>
      <c r="I179" s="70" t="s">
        <v>1016</v>
      </c>
      <c r="J179" s="16" t="s">
        <v>2386</v>
      </c>
      <c r="K179" s="49">
        <v>50</v>
      </c>
      <c r="L179" s="49">
        <v>50</v>
      </c>
      <c r="M179" s="64"/>
      <c r="N179" s="64"/>
      <c r="O179" s="63" t="str">
        <f t="shared" si="27"/>
        <v>YES</v>
      </c>
      <c r="P179" s="52"/>
      <c r="Q179" s="53">
        <f t="shared" si="20"/>
        <v>5000</v>
      </c>
      <c r="R179" s="54">
        <f t="shared" si="21"/>
        <v>2550</v>
      </c>
      <c r="S179" s="55" t="str">
        <f t="shared" si="22"/>
        <v xml:space="preserve"> </v>
      </c>
      <c r="T179" s="56"/>
      <c r="U179" s="57" t="str">
        <f t="shared" si="23"/>
        <v>100µg/100cm²</v>
      </c>
      <c r="V179" s="58">
        <f t="shared" si="24"/>
        <v>2550</v>
      </c>
      <c r="W179" s="58" t="str">
        <f t="shared" si="25"/>
        <v xml:space="preserve"> </v>
      </c>
      <c r="X179" s="59" t="str">
        <f t="shared" si="26"/>
        <v/>
      </c>
      <c r="Y179" s="60"/>
      <c r="Z179" s="64"/>
      <c r="AA179" s="64"/>
      <c r="AB179" s="64"/>
      <c r="AC179" s="64"/>
      <c r="AD179" s="64"/>
      <c r="AE179" s="64"/>
      <c r="AF179" s="64"/>
      <c r="AG179" s="64"/>
      <c r="AH179" s="64"/>
      <c r="AI179" s="16" t="s">
        <v>675</v>
      </c>
      <c r="AJ179" s="64"/>
      <c r="AK179" s="64"/>
      <c r="AL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5"/>
    </row>
    <row r="180" spans="1:72" ht="18" hidden="1" customHeight="1" x14ac:dyDescent="0.3">
      <c r="A180" s="107" t="s">
        <v>1962</v>
      </c>
      <c r="B180" s="87" t="s">
        <v>1961</v>
      </c>
      <c r="C180" s="87" t="s">
        <v>1960</v>
      </c>
      <c r="D180" s="16" t="s">
        <v>1397</v>
      </c>
      <c r="E180" s="50">
        <v>22.35</v>
      </c>
      <c r="F180" s="50">
        <v>0</v>
      </c>
      <c r="G180" s="16">
        <v>3</v>
      </c>
      <c r="H180" s="16" t="s">
        <v>1959</v>
      </c>
      <c r="I180" s="16" t="s">
        <v>1573</v>
      </c>
      <c r="J180" s="16" t="s">
        <v>2011</v>
      </c>
      <c r="K180" s="16" t="s">
        <v>2027</v>
      </c>
      <c r="L180" s="16" t="s">
        <v>2027</v>
      </c>
      <c r="M180" s="64"/>
      <c r="N180" s="64"/>
      <c r="O180" s="16" t="s">
        <v>2027</v>
      </c>
      <c r="P180" s="73"/>
      <c r="Q180" s="53" t="str">
        <f t="shared" si="20"/>
        <v>Pending</v>
      </c>
      <c r="R180" s="54" t="str">
        <f t="shared" si="21"/>
        <v>Pending</v>
      </c>
      <c r="S180" s="55" t="str">
        <f t="shared" si="22"/>
        <v>Pending</v>
      </c>
      <c r="T180" s="105"/>
      <c r="U180" s="57" t="str">
        <f t="shared" si="23"/>
        <v>Pending</v>
      </c>
      <c r="V180" s="58" t="str">
        <f t="shared" si="24"/>
        <v>Pending</v>
      </c>
      <c r="W180" s="57" t="str">
        <f t="shared" si="25"/>
        <v>Pending</v>
      </c>
      <c r="X180" s="59" t="str">
        <f t="shared" si="26"/>
        <v/>
      </c>
      <c r="Y180" s="106"/>
      <c r="Z180" s="16" t="s">
        <v>1987</v>
      </c>
      <c r="AA180" s="16" t="s">
        <v>1987</v>
      </c>
      <c r="AB180" s="16" t="s">
        <v>1987</v>
      </c>
      <c r="AC180" s="16" t="s">
        <v>1987</v>
      </c>
      <c r="AD180" s="16" t="s">
        <v>1987</v>
      </c>
      <c r="AE180" s="16" t="s">
        <v>1987</v>
      </c>
      <c r="AF180" s="16" t="s">
        <v>1987</v>
      </c>
      <c r="AG180" s="16" t="s">
        <v>1987</v>
      </c>
      <c r="AH180" s="16" t="s">
        <v>1987</v>
      </c>
      <c r="AI180" s="16" t="s">
        <v>1987</v>
      </c>
      <c r="AJ180" s="16" t="s">
        <v>1987</v>
      </c>
      <c r="AK180" s="16" t="s">
        <v>1987</v>
      </c>
      <c r="AL180" s="16" t="s">
        <v>1987</v>
      </c>
      <c r="AM180" s="16" t="s">
        <v>1987</v>
      </c>
      <c r="AN180" s="16" t="s">
        <v>1987</v>
      </c>
      <c r="AO180" s="16" t="s">
        <v>1987</v>
      </c>
      <c r="AP180" s="16" t="s">
        <v>1987</v>
      </c>
      <c r="AQ180" s="16" t="s">
        <v>1987</v>
      </c>
      <c r="AR180" s="16" t="s">
        <v>1987</v>
      </c>
      <c r="AS180" s="16" t="s">
        <v>1987</v>
      </c>
      <c r="AT180" s="16" t="s">
        <v>1987</v>
      </c>
      <c r="AU180" s="16" t="s">
        <v>1987</v>
      </c>
      <c r="AV180" s="16" t="s">
        <v>1987</v>
      </c>
      <c r="AW180" s="16" t="s">
        <v>1987</v>
      </c>
      <c r="AX180" s="16" t="s">
        <v>1987</v>
      </c>
      <c r="AY180" s="16" t="s">
        <v>1987</v>
      </c>
      <c r="AZ180" s="16" t="s">
        <v>1987</v>
      </c>
      <c r="BA180" s="16" t="s">
        <v>1987</v>
      </c>
      <c r="BB180" s="16" t="s">
        <v>1987</v>
      </c>
      <c r="BC180" s="16" t="s">
        <v>1987</v>
      </c>
      <c r="BD180" s="16" t="s">
        <v>1987</v>
      </c>
      <c r="BE180" s="16" t="s">
        <v>1987</v>
      </c>
      <c r="BF180" s="16" t="s">
        <v>1987</v>
      </c>
      <c r="BG180" s="16" t="s">
        <v>1987</v>
      </c>
      <c r="BH180" s="16" t="s">
        <v>1987</v>
      </c>
      <c r="BI180" s="16" t="s">
        <v>1987</v>
      </c>
      <c r="BJ180" s="16" t="s">
        <v>1987</v>
      </c>
      <c r="BK180" s="16" t="s">
        <v>1987</v>
      </c>
      <c r="BL180" s="16" t="s">
        <v>1987</v>
      </c>
      <c r="BM180" s="16" t="s">
        <v>1987</v>
      </c>
      <c r="BN180" s="16" t="s">
        <v>1987</v>
      </c>
      <c r="BO180" s="16" t="s">
        <v>1987</v>
      </c>
      <c r="BP180" s="16" t="s">
        <v>1987</v>
      </c>
      <c r="BQ180" s="16" t="s">
        <v>1987</v>
      </c>
      <c r="BR180" s="16" t="s">
        <v>1987</v>
      </c>
      <c r="BS180" s="16" t="s">
        <v>1987</v>
      </c>
      <c r="BT180" s="16" t="s">
        <v>1987</v>
      </c>
    </row>
    <row r="181" spans="1:72" ht="18" hidden="1" customHeight="1" x14ac:dyDescent="0.3">
      <c r="A181" s="47" t="s">
        <v>136</v>
      </c>
      <c r="B181" s="48" t="s">
        <v>137</v>
      </c>
      <c r="C181" s="16" t="s">
        <v>2072</v>
      </c>
      <c r="D181" s="49" t="s">
        <v>1243</v>
      </c>
      <c r="E181" s="50">
        <v>40</v>
      </c>
      <c r="F181" s="50">
        <v>0</v>
      </c>
      <c r="G181" s="61">
        <v>2</v>
      </c>
      <c r="H181" s="16">
        <v>790</v>
      </c>
      <c r="I181" s="48" t="s">
        <v>1016</v>
      </c>
      <c r="J181" s="16" t="s">
        <v>2386</v>
      </c>
      <c r="K181" s="49">
        <v>50</v>
      </c>
      <c r="L181" s="49">
        <v>50</v>
      </c>
      <c r="M181" s="64"/>
      <c r="N181" s="64"/>
      <c r="O181" s="49" t="str">
        <f t="shared" ref="O181:O211" si="28">IF(AND(ISBLANK(K181),ISBLANK(N181))," ",IF(ISBLANK(N181),"YES","NO"))</f>
        <v>YES</v>
      </c>
      <c r="P181" s="52"/>
      <c r="Q181" s="53">
        <f t="shared" si="20"/>
        <v>5000</v>
      </c>
      <c r="R181" s="54">
        <f t="shared" si="21"/>
        <v>2000</v>
      </c>
      <c r="S181" s="55" t="str">
        <f t="shared" si="22"/>
        <v xml:space="preserve"> </v>
      </c>
      <c r="T181" s="56"/>
      <c r="U181" s="57" t="str">
        <f t="shared" si="23"/>
        <v>100µg/100cm²</v>
      </c>
      <c r="V181" s="58">
        <f t="shared" si="24"/>
        <v>2000</v>
      </c>
      <c r="W181" s="58" t="str">
        <f t="shared" si="25"/>
        <v xml:space="preserve"> </v>
      </c>
      <c r="X181" s="59" t="str">
        <f t="shared" si="26"/>
        <v/>
      </c>
      <c r="Y181" s="60"/>
      <c r="Z181" s="64"/>
      <c r="AA181" s="64"/>
      <c r="AB181" s="64"/>
      <c r="AC181" s="16" t="s">
        <v>675</v>
      </c>
      <c r="AD181" s="64"/>
      <c r="AE181" s="64"/>
      <c r="AF181" s="64"/>
      <c r="AG181" s="64"/>
      <c r="AH181" s="64"/>
      <c r="AI181" s="64"/>
      <c r="AJ181" s="64"/>
      <c r="AK181" s="64"/>
      <c r="AL181" s="64"/>
      <c r="AM181" s="16" t="s">
        <v>675</v>
      </c>
      <c r="AN181" s="64"/>
      <c r="AO181" s="64"/>
      <c r="AP181" s="64"/>
      <c r="AQ181" s="64"/>
      <c r="AR181" s="64"/>
      <c r="AS181" s="16" t="s">
        <v>675</v>
      </c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5"/>
    </row>
    <row r="182" spans="1:72" ht="18" hidden="1" customHeight="1" x14ac:dyDescent="0.3">
      <c r="A182" s="81" t="s">
        <v>882</v>
      </c>
      <c r="B182" s="76" t="s">
        <v>459</v>
      </c>
      <c r="C182" s="16" t="s">
        <v>1502</v>
      </c>
      <c r="D182" s="16" t="s">
        <v>1484</v>
      </c>
      <c r="E182" s="50">
        <v>50</v>
      </c>
      <c r="F182" s="50">
        <v>0</v>
      </c>
      <c r="G182" s="16">
        <v>1</v>
      </c>
      <c r="H182" s="16" t="s">
        <v>1023</v>
      </c>
      <c r="I182" s="16" t="s">
        <v>1016</v>
      </c>
      <c r="J182" s="16" t="s">
        <v>2382</v>
      </c>
      <c r="K182" s="16">
        <v>50</v>
      </c>
      <c r="L182" s="16">
        <v>50</v>
      </c>
      <c r="M182" s="64"/>
      <c r="N182" s="64"/>
      <c r="O182" s="49" t="str">
        <f t="shared" si="28"/>
        <v>YES</v>
      </c>
      <c r="P182" s="52"/>
      <c r="Q182" s="53">
        <f t="shared" si="20"/>
        <v>5000</v>
      </c>
      <c r="R182" s="54">
        <f t="shared" si="21"/>
        <v>2500</v>
      </c>
      <c r="S182" s="55" t="str">
        <f t="shared" si="22"/>
        <v xml:space="preserve"> </v>
      </c>
      <c r="T182" s="56"/>
      <c r="U182" s="57" t="str">
        <f t="shared" si="23"/>
        <v>100µg/100cm²</v>
      </c>
      <c r="V182" s="58">
        <f t="shared" si="24"/>
        <v>2500</v>
      </c>
      <c r="W182" s="58" t="str">
        <f t="shared" si="25"/>
        <v xml:space="preserve"> </v>
      </c>
      <c r="X182" s="59" t="str">
        <f t="shared" si="26"/>
        <v/>
      </c>
      <c r="Y182" s="60"/>
      <c r="Z182" s="64"/>
      <c r="AA182" s="64"/>
      <c r="AB182" s="64"/>
      <c r="AC182" s="64"/>
      <c r="AD182" s="64"/>
      <c r="AE182" s="16" t="s">
        <v>675</v>
      </c>
      <c r="AF182" s="64"/>
      <c r="AG182" s="64"/>
      <c r="AH182" s="64"/>
      <c r="AI182" s="64"/>
      <c r="AJ182" s="64"/>
      <c r="AK182" s="64"/>
      <c r="AL182" s="64"/>
      <c r="AM182" s="16" t="s">
        <v>675</v>
      </c>
      <c r="AN182" s="64"/>
      <c r="AO182" s="64"/>
      <c r="AP182" s="64"/>
      <c r="AQ182" s="64"/>
      <c r="AR182" s="64"/>
      <c r="AS182" s="64"/>
      <c r="AT182" s="64"/>
      <c r="AU182" s="82"/>
      <c r="AV182" s="82"/>
      <c r="AW182" s="82"/>
      <c r="AX182" s="64"/>
      <c r="AY182" s="16" t="s">
        <v>675</v>
      </c>
      <c r="AZ182" s="16" t="s">
        <v>675</v>
      </c>
      <c r="BA182" s="16" t="s">
        <v>675</v>
      </c>
      <c r="BB182" s="16" t="s">
        <v>675</v>
      </c>
      <c r="BC182" s="64"/>
      <c r="BD182" s="16" t="s">
        <v>675</v>
      </c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5"/>
    </row>
    <row r="183" spans="1:72" ht="18" hidden="1" customHeight="1" x14ac:dyDescent="0.3">
      <c r="A183" s="66" t="s">
        <v>737</v>
      </c>
      <c r="B183" s="69" t="s">
        <v>562</v>
      </c>
      <c r="C183" s="17" t="s">
        <v>1304</v>
      </c>
      <c r="D183" s="67" t="s">
        <v>1305</v>
      </c>
      <c r="E183" s="50">
        <v>28.799999999999997</v>
      </c>
      <c r="F183" s="50">
        <v>0</v>
      </c>
      <c r="G183" s="61">
        <v>4</v>
      </c>
      <c r="H183" s="16">
        <v>10</v>
      </c>
      <c r="I183" s="48" t="s">
        <v>1016</v>
      </c>
      <c r="J183" s="16" t="s">
        <v>1306</v>
      </c>
      <c r="K183" s="62">
        <v>250</v>
      </c>
      <c r="L183" s="62">
        <v>2250</v>
      </c>
      <c r="M183" s="62" t="s">
        <v>1307</v>
      </c>
      <c r="N183" s="51"/>
      <c r="O183" s="49" t="str">
        <f t="shared" si="28"/>
        <v>YES</v>
      </c>
      <c r="P183" s="52"/>
      <c r="Q183" s="53">
        <f t="shared" si="20"/>
        <v>5000</v>
      </c>
      <c r="R183" s="54">
        <f t="shared" si="21"/>
        <v>1440</v>
      </c>
      <c r="S183" s="55" t="str">
        <f t="shared" si="22"/>
        <v xml:space="preserve"> </v>
      </c>
      <c r="T183" s="56"/>
      <c r="U183" s="57" t="str">
        <f t="shared" si="23"/>
        <v>100µg/100cm²</v>
      </c>
      <c r="V183" s="58">
        <f t="shared" si="24"/>
        <v>1440</v>
      </c>
      <c r="W183" s="58" t="str">
        <f t="shared" si="25"/>
        <v xml:space="preserve"> </v>
      </c>
      <c r="X183" s="59" t="str">
        <f t="shared" si="26"/>
        <v/>
      </c>
      <c r="Y183" s="60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16" t="s">
        <v>675</v>
      </c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5"/>
    </row>
    <row r="184" spans="1:72" ht="18" hidden="1" customHeight="1" x14ac:dyDescent="0.3">
      <c r="A184" s="47" t="s">
        <v>359</v>
      </c>
      <c r="B184" s="48" t="s">
        <v>360</v>
      </c>
      <c r="C184" s="16" t="s">
        <v>1246</v>
      </c>
      <c r="D184" s="49" t="s">
        <v>1247</v>
      </c>
      <c r="E184" s="50">
        <v>32.43</v>
      </c>
      <c r="F184" s="50">
        <v>0</v>
      </c>
      <c r="G184" s="61">
        <v>7</v>
      </c>
      <c r="H184" s="16" t="s">
        <v>1211</v>
      </c>
      <c r="I184" s="48" t="s">
        <v>1016</v>
      </c>
      <c r="J184" s="16" t="s">
        <v>1248</v>
      </c>
      <c r="K184" s="62">
        <v>2100</v>
      </c>
      <c r="L184" s="62">
        <v>19000</v>
      </c>
      <c r="M184" s="62" t="s">
        <v>1014</v>
      </c>
      <c r="N184" s="51"/>
      <c r="O184" s="49" t="str">
        <f t="shared" si="28"/>
        <v>YES</v>
      </c>
      <c r="P184" s="52"/>
      <c r="Q184" s="53">
        <f t="shared" si="20"/>
        <v>5000</v>
      </c>
      <c r="R184" s="54">
        <f t="shared" si="21"/>
        <v>1621.5</v>
      </c>
      <c r="S184" s="55" t="str">
        <f t="shared" si="22"/>
        <v xml:space="preserve"> </v>
      </c>
      <c r="T184" s="56"/>
      <c r="U184" s="57" t="str">
        <f t="shared" si="23"/>
        <v>100µg/100cm²</v>
      </c>
      <c r="V184" s="58">
        <f t="shared" si="24"/>
        <v>1621.5</v>
      </c>
      <c r="W184" s="58" t="str">
        <f t="shared" si="25"/>
        <v xml:space="preserve"> </v>
      </c>
      <c r="X184" s="59" t="str">
        <f t="shared" si="26"/>
        <v/>
      </c>
      <c r="Y184" s="60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16" t="s">
        <v>675</v>
      </c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16" t="s">
        <v>675</v>
      </c>
      <c r="BL184" s="64"/>
      <c r="BM184" s="64"/>
      <c r="BN184" s="64"/>
      <c r="BO184" s="64"/>
      <c r="BP184" s="64"/>
      <c r="BQ184" s="64"/>
      <c r="BR184" s="64"/>
      <c r="BS184" s="16" t="s">
        <v>675</v>
      </c>
      <c r="BT184" s="65"/>
    </row>
    <row r="185" spans="1:72" ht="18" hidden="1" customHeight="1" x14ac:dyDescent="0.3">
      <c r="A185" s="66" t="s">
        <v>429</v>
      </c>
      <c r="B185" s="69" t="s">
        <v>430</v>
      </c>
      <c r="C185" s="49" t="s">
        <v>1458</v>
      </c>
      <c r="D185" s="49" t="s">
        <v>1397</v>
      </c>
      <c r="E185" s="50">
        <v>34.6</v>
      </c>
      <c r="F185" s="50">
        <v>0</v>
      </c>
      <c r="G185" s="61">
        <v>5</v>
      </c>
      <c r="H185" s="16">
        <v>2</v>
      </c>
      <c r="I185" s="48" t="s">
        <v>1016</v>
      </c>
      <c r="J185" s="17" t="s">
        <v>1988</v>
      </c>
      <c r="K185" s="16">
        <v>0.01</v>
      </c>
      <c r="L185" s="16" t="s">
        <v>1987</v>
      </c>
      <c r="M185" s="64"/>
      <c r="N185" s="16" t="s">
        <v>2321</v>
      </c>
      <c r="O185" s="63" t="str">
        <f t="shared" si="28"/>
        <v>NO</v>
      </c>
      <c r="P185" s="52"/>
      <c r="Q185" s="188">
        <f t="shared" si="20"/>
        <v>0.01</v>
      </c>
      <c r="R185" s="54">
        <f t="shared" si="21"/>
        <v>0</v>
      </c>
      <c r="S185" s="55" t="str">
        <f t="shared" si="22"/>
        <v xml:space="preserve"> </v>
      </c>
      <c r="T185" s="56"/>
      <c r="U185" s="57" t="str">
        <f t="shared" si="23"/>
        <v>Mitigation</v>
      </c>
      <c r="V185" s="58" t="str">
        <f t="shared" si="24"/>
        <v xml:space="preserve"> </v>
      </c>
      <c r="W185" s="58" t="str">
        <f t="shared" si="25"/>
        <v xml:space="preserve"> </v>
      </c>
      <c r="X185" s="59" t="str">
        <f t="shared" si="26"/>
        <v/>
      </c>
      <c r="Y185" s="60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16" t="s">
        <v>675</v>
      </c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5"/>
    </row>
    <row r="186" spans="1:72" ht="18" hidden="1" customHeight="1" x14ac:dyDescent="0.3">
      <c r="A186" s="47" t="s">
        <v>250</v>
      </c>
      <c r="B186" s="48" t="s">
        <v>251</v>
      </c>
      <c r="C186" s="49" t="s">
        <v>1390</v>
      </c>
      <c r="D186" s="49" t="s">
        <v>1243</v>
      </c>
      <c r="E186" s="50">
        <v>51.52</v>
      </c>
      <c r="F186" s="50">
        <v>0</v>
      </c>
      <c r="G186" s="61">
        <v>3</v>
      </c>
      <c r="H186" s="16">
        <v>100</v>
      </c>
      <c r="I186" s="48" t="s">
        <v>1016</v>
      </c>
      <c r="J186" s="16" t="s">
        <v>1391</v>
      </c>
      <c r="K186" s="62">
        <v>250</v>
      </c>
      <c r="L186" s="62">
        <v>2250</v>
      </c>
      <c r="M186" s="62" t="s">
        <v>1307</v>
      </c>
      <c r="N186" s="64"/>
      <c r="O186" s="49" t="str">
        <f t="shared" si="28"/>
        <v>YES</v>
      </c>
      <c r="P186" s="52"/>
      <c r="Q186" s="53">
        <f t="shared" si="20"/>
        <v>5000</v>
      </c>
      <c r="R186" s="54">
        <f t="shared" si="21"/>
        <v>2576</v>
      </c>
      <c r="S186" s="55" t="str">
        <f t="shared" si="22"/>
        <v xml:space="preserve"> </v>
      </c>
      <c r="T186" s="56"/>
      <c r="U186" s="57" t="str">
        <f t="shared" si="23"/>
        <v>100µg/100cm²</v>
      </c>
      <c r="V186" s="58">
        <f t="shared" si="24"/>
        <v>2576</v>
      </c>
      <c r="W186" s="58" t="str">
        <f t="shared" si="25"/>
        <v xml:space="preserve"> </v>
      </c>
      <c r="X186" s="59" t="str">
        <f t="shared" si="26"/>
        <v/>
      </c>
      <c r="Y186" s="60"/>
      <c r="Z186" s="64"/>
      <c r="AA186" s="64"/>
      <c r="AB186" s="64"/>
      <c r="AC186" s="64"/>
      <c r="AD186" s="64"/>
      <c r="AE186" s="64"/>
      <c r="AF186" s="16" t="s">
        <v>675</v>
      </c>
      <c r="AG186" s="64"/>
      <c r="AH186" s="64"/>
      <c r="AI186" s="64"/>
      <c r="AJ186" s="64"/>
      <c r="AK186" s="16" t="s">
        <v>675</v>
      </c>
      <c r="AL186" s="16" t="s">
        <v>675</v>
      </c>
      <c r="AM186" s="16" t="s">
        <v>675</v>
      </c>
      <c r="AN186" s="64"/>
      <c r="AO186" s="64"/>
      <c r="AP186" s="64"/>
      <c r="AQ186" s="64"/>
      <c r="AR186" s="64"/>
      <c r="AS186" s="64"/>
      <c r="AT186" s="16" t="s">
        <v>675</v>
      </c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16" t="s">
        <v>675</v>
      </c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16" t="s">
        <v>675</v>
      </c>
      <c r="BT186" s="65"/>
    </row>
    <row r="187" spans="1:72" ht="18" customHeight="1" x14ac:dyDescent="0.3">
      <c r="A187" s="98" t="s">
        <v>1548</v>
      </c>
      <c r="B187" s="99" t="s">
        <v>547</v>
      </c>
      <c r="C187" s="16" t="s">
        <v>1549</v>
      </c>
      <c r="D187" s="16" t="s">
        <v>1114</v>
      </c>
      <c r="E187" s="50">
        <v>0</v>
      </c>
      <c r="F187" s="50">
        <v>0</v>
      </c>
      <c r="G187" s="16">
        <v>2</v>
      </c>
      <c r="H187" s="16">
        <v>690</v>
      </c>
      <c r="I187" s="16" t="s">
        <v>1016</v>
      </c>
      <c r="J187" s="16" t="s">
        <v>2386</v>
      </c>
      <c r="K187" s="16">
        <v>50</v>
      </c>
      <c r="L187" s="16">
        <v>50</v>
      </c>
      <c r="M187" s="64"/>
      <c r="N187" s="64"/>
      <c r="O187" s="49" t="str">
        <f t="shared" si="28"/>
        <v>YES</v>
      </c>
      <c r="P187" s="52"/>
      <c r="Q187" s="53">
        <f t="shared" si="20"/>
        <v>5000</v>
      </c>
      <c r="R187" s="54" t="str">
        <f t="shared" si="21"/>
        <v xml:space="preserve"> </v>
      </c>
      <c r="S187" s="55" t="str">
        <f t="shared" si="22"/>
        <v xml:space="preserve"> </v>
      </c>
      <c r="T187" s="56"/>
      <c r="U187" s="57" t="str">
        <f t="shared" si="23"/>
        <v xml:space="preserve"> </v>
      </c>
      <c r="V187" s="58" t="str">
        <f t="shared" si="24"/>
        <v xml:space="preserve"> </v>
      </c>
      <c r="W187" s="58" t="str">
        <f t="shared" si="25"/>
        <v xml:space="preserve"> </v>
      </c>
      <c r="X187" s="59" t="str">
        <f t="shared" si="26"/>
        <v>Water criteria (conductivity)</v>
      </c>
      <c r="Y187" s="60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16" t="s">
        <v>675</v>
      </c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5"/>
    </row>
    <row r="188" spans="1:72" ht="18" hidden="1" customHeight="1" x14ac:dyDescent="0.3">
      <c r="A188" s="81" t="s">
        <v>883</v>
      </c>
      <c r="B188" s="76" t="s">
        <v>459</v>
      </c>
      <c r="C188" s="16" t="s">
        <v>1502</v>
      </c>
      <c r="D188" s="16" t="s">
        <v>1484</v>
      </c>
      <c r="E188" s="50">
        <v>50</v>
      </c>
      <c r="F188" s="50">
        <v>0</v>
      </c>
      <c r="G188" s="16">
        <v>1</v>
      </c>
      <c r="H188" s="16" t="s">
        <v>1023</v>
      </c>
      <c r="I188" s="16" t="s">
        <v>1016</v>
      </c>
      <c r="J188" s="16" t="s">
        <v>2382</v>
      </c>
      <c r="K188" s="16">
        <v>50</v>
      </c>
      <c r="L188" s="16">
        <v>50</v>
      </c>
      <c r="M188" s="64"/>
      <c r="N188" s="64"/>
      <c r="O188" s="49" t="str">
        <f t="shared" si="28"/>
        <v>YES</v>
      </c>
      <c r="P188" s="52"/>
      <c r="Q188" s="53">
        <f t="shared" si="20"/>
        <v>5000</v>
      </c>
      <c r="R188" s="54">
        <f t="shared" si="21"/>
        <v>2500</v>
      </c>
      <c r="S188" s="55" t="str">
        <f t="shared" si="22"/>
        <v xml:space="preserve"> </v>
      </c>
      <c r="T188" s="56"/>
      <c r="U188" s="57" t="str">
        <f t="shared" si="23"/>
        <v>100µg/100cm²</v>
      </c>
      <c r="V188" s="58">
        <f t="shared" si="24"/>
        <v>2500</v>
      </c>
      <c r="W188" s="58" t="str">
        <f t="shared" si="25"/>
        <v xml:space="preserve"> </v>
      </c>
      <c r="X188" s="59" t="str">
        <f t="shared" si="26"/>
        <v/>
      </c>
      <c r="Y188" s="60"/>
      <c r="Z188" s="64"/>
      <c r="AA188" s="64"/>
      <c r="AB188" s="64"/>
      <c r="AC188" s="64"/>
      <c r="AD188" s="64"/>
      <c r="AE188" s="16" t="s">
        <v>675</v>
      </c>
      <c r="AF188" s="64"/>
      <c r="AG188" s="64"/>
      <c r="AH188" s="64"/>
      <c r="AI188" s="64"/>
      <c r="AJ188" s="64"/>
      <c r="AK188" s="64"/>
      <c r="AL188" s="64"/>
      <c r="AM188" s="16" t="s">
        <v>675</v>
      </c>
      <c r="AN188" s="64"/>
      <c r="AO188" s="64"/>
      <c r="AP188" s="64"/>
      <c r="AQ188" s="64"/>
      <c r="AR188" s="64"/>
      <c r="AS188" s="64"/>
      <c r="AT188" s="64"/>
      <c r="AU188" s="82"/>
      <c r="AV188" s="82"/>
      <c r="AW188" s="82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5"/>
    </row>
    <row r="189" spans="1:72" ht="18" hidden="1" customHeight="1" x14ac:dyDescent="0.3">
      <c r="A189" s="47" t="s">
        <v>717</v>
      </c>
      <c r="B189" s="48" t="s">
        <v>718</v>
      </c>
      <c r="C189" s="16" t="s">
        <v>1232</v>
      </c>
      <c r="D189" s="49" t="s">
        <v>1233</v>
      </c>
      <c r="E189" s="50">
        <v>72.900000000000006</v>
      </c>
      <c r="F189" s="50">
        <v>0</v>
      </c>
      <c r="G189" s="61">
        <v>6</v>
      </c>
      <c r="H189" s="16">
        <v>0.65</v>
      </c>
      <c r="I189" s="48" t="s">
        <v>1189</v>
      </c>
      <c r="J189" s="16" t="s">
        <v>1234</v>
      </c>
      <c r="K189" s="49">
        <v>50</v>
      </c>
      <c r="L189" s="49">
        <v>450</v>
      </c>
      <c r="M189" s="62" t="s">
        <v>1081</v>
      </c>
      <c r="N189" s="51"/>
      <c r="O189" s="49" t="str">
        <f t="shared" si="28"/>
        <v>YES</v>
      </c>
      <c r="P189" s="52"/>
      <c r="Q189" s="53">
        <f t="shared" si="20"/>
        <v>5000</v>
      </c>
      <c r="R189" s="54">
        <f t="shared" si="21"/>
        <v>3645</v>
      </c>
      <c r="S189" s="55" t="str">
        <f t="shared" si="22"/>
        <v xml:space="preserve"> </v>
      </c>
      <c r="T189" s="56"/>
      <c r="U189" s="57" t="str">
        <f t="shared" si="23"/>
        <v>100µg/100cm²</v>
      </c>
      <c r="V189" s="58">
        <f t="shared" si="24"/>
        <v>3645</v>
      </c>
      <c r="W189" s="58" t="str">
        <f t="shared" si="25"/>
        <v xml:space="preserve"> </v>
      </c>
      <c r="X189" s="59" t="str">
        <f t="shared" si="26"/>
        <v/>
      </c>
      <c r="Y189" s="60"/>
      <c r="Z189" s="16" t="s">
        <v>1987</v>
      </c>
      <c r="AA189" s="16" t="s">
        <v>1987</v>
      </c>
      <c r="AB189" s="16" t="s">
        <v>1987</v>
      </c>
      <c r="AC189" s="16" t="s">
        <v>1987</v>
      </c>
      <c r="AD189" s="16" t="s">
        <v>1987</v>
      </c>
      <c r="AE189" s="16" t="s">
        <v>1987</v>
      </c>
      <c r="AF189" s="16" t="s">
        <v>1987</v>
      </c>
      <c r="AG189" s="16" t="s">
        <v>1987</v>
      </c>
      <c r="AH189" s="16" t="s">
        <v>1987</v>
      </c>
      <c r="AI189" s="16" t="s">
        <v>1987</v>
      </c>
      <c r="AJ189" s="16" t="s">
        <v>1987</v>
      </c>
      <c r="AK189" s="16" t="s">
        <v>1987</v>
      </c>
      <c r="AL189" s="16" t="s">
        <v>1987</v>
      </c>
      <c r="AM189" s="16" t="s">
        <v>1987</v>
      </c>
      <c r="AN189" s="16" t="s">
        <v>1987</v>
      </c>
      <c r="AO189" s="16" t="s">
        <v>1987</v>
      </c>
      <c r="AP189" s="16" t="s">
        <v>1987</v>
      </c>
      <c r="AQ189" s="16" t="s">
        <v>1987</v>
      </c>
      <c r="AR189" s="16" t="s">
        <v>1987</v>
      </c>
      <c r="AS189" s="16" t="s">
        <v>1987</v>
      </c>
      <c r="AT189" s="16" t="s">
        <v>1987</v>
      </c>
      <c r="AU189" s="16" t="s">
        <v>1987</v>
      </c>
      <c r="AV189" s="16" t="s">
        <v>1987</v>
      </c>
      <c r="AW189" s="16" t="s">
        <v>1987</v>
      </c>
      <c r="AX189" s="16" t="s">
        <v>1987</v>
      </c>
      <c r="AY189" s="16" t="s">
        <v>1987</v>
      </c>
      <c r="AZ189" s="16" t="s">
        <v>1987</v>
      </c>
      <c r="BA189" s="16" t="s">
        <v>1987</v>
      </c>
      <c r="BB189" s="16" t="s">
        <v>1987</v>
      </c>
      <c r="BC189" s="16" t="s">
        <v>1987</v>
      </c>
      <c r="BD189" s="16" t="s">
        <v>1987</v>
      </c>
      <c r="BE189" s="16" t="s">
        <v>1987</v>
      </c>
      <c r="BF189" s="16" t="s">
        <v>1987</v>
      </c>
      <c r="BG189" s="16" t="s">
        <v>1987</v>
      </c>
      <c r="BH189" s="16" t="s">
        <v>1987</v>
      </c>
      <c r="BI189" s="16" t="s">
        <v>1987</v>
      </c>
      <c r="BJ189" s="16" t="s">
        <v>1987</v>
      </c>
      <c r="BK189" s="16" t="s">
        <v>1987</v>
      </c>
      <c r="BL189" s="16" t="s">
        <v>1987</v>
      </c>
      <c r="BM189" s="16" t="s">
        <v>1987</v>
      </c>
      <c r="BN189" s="16" t="s">
        <v>1987</v>
      </c>
      <c r="BO189" s="16" t="s">
        <v>1987</v>
      </c>
      <c r="BP189" s="16" t="s">
        <v>1987</v>
      </c>
      <c r="BQ189" s="16" t="s">
        <v>1987</v>
      </c>
      <c r="BR189" s="16" t="s">
        <v>1987</v>
      </c>
      <c r="BS189" s="16" t="s">
        <v>1987</v>
      </c>
      <c r="BT189" s="16" t="s">
        <v>1987</v>
      </c>
    </row>
    <row r="190" spans="1:72" ht="18" hidden="1" customHeight="1" x14ac:dyDescent="0.3">
      <c r="A190" s="80" t="s">
        <v>1865</v>
      </c>
      <c r="B190" s="112" t="s">
        <v>1902</v>
      </c>
      <c r="C190" s="16" t="s">
        <v>1901</v>
      </c>
      <c r="D190" s="16" t="s">
        <v>1163</v>
      </c>
      <c r="E190" s="50">
        <v>45.65</v>
      </c>
      <c r="F190" s="50">
        <v>0</v>
      </c>
      <c r="G190" s="16">
        <v>1</v>
      </c>
      <c r="H190" s="16" t="s">
        <v>1903</v>
      </c>
      <c r="I190" s="16" t="s">
        <v>1016</v>
      </c>
      <c r="J190" s="16" t="s">
        <v>2017</v>
      </c>
      <c r="K190" s="16">
        <v>23</v>
      </c>
      <c r="L190" s="16">
        <v>210</v>
      </c>
      <c r="M190" s="64"/>
      <c r="N190" s="64"/>
      <c r="O190" s="49" t="str">
        <f t="shared" si="28"/>
        <v>YES</v>
      </c>
      <c r="P190" s="52"/>
      <c r="Q190" s="53">
        <f t="shared" si="20"/>
        <v>4197.5</v>
      </c>
      <c r="R190" s="54">
        <f t="shared" si="21"/>
        <v>1916.1</v>
      </c>
      <c r="S190" s="55" t="str">
        <f t="shared" si="22"/>
        <v xml:space="preserve"> </v>
      </c>
      <c r="T190" s="56"/>
      <c r="U190" s="57" t="str">
        <f t="shared" si="23"/>
        <v>100µg/100cm²</v>
      </c>
      <c r="V190" s="58">
        <f t="shared" si="24"/>
        <v>1916.1</v>
      </c>
      <c r="W190" s="58" t="str">
        <f t="shared" si="25"/>
        <v xml:space="preserve"> </v>
      </c>
      <c r="X190" s="59" t="str">
        <f t="shared" si="26"/>
        <v/>
      </c>
      <c r="Y190" s="60"/>
      <c r="Z190" s="16" t="s">
        <v>1987</v>
      </c>
      <c r="AA190" s="16" t="s">
        <v>1987</v>
      </c>
      <c r="AB190" s="16" t="s">
        <v>1987</v>
      </c>
      <c r="AC190" s="16" t="s">
        <v>1987</v>
      </c>
      <c r="AD190" s="16" t="s">
        <v>1987</v>
      </c>
      <c r="AE190" s="16" t="s">
        <v>1987</v>
      </c>
      <c r="AF190" s="16" t="s">
        <v>1987</v>
      </c>
      <c r="AG190" s="16" t="s">
        <v>1987</v>
      </c>
      <c r="AH190" s="16" t="s">
        <v>1987</v>
      </c>
      <c r="AI190" s="16" t="s">
        <v>1987</v>
      </c>
      <c r="AJ190" s="16" t="s">
        <v>1987</v>
      </c>
      <c r="AK190" s="16" t="s">
        <v>1987</v>
      </c>
      <c r="AL190" s="16" t="s">
        <v>1987</v>
      </c>
      <c r="AM190" s="16" t="s">
        <v>1987</v>
      </c>
      <c r="AN190" s="16" t="s">
        <v>1987</v>
      </c>
      <c r="AO190" s="16" t="s">
        <v>1987</v>
      </c>
      <c r="AP190" s="16" t="s">
        <v>1987</v>
      </c>
      <c r="AQ190" s="16" t="s">
        <v>1987</v>
      </c>
      <c r="AR190" s="16" t="s">
        <v>1987</v>
      </c>
      <c r="AS190" s="16" t="s">
        <v>1987</v>
      </c>
      <c r="AT190" s="16" t="s">
        <v>1987</v>
      </c>
      <c r="AU190" s="16" t="s">
        <v>1987</v>
      </c>
      <c r="AV190" s="16" t="s">
        <v>1987</v>
      </c>
      <c r="AW190" s="16" t="s">
        <v>1987</v>
      </c>
      <c r="AX190" s="16" t="s">
        <v>1987</v>
      </c>
      <c r="AY190" s="16" t="s">
        <v>1987</v>
      </c>
      <c r="AZ190" s="16" t="s">
        <v>1987</v>
      </c>
      <c r="BA190" s="16" t="s">
        <v>1987</v>
      </c>
      <c r="BB190" s="16" t="s">
        <v>1987</v>
      </c>
      <c r="BC190" s="16" t="s">
        <v>1987</v>
      </c>
      <c r="BD190" s="16" t="s">
        <v>1987</v>
      </c>
      <c r="BE190" s="16" t="s">
        <v>1987</v>
      </c>
      <c r="BF190" s="16" t="s">
        <v>1987</v>
      </c>
      <c r="BG190" s="16" t="s">
        <v>1987</v>
      </c>
      <c r="BH190" s="16" t="s">
        <v>1987</v>
      </c>
      <c r="BI190" s="16" t="s">
        <v>1987</v>
      </c>
      <c r="BJ190" s="16" t="s">
        <v>1987</v>
      </c>
      <c r="BK190" s="16" t="s">
        <v>1987</v>
      </c>
      <c r="BL190" s="16" t="s">
        <v>1987</v>
      </c>
      <c r="BM190" s="16" t="s">
        <v>1987</v>
      </c>
      <c r="BN190" s="16" t="s">
        <v>1987</v>
      </c>
      <c r="BO190" s="16" t="s">
        <v>1987</v>
      </c>
      <c r="BP190" s="16" t="s">
        <v>1987</v>
      </c>
      <c r="BQ190" s="16" t="s">
        <v>1987</v>
      </c>
      <c r="BR190" s="16" t="s">
        <v>1987</v>
      </c>
      <c r="BS190" s="16" t="s">
        <v>1987</v>
      </c>
      <c r="BT190" s="16" t="s">
        <v>1987</v>
      </c>
    </row>
    <row r="191" spans="1:72" ht="18" hidden="1" customHeight="1" x14ac:dyDescent="0.3">
      <c r="A191" s="89" t="s">
        <v>1762</v>
      </c>
      <c r="B191" s="16" t="s">
        <v>1763</v>
      </c>
      <c r="C191" s="16" t="s">
        <v>2094</v>
      </c>
      <c r="D191" s="16" t="s">
        <v>1055</v>
      </c>
      <c r="E191" s="50">
        <v>71.22</v>
      </c>
      <c r="F191" s="50">
        <v>0</v>
      </c>
      <c r="G191" s="16">
        <v>3</v>
      </c>
      <c r="H191" s="16" t="s">
        <v>1263</v>
      </c>
      <c r="I191" s="48" t="s">
        <v>1474</v>
      </c>
      <c r="J191" s="16" t="s">
        <v>2387</v>
      </c>
      <c r="K191" s="16">
        <v>0.15</v>
      </c>
      <c r="L191" s="16">
        <v>0.15</v>
      </c>
      <c r="M191" s="64"/>
      <c r="N191" s="16" t="s">
        <v>2392</v>
      </c>
      <c r="O191" s="49" t="str">
        <f t="shared" si="28"/>
        <v>NO</v>
      </c>
      <c r="P191" s="73"/>
      <c r="Q191" s="53">
        <f t="shared" si="20"/>
        <v>0.15</v>
      </c>
      <c r="R191" s="54">
        <f t="shared" si="21"/>
        <v>0.1</v>
      </c>
      <c r="S191" s="55" t="str">
        <f t="shared" si="22"/>
        <v xml:space="preserve"> </v>
      </c>
      <c r="T191" s="56"/>
      <c r="U191" s="57" t="str">
        <f t="shared" si="23"/>
        <v>Mitigation</v>
      </c>
      <c r="V191" s="58">
        <f t="shared" si="24"/>
        <v>0.1</v>
      </c>
      <c r="W191" s="57" t="str">
        <f t="shared" si="25"/>
        <v xml:space="preserve"> </v>
      </c>
      <c r="X191" s="59" t="str">
        <f t="shared" si="26"/>
        <v/>
      </c>
      <c r="Y191" s="60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16" t="s">
        <v>675</v>
      </c>
      <c r="AK191" s="64"/>
      <c r="AL191" s="64"/>
      <c r="AM191" s="16" t="s">
        <v>675</v>
      </c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5"/>
    </row>
    <row r="192" spans="1:72" ht="18" hidden="1" customHeight="1" x14ac:dyDescent="0.3">
      <c r="A192" s="66" t="s">
        <v>1707</v>
      </c>
      <c r="B192" s="69" t="s">
        <v>1708</v>
      </c>
      <c r="C192" s="67" t="s">
        <v>2095</v>
      </c>
      <c r="D192" s="16" t="s">
        <v>1247</v>
      </c>
      <c r="E192" s="50">
        <v>26.1</v>
      </c>
      <c r="F192" s="50">
        <v>0</v>
      </c>
      <c r="G192" s="61">
        <v>7</v>
      </c>
      <c r="H192" s="16" t="s">
        <v>1425</v>
      </c>
      <c r="I192" s="70" t="s">
        <v>1474</v>
      </c>
      <c r="J192" s="16" t="s">
        <v>1709</v>
      </c>
      <c r="K192" s="49">
        <v>142</v>
      </c>
      <c r="L192" s="49">
        <v>1280</v>
      </c>
      <c r="M192" s="49" t="s">
        <v>1710</v>
      </c>
      <c r="N192" s="51"/>
      <c r="O192" s="63" t="str">
        <f t="shared" si="28"/>
        <v>YES</v>
      </c>
      <c r="P192" s="52"/>
      <c r="Q192" s="53">
        <f t="shared" si="20"/>
        <v>5000</v>
      </c>
      <c r="R192" s="54">
        <f t="shared" si="21"/>
        <v>1305</v>
      </c>
      <c r="S192" s="55" t="str">
        <f t="shared" si="22"/>
        <v xml:space="preserve"> </v>
      </c>
      <c r="T192" s="56"/>
      <c r="U192" s="57" t="str">
        <f t="shared" si="23"/>
        <v>100µg/100cm²</v>
      </c>
      <c r="V192" s="58">
        <f t="shared" si="24"/>
        <v>1305</v>
      </c>
      <c r="W192" s="58" t="str">
        <f t="shared" si="25"/>
        <v xml:space="preserve"> </v>
      </c>
      <c r="X192" s="59" t="str">
        <f t="shared" si="26"/>
        <v/>
      </c>
      <c r="Y192" s="60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16" t="s">
        <v>675</v>
      </c>
      <c r="AL192" s="16" t="s">
        <v>675</v>
      </c>
      <c r="AM192" s="16" t="s">
        <v>675</v>
      </c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5"/>
    </row>
    <row r="193" spans="1:92" ht="18" hidden="1" customHeight="1" x14ac:dyDescent="0.3">
      <c r="A193" s="47" t="s">
        <v>609</v>
      </c>
      <c r="B193" s="48" t="s">
        <v>610</v>
      </c>
      <c r="C193" s="49" t="s">
        <v>1406</v>
      </c>
      <c r="D193" s="49" t="s">
        <v>1291</v>
      </c>
      <c r="E193" s="50">
        <v>30.77</v>
      </c>
      <c r="F193" s="50">
        <v>0</v>
      </c>
      <c r="G193" s="61">
        <v>1</v>
      </c>
      <c r="H193" s="16" t="s">
        <v>1217</v>
      </c>
      <c r="I193" s="48" t="s">
        <v>1016</v>
      </c>
      <c r="J193" s="16" t="s">
        <v>2386</v>
      </c>
      <c r="K193" s="49">
        <v>50</v>
      </c>
      <c r="L193" s="49">
        <v>50</v>
      </c>
      <c r="M193" s="64"/>
      <c r="N193" s="64"/>
      <c r="O193" s="63" t="str">
        <f t="shared" si="28"/>
        <v>YES</v>
      </c>
      <c r="P193" s="52"/>
      <c r="Q193" s="53">
        <f t="shared" si="20"/>
        <v>5000</v>
      </c>
      <c r="R193" s="54">
        <f t="shared" si="21"/>
        <v>1538.5</v>
      </c>
      <c r="S193" s="55" t="str">
        <f t="shared" si="22"/>
        <v xml:space="preserve"> </v>
      </c>
      <c r="T193" s="56"/>
      <c r="U193" s="57" t="str">
        <f t="shared" si="23"/>
        <v>100µg/100cm²</v>
      </c>
      <c r="V193" s="58">
        <f t="shared" si="24"/>
        <v>1538.5</v>
      </c>
      <c r="W193" s="58" t="str">
        <f t="shared" si="25"/>
        <v xml:space="preserve"> </v>
      </c>
      <c r="X193" s="59" t="str">
        <f t="shared" si="26"/>
        <v/>
      </c>
      <c r="Y193" s="60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16" t="s">
        <v>675</v>
      </c>
      <c r="AV193" s="64"/>
      <c r="AW193" s="16" t="s">
        <v>675</v>
      </c>
      <c r="AX193" s="64"/>
      <c r="AY193" s="64"/>
      <c r="AZ193" s="64"/>
      <c r="BA193" s="64"/>
      <c r="BB193" s="64"/>
      <c r="BC193" s="64"/>
      <c r="BD193" s="16" t="s">
        <v>675</v>
      </c>
      <c r="BE193" s="16" t="s">
        <v>675</v>
      </c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16" t="s">
        <v>675</v>
      </c>
      <c r="BT193" s="65"/>
    </row>
    <row r="194" spans="1:92" ht="18" hidden="1" customHeight="1" x14ac:dyDescent="0.3">
      <c r="A194" s="47" t="s">
        <v>326</v>
      </c>
      <c r="B194" s="48" t="s">
        <v>327</v>
      </c>
      <c r="C194" s="49" t="s">
        <v>1392</v>
      </c>
      <c r="D194" s="49" t="s">
        <v>1243</v>
      </c>
      <c r="E194" s="50">
        <v>50.53</v>
      </c>
      <c r="F194" s="50">
        <v>0</v>
      </c>
      <c r="G194" s="61">
        <v>4</v>
      </c>
      <c r="H194" s="16">
        <v>18.5</v>
      </c>
      <c r="I194" s="48" t="s">
        <v>1016</v>
      </c>
      <c r="J194" s="16" t="s">
        <v>2386</v>
      </c>
      <c r="K194" s="49">
        <v>50</v>
      </c>
      <c r="L194" s="49">
        <v>50</v>
      </c>
      <c r="M194" s="64"/>
      <c r="N194" s="64"/>
      <c r="O194" s="63" t="str">
        <f t="shared" si="28"/>
        <v>YES</v>
      </c>
      <c r="P194" s="52"/>
      <c r="Q194" s="53">
        <f t="shared" si="20"/>
        <v>5000</v>
      </c>
      <c r="R194" s="54">
        <f t="shared" si="21"/>
        <v>2526.5</v>
      </c>
      <c r="S194" s="55" t="str">
        <f t="shared" si="22"/>
        <v xml:space="preserve"> </v>
      </c>
      <c r="T194" s="56"/>
      <c r="U194" s="57" t="str">
        <f t="shared" si="23"/>
        <v>100µg/100cm²</v>
      </c>
      <c r="V194" s="58">
        <f t="shared" si="24"/>
        <v>2526.5</v>
      </c>
      <c r="W194" s="58" t="str">
        <f t="shared" si="25"/>
        <v xml:space="preserve"> </v>
      </c>
      <c r="X194" s="59" t="str">
        <f t="shared" si="26"/>
        <v/>
      </c>
      <c r="Y194" s="60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16" t="s">
        <v>675</v>
      </c>
      <c r="AK194" s="64"/>
      <c r="AL194" s="64"/>
      <c r="AM194" s="16" t="s">
        <v>675</v>
      </c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5"/>
    </row>
    <row r="195" spans="1:92" ht="18" hidden="1" customHeight="1" x14ac:dyDescent="0.3">
      <c r="A195" s="84" t="s">
        <v>171</v>
      </c>
      <c r="B195" s="70" t="s">
        <v>172</v>
      </c>
      <c r="C195" s="16" t="s">
        <v>2096</v>
      </c>
      <c r="D195" s="49" t="s">
        <v>1104</v>
      </c>
      <c r="E195" s="50">
        <v>67.260000000000005</v>
      </c>
      <c r="F195" s="50">
        <v>0</v>
      </c>
      <c r="G195" s="61">
        <v>7</v>
      </c>
      <c r="H195" s="16" t="s">
        <v>1105</v>
      </c>
      <c r="I195" s="97" t="s">
        <v>1016</v>
      </c>
      <c r="J195" s="16" t="s">
        <v>1106</v>
      </c>
      <c r="K195" s="62">
        <v>4200</v>
      </c>
      <c r="L195" s="62">
        <v>4200</v>
      </c>
      <c r="M195" s="62" t="s">
        <v>1107</v>
      </c>
      <c r="N195" s="49" t="s">
        <v>1827</v>
      </c>
      <c r="O195" s="63" t="str">
        <f t="shared" si="28"/>
        <v>NO</v>
      </c>
      <c r="P195" s="52"/>
      <c r="Q195" s="53">
        <f t="shared" si="20"/>
        <v>4200</v>
      </c>
      <c r="R195" s="54">
        <f t="shared" si="21"/>
        <v>2824.9</v>
      </c>
      <c r="S195" s="55" t="str">
        <f t="shared" si="22"/>
        <v xml:space="preserve"> </v>
      </c>
      <c r="T195" s="56"/>
      <c r="U195" s="57" t="str">
        <f t="shared" si="23"/>
        <v>100µg/100cm²</v>
      </c>
      <c r="V195" s="58">
        <f t="shared" si="24"/>
        <v>2824.9</v>
      </c>
      <c r="W195" s="58" t="str">
        <f t="shared" si="25"/>
        <v xml:space="preserve"> </v>
      </c>
      <c r="X195" s="59" t="str">
        <f t="shared" si="26"/>
        <v/>
      </c>
      <c r="Y195" s="60"/>
      <c r="Z195" s="64"/>
      <c r="AA195" s="64"/>
      <c r="AB195" s="64"/>
      <c r="AC195" s="64"/>
      <c r="AD195" s="64"/>
      <c r="AE195" s="16" t="s">
        <v>675</v>
      </c>
      <c r="AF195" s="16" t="s">
        <v>675</v>
      </c>
      <c r="AG195" s="64"/>
      <c r="AH195" s="64"/>
      <c r="AI195" s="64"/>
      <c r="AJ195" s="64"/>
      <c r="AK195" s="64"/>
      <c r="AL195" s="64"/>
      <c r="AM195" s="16" t="s">
        <v>675</v>
      </c>
      <c r="AN195" s="64"/>
      <c r="AO195" s="64"/>
      <c r="AP195" s="64"/>
      <c r="AQ195" s="64"/>
      <c r="AR195" s="64"/>
      <c r="AS195" s="64"/>
      <c r="AT195" s="64"/>
      <c r="AU195" s="64"/>
      <c r="AV195" s="16" t="s">
        <v>675</v>
      </c>
      <c r="AW195" s="16" t="s">
        <v>675</v>
      </c>
      <c r="AX195" s="16" t="s">
        <v>675</v>
      </c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5"/>
    </row>
    <row r="196" spans="1:92" ht="15.75" hidden="1" x14ac:dyDescent="0.3">
      <c r="A196" s="47" t="s">
        <v>817</v>
      </c>
      <c r="B196" s="49" t="s">
        <v>818</v>
      </c>
      <c r="C196" s="110" t="s">
        <v>1607</v>
      </c>
      <c r="D196" s="16" t="s">
        <v>1608</v>
      </c>
      <c r="E196" s="50">
        <v>85.1</v>
      </c>
      <c r="F196" s="50">
        <v>0</v>
      </c>
      <c r="G196" s="16">
        <v>6</v>
      </c>
      <c r="H196" s="16">
        <v>0.3</v>
      </c>
      <c r="I196" s="16" t="s">
        <v>1016</v>
      </c>
      <c r="J196" s="17" t="s">
        <v>2347</v>
      </c>
      <c r="K196" s="16">
        <v>12.5</v>
      </c>
      <c r="L196" s="16">
        <v>112.5</v>
      </c>
      <c r="M196" s="16" t="s">
        <v>1027</v>
      </c>
      <c r="N196" s="64"/>
      <c r="O196" s="63" t="str">
        <f t="shared" si="28"/>
        <v>YES</v>
      </c>
      <c r="P196" s="52"/>
      <c r="Q196" s="53">
        <f t="shared" si="20"/>
        <v>2281.1999999999998</v>
      </c>
      <c r="R196" s="54">
        <f t="shared" si="21"/>
        <v>1941.3</v>
      </c>
      <c r="S196" s="55" t="str">
        <f t="shared" si="22"/>
        <v xml:space="preserve"> </v>
      </c>
      <c r="T196" s="56"/>
      <c r="U196" s="57" t="str">
        <f t="shared" si="23"/>
        <v>100µg/100cm²</v>
      </c>
      <c r="V196" s="58">
        <f t="shared" si="24"/>
        <v>1941.3</v>
      </c>
      <c r="W196" s="57" t="str">
        <f t="shared" si="25"/>
        <v xml:space="preserve"> </v>
      </c>
      <c r="X196" s="59" t="str">
        <f t="shared" si="26"/>
        <v/>
      </c>
      <c r="Y196" s="60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16" t="s">
        <v>675</v>
      </c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5"/>
    </row>
    <row r="197" spans="1:92" ht="18" hidden="1" customHeight="1" x14ac:dyDescent="0.3">
      <c r="A197" s="66" t="s">
        <v>1575</v>
      </c>
      <c r="B197" s="16" t="s">
        <v>1560</v>
      </c>
      <c r="C197" s="16" t="s">
        <v>2097</v>
      </c>
      <c r="D197" s="16" t="s">
        <v>1104</v>
      </c>
      <c r="E197" s="50">
        <v>62.7</v>
      </c>
      <c r="F197" s="50">
        <v>0</v>
      </c>
      <c r="G197" s="16">
        <v>7</v>
      </c>
      <c r="H197" s="16" t="s">
        <v>1811</v>
      </c>
      <c r="I197" s="16" t="s">
        <v>1016</v>
      </c>
      <c r="J197" s="16" t="s">
        <v>2382</v>
      </c>
      <c r="K197" s="16">
        <v>50</v>
      </c>
      <c r="L197" s="16">
        <v>50</v>
      </c>
      <c r="M197" s="64"/>
      <c r="N197" s="64"/>
      <c r="O197" s="63" t="str">
        <f t="shared" si="28"/>
        <v>YES</v>
      </c>
      <c r="P197" s="52"/>
      <c r="Q197" s="53">
        <f t="shared" si="20"/>
        <v>5000</v>
      </c>
      <c r="R197" s="54">
        <f t="shared" si="21"/>
        <v>3135</v>
      </c>
      <c r="S197" s="55" t="str">
        <f t="shared" si="22"/>
        <v xml:space="preserve"> </v>
      </c>
      <c r="T197" s="56"/>
      <c r="U197" s="57" t="str">
        <f t="shared" si="23"/>
        <v>100µg/100cm²</v>
      </c>
      <c r="V197" s="58">
        <f t="shared" si="24"/>
        <v>3135</v>
      </c>
      <c r="W197" s="58" t="str">
        <f t="shared" si="25"/>
        <v xml:space="preserve"> </v>
      </c>
      <c r="X197" s="59" t="str">
        <f t="shared" si="26"/>
        <v/>
      </c>
      <c r="Y197" s="60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16" t="s">
        <v>675</v>
      </c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5"/>
    </row>
    <row r="198" spans="1:92" ht="18" hidden="1" customHeight="1" x14ac:dyDescent="0.3">
      <c r="A198" s="81" t="s">
        <v>464</v>
      </c>
      <c r="B198" s="99" t="s">
        <v>459</v>
      </c>
      <c r="C198" s="16" t="s">
        <v>1499</v>
      </c>
      <c r="D198" s="16" t="s">
        <v>1488</v>
      </c>
      <c r="E198" s="50">
        <v>50</v>
      </c>
      <c r="F198" s="50">
        <v>0</v>
      </c>
      <c r="G198" s="16">
        <v>1</v>
      </c>
      <c r="H198" s="16" t="s">
        <v>1023</v>
      </c>
      <c r="I198" s="16" t="s">
        <v>1016</v>
      </c>
      <c r="J198" s="16" t="s">
        <v>2382</v>
      </c>
      <c r="K198" s="16">
        <v>50</v>
      </c>
      <c r="L198" s="16">
        <v>50</v>
      </c>
      <c r="M198" s="64"/>
      <c r="N198" s="64"/>
      <c r="O198" s="63" t="str">
        <f t="shared" si="28"/>
        <v>YES</v>
      </c>
      <c r="P198" s="52"/>
      <c r="Q198" s="53">
        <f t="shared" si="20"/>
        <v>5000</v>
      </c>
      <c r="R198" s="54">
        <f t="shared" si="21"/>
        <v>2500</v>
      </c>
      <c r="S198" s="55" t="str">
        <f t="shared" si="22"/>
        <v xml:space="preserve"> </v>
      </c>
      <c r="T198" s="56"/>
      <c r="U198" s="57" t="str">
        <f t="shared" si="23"/>
        <v>100µg/100cm²</v>
      </c>
      <c r="V198" s="58">
        <f t="shared" si="24"/>
        <v>2500</v>
      </c>
      <c r="W198" s="58" t="str">
        <f t="shared" si="25"/>
        <v xml:space="preserve"> </v>
      </c>
      <c r="X198" s="59" t="str">
        <f t="shared" si="26"/>
        <v/>
      </c>
      <c r="Y198" s="60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16" t="s">
        <v>675</v>
      </c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5"/>
    </row>
    <row r="199" spans="1:92" ht="18" hidden="1" customHeight="1" x14ac:dyDescent="0.3">
      <c r="A199" s="81" t="s">
        <v>465</v>
      </c>
      <c r="B199" s="99" t="s">
        <v>459</v>
      </c>
      <c r="C199" s="16" t="s">
        <v>1502</v>
      </c>
      <c r="D199" s="16" t="s">
        <v>1484</v>
      </c>
      <c r="E199" s="50">
        <v>50</v>
      </c>
      <c r="F199" s="50">
        <v>0</v>
      </c>
      <c r="G199" s="16">
        <v>1</v>
      </c>
      <c r="H199" s="16" t="s">
        <v>1023</v>
      </c>
      <c r="I199" s="16" t="s">
        <v>1016</v>
      </c>
      <c r="J199" s="16" t="s">
        <v>2382</v>
      </c>
      <c r="K199" s="16">
        <v>50</v>
      </c>
      <c r="L199" s="16">
        <v>50</v>
      </c>
      <c r="M199" s="64"/>
      <c r="N199" s="64"/>
      <c r="O199" s="63" t="str">
        <f t="shared" si="28"/>
        <v>YES</v>
      </c>
      <c r="P199" s="52"/>
      <c r="Q199" s="53">
        <f t="shared" si="20"/>
        <v>5000</v>
      </c>
      <c r="R199" s="54">
        <f t="shared" si="21"/>
        <v>2500</v>
      </c>
      <c r="S199" s="55" t="str">
        <f t="shared" si="22"/>
        <v xml:space="preserve"> </v>
      </c>
      <c r="T199" s="56"/>
      <c r="U199" s="57" t="str">
        <f t="shared" si="23"/>
        <v>100µg/100cm²</v>
      </c>
      <c r="V199" s="58">
        <f t="shared" si="24"/>
        <v>2500</v>
      </c>
      <c r="W199" s="58" t="str">
        <f t="shared" si="25"/>
        <v xml:space="preserve"> </v>
      </c>
      <c r="X199" s="59" t="str">
        <f t="shared" si="26"/>
        <v/>
      </c>
      <c r="Y199" s="60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16" t="s">
        <v>675</v>
      </c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5"/>
    </row>
    <row r="200" spans="1:92" ht="18" hidden="1" customHeight="1" x14ac:dyDescent="0.3">
      <c r="A200" s="98" t="s">
        <v>466</v>
      </c>
      <c r="B200" s="99" t="s">
        <v>459</v>
      </c>
      <c r="C200" s="16" t="s">
        <v>1499</v>
      </c>
      <c r="D200" s="16" t="s">
        <v>1488</v>
      </c>
      <c r="E200" s="50">
        <v>50</v>
      </c>
      <c r="F200" s="50">
        <v>0</v>
      </c>
      <c r="G200" s="16">
        <v>1</v>
      </c>
      <c r="H200" s="16" t="s">
        <v>1023</v>
      </c>
      <c r="I200" s="16" t="s">
        <v>1016</v>
      </c>
      <c r="J200" s="16" t="s">
        <v>2382</v>
      </c>
      <c r="K200" s="16">
        <v>50</v>
      </c>
      <c r="L200" s="16">
        <v>50</v>
      </c>
      <c r="M200" s="64"/>
      <c r="N200" s="64"/>
      <c r="O200" s="63" t="str">
        <f t="shared" si="28"/>
        <v>YES</v>
      </c>
      <c r="P200" s="52"/>
      <c r="Q200" s="53">
        <f t="shared" ref="Q200:Q263" si="29">IF(K200="Pending","Pending",IF(AND(K200&lt;5000,O200="YES"),MIN(ROUNDDOWN(K200*25550/140,1),5000),IF(AND(K200&lt;5000,O200="NO"),K200,IF(K200&gt;=5000,5000))))</f>
        <v>5000</v>
      </c>
      <c r="R200" s="54">
        <f t="shared" ref="R200:R263" si="30">IF(Q200="Pending","Pending",IF(E200=0," ",ROUNDDOWN(Q200*E200/100,1)))</f>
        <v>2500</v>
      </c>
      <c r="S200" s="55" t="str">
        <f t="shared" ref="S200:S263" si="31">IF(Q200="Pending","Pending",IF(F200=0, " ",ROUNDDOWN(Q200*F200/100,1)))</f>
        <v xml:space="preserve"> </v>
      </c>
      <c r="T200" s="56"/>
      <c r="U200" s="57" t="str">
        <f t="shared" ref="U200:U263" si="32">IF(Q200="Pending","Pending",IF(R200= " ", " ", IF(R200&lt;20, "Mitigation", "100µg/100cm²")))</f>
        <v>100µg/100cm²</v>
      </c>
      <c r="V200" s="58">
        <f t="shared" ref="V200:V263" si="33">IF(R200=0, " ", R200)</f>
        <v>2500</v>
      </c>
      <c r="W200" s="58" t="str">
        <f t="shared" ref="W200:W263" si="34">IF(Q200="Pending","Pending",IF(S200= " ", " ", IF(S200&lt;20, "Mitigation", "100µg/100cm²")))</f>
        <v xml:space="preserve"> </v>
      </c>
      <c r="X200" s="59" t="str">
        <f t="shared" ref="X200:X263" si="35">IF(K200="","Pending",IF(AND(Q200=5000,G200&lt;4,SUM(E200,F200)=0),"Water criteria (conductivity)",IF(AND(Q200=5000,G200&gt;3,SUM(E200,F200)=0),"Mitigation",IF(AND(Q200&lt;5000,G200&gt;0,SUM(E200,F200)=0),"Mitigation",""))))</f>
        <v/>
      </c>
      <c r="Y200" s="60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16" t="s">
        <v>675</v>
      </c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5"/>
    </row>
    <row r="201" spans="1:92" ht="18" hidden="1" customHeight="1" x14ac:dyDescent="0.3">
      <c r="A201" s="98" t="s">
        <v>467</v>
      </c>
      <c r="B201" s="99" t="s">
        <v>459</v>
      </c>
      <c r="C201" s="16" t="s">
        <v>1502</v>
      </c>
      <c r="D201" s="16" t="s">
        <v>1484</v>
      </c>
      <c r="E201" s="50">
        <v>50</v>
      </c>
      <c r="F201" s="50">
        <v>0</v>
      </c>
      <c r="G201" s="16">
        <v>1</v>
      </c>
      <c r="H201" s="16" t="s">
        <v>1023</v>
      </c>
      <c r="I201" s="16" t="s">
        <v>1016</v>
      </c>
      <c r="J201" s="16" t="s">
        <v>2382</v>
      </c>
      <c r="K201" s="16">
        <v>50</v>
      </c>
      <c r="L201" s="16">
        <v>50</v>
      </c>
      <c r="M201" s="64"/>
      <c r="N201" s="64"/>
      <c r="O201" s="63" t="str">
        <f t="shared" si="28"/>
        <v>YES</v>
      </c>
      <c r="P201" s="52"/>
      <c r="Q201" s="53">
        <f t="shared" si="29"/>
        <v>5000</v>
      </c>
      <c r="R201" s="54">
        <f t="shared" si="30"/>
        <v>2500</v>
      </c>
      <c r="S201" s="55" t="str">
        <f t="shared" si="31"/>
        <v xml:space="preserve"> </v>
      </c>
      <c r="T201" s="56"/>
      <c r="U201" s="57" t="str">
        <f t="shared" si="32"/>
        <v>100µg/100cm²</v>
      </c>
      <c r="V201" s="58">
        <f t="shared" si="33"/>
        <v>2500</v>
      </c>
      <c r="W201" s="58" t="str">
        <f t="shared" si="34"/>
        <v xml:space="preserve"> </v>
      </c>
      <c r="X201" s="59" t="str">
        <f t="shared" si="35"/>
        <v/>
      </c>
      <c r="Y201" s="60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16" t="s">
        <v>675</v>
      </c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5"/>
    </row>
    <row r="202" spans="1:92" s="1" customFormat="1" ht="18" hidden="1" customHeight="1" x14ac:dyDescent="0.3">
      <c r="A202" s="98" t="s">
        <v>468</v>
      </c>
      <c r="B202" s="99" t="s">
        <v>459</v>
      </c>
      <c r="C202" s="16" t="s">
        <v>1499</v>
      </c>
      <c r="D202" s="16" t="s">
        <v>1488</v>
      </c>
      <c r="E202" s="50">
        <v>50</v>
      </c>
      <c r="F202" s="50">
        <v>0</v>
      </c>
      <c r="G202" s="16">
        <v>1</v>
      </c>
      <c r="H202" s="16" t="s">
        <v>1023</v>
      </c>
      <c r="I202" s="16" t="s">
        <v>1016</v>
      </c>
      <c r="J202" s="16" t="s">
        <v>2382</v>
      </c>
      <c r="K202" s="16">
        <v>50</v>
      </c>
      <c r="L202" s="16">
        <v>50</v>
      </c>
      <c r="M202" s="64"/>
      <c r="N202" s="64"/>
      <c r="O202" s="63" t="str">
        <f t="shared" si="28"/>
        <v>YES</v>
      </c>
      <c r="P202" s="52"/>
      <c r="Q202" s="53">
        <f t="shared" si="29"/>
        <v>5000</v>
      </c>
      <c r="R202" s="54">
        <f t="shared" si="30"/>
        <v>2500</v>
      </c>
      <c r="S202" s="55" t="str">
        <f t="shared" si="31"/>
        <v xml:space="preserve"> </v>
      </c>
      <c r="T202" s="56"/>
      <c r="U202" s="57" t="str">
        <f t="shared" si="32"/>
        <v>100µg/100cm²</v>
      </c>
      <c r="V202" s="58">
        <f t="shared" si="33"/>
        <v>2500</v>
      </c>
      <c r="W202" s="58" t="str">
        <f t="shared" si="34"/>
        <v xml:space="preserve"> </v>
      </c>
      <c r="X202" s="59" t="str">
        <f t="shared" si="35"/>
        <v/>
      </c>
      <c r="Y202" s="60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16" t="s">
        <v>675</v>
      </c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5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</row>
    <row r="203" spans="1:92" ht="18" hidden="1" customHeight="1" x14ac:dyDescent="0.3">
      <c r="A203" s="81" t="s">
        <v>884</v>
      </c>
      <c r="B203" s="76" t="s">
        <v>459</v>
      </c>
      <c r="C203" s="16" t="s">
        <v>1975</v>
      </c>
      <c r="D203" s="16" t="s">
        <v>1484</v>
      </c>
      <c r="E203" s="50">
        <v>50</v>
      </c>
      <c r="F203" s="50">
        <v>0</v>
      </c>
      <c r="G203" s="16">
        <v>1</v>
      </c>
      <c r="H203" s="16" t="s">
        <v>1023</v>
      </c>
      <c r="I203" s="16" t="s">
        <v>1016</v>
      </c>
      <c r="J203" s="16" t="s">
        <v>2382</v>
      </c>
      <c r="K203" s="16">
        <v>50</v>
      </c>
      <c r="L203" s="16">
        <v>50</v>
      </c>
      <c r="M203" s="64"/>
      <c r="N203" s="64"/>
      <c r="O203" s="63" t="str">
        <f t="shared" si="28"/>
        <v>YES</v>
      </c>
      <c r="P203" s="52"/>
      <c r="Q203" s="53">
        <f t="shared" si="29"/>
        <v>5000</v>
      </c>
      <c r="R203" s="54">
        <f t="shared" si="30"/>
        <v>2500</v>
      </c>
      <c r="S203" s="55" t="str">
        <f t="shared" si="31"/>
        <v xml:space="preserve"> </v>
      </c>
      <c r="T203" s="56"/>
      <c r="U203" s="57" t="str">
        <f t="shared" si="32"/>
        <v>100µg/100cm²</v>
      </c>
      <c r="V203" s="58">
        <f t="shared" si="33"/>
        <v>2500</v>
      </c>
      <c r="W203" s="58" t="str">
        <f t="shared" si="34"/>
        <v xml:space="preserve"> </v>
      </c>
      <c r="X203" s="59" t="str">
        <f t="shared" si="35"/>
        <v/>
      </c>
      <c r="Y203" s="60"/>
      <c r="Z203" s="64"/>
      <c r="AA203" s="64"/>
      <c r="AB203" s="64"/>
      <c r="AC203" s="64"/>
      <c r="AD203" s="64"/>
      <c r="AE203" s="16" t="s">
        <v>675</v>
      </c>
      <c r="AF203" s="16" t="s">
        <v>675</v>
      </c>
      <c r="AG203" s="16" t="s">
        <v>675</v>
      </c>
      <c r="AH203" s="64"/>
      <c r="AI203" s="64"/>
      <c r="AJ203" s="64"/>
      <c r="AK203" s="64"/>
      <c r="AL203" s="64"/>
      <c r="AM203" s="16" t="s">
        <v>675</v>
      </c>
      <c r="AN203" s="16" t="s">
        <v>675</v>
      </c>
      <c r="AO203" s="16" t="s">
        <v>675</v>
      </c>
      <c r="AP203" s="16" t="s">
        <v>675</v>
      </c>
      <c r="AQ203" s="16" t="s">
        <v>675</v>
      </c>
      <c r="AR203" s="64"/>
      <c r="AS203" s="64"/>
      <c r="AT203" s="64"/>
      <c r="AU203" s="82"/>
      <c r="AV203" s="82"/>
      <c r="AW203" s="82"/>
      <c r="AX203" s="16" t="s">
        <v>675</v>
      </c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5"/>
    </row>
    <row r="204" spans="1:92" ht="18" hidden="1" customHeight="1" x14ac:dyDescent="0.3">
      <c r="A204" s="81" t="s">
        <v>885</v>
      </c>
      <c r="B204" s="99" t="s">
        <v>459</v>
      </c>
      <c r="C204" s="16" t="s">
        <v>1975</v>
      </c>
      <c r="D204" s="16" t="s">
        <v>1484</v>
      </c>
      <c r="E204" s="50">
        <v>50</v>
      </c>
      <c r="F204" s="50">
        <v>0</v>
      </c>
      <c r="G204" s="16">
        <v>1</v>
      </c>
      <c r="H204" s="16" t="s">
        <v>1023</v>
      </c>
      <c r="I204" s="16" t="s">
        <v>1016</v>
      </c>
      <c r="J204" s="16" t="s">
        <v>2382</v>
      </c>
      <c r="K204" s="16">
        <v>50</v>
      </c>
      <c r="L204" s="16">
        <v>50</v>
      </c>
      <c r="M204" s="64"/>
      <c r="N204" s="64"/>
      <c r="O204" s="63" t="str">
        <f t="shared" si="28"/>
        <v>YES</v>
      </c>
      <c r="P204" s="52"/>
      <c r="Q204" s="53">
        <f t="shared" si="29"/>
        <v>5000</v>
      </c>
      <c r="R204" s="54">
        <f t="shared" si="30"/>
        <v>2500</v>
      </c>
      <c r="S204" s="55" t="str">
        <f t="shared" si="31"/>
        <v xml:space="preserve"> </v>
      </c>
      <c r="T204" s="56"/>
      <c r="U204" s="57" t="str">
        <f t="shared" si="32"/>
        <v>100µg/100cm²</v>
      </c>
      <c r="V204" s="58">
        <f t="shared" si="33"/>
        <v>2500</v>
      </c>
      <c r="W204" s="58" t="str">
        <f t="shared" si="34"/>
        <v xml:space="preserve"> </v>
      </c>
      <c r="X204" s="59" t="str">
        <f t="shared" si="35"/>
        <v/>
      </c>
      <c r="Y204" s="60"/>
      <c r="Z204" s="64"/>
      <c r="AA204" s="64"/>
      <c r="AB204" s="64"/>
      <c r="AC204" s="64"/>
      <c r="AD204" s="64"/>
      <c r="AE204" s="16" t="s">
        <v>675</v>
      </c>
      <c r="AF204" s="64"/>
      <c r="AG204" s="64"/>
      <c r="AH204" s="64"/>
      <c r="AI204" s="64"/>
      <c r="AJ204" s="64"/>
      <c r="AK204" s="64"/>
      <c r="AL204" s="64"/>
      <c r="AM204" s="16" t="s">
        <v>675</v>
      </c>
      <c r="AN204" s="64"/>
      <c r="AO204" s="64"/>
      <c r="AP204" s="64"/>
      <c r="AQ204" s="16" t="s">
        <v>675</v>
      </c>
      <c r="AR204" s="64"/>
      <c r="AS204" s="16" t="s">
        <v>675</v>
      </c>
      <c r="AT204" s="64"/>
      <c r="AU204" s="82"/>
      <c r="AV204" s="82"/>
      <c r="AW204" s="82"/>
      <c r="AX204" s="16" t="s">
        <v>675</v>
      </c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16" t="s">
        <v>675</v>
      </c>
      <c r="BL204" s="64"/>
      <c r="BM204" s="64"/>
      <c r="BN204" s="64"/>
      <c r="BO204" s="64"/>
      <c r="BP204" s="64"/>
      <c r="BQ204" s="64"/>
      <c r="BR204" s="64"/>
      <c r="BS204" s="16" t="s">
        <v>675</v>
      </c>
      <c r="BT204" s="65"/>
    </row>
    <row r="205" spans="1:92" ht="18" customHeight="1" x14ac:dyDescent="0.3">
      <c r="A205" s="47" t="s">
        <v>1828</v>
      </c>
      <c r="B205" s="48" t="s">
        <v>131</v>
      </c>
      <c r="C205" s="49" t="s">
        <v>1372</v>
      </c>
      <c r="D205" s="49" t="s">
        <v>1114</v>
      </c>
      <c r="E205" s="50">
        <v>0</v>
      </c>
      <c r="F205" s="50">
        <v>0</v>
      </c>
      <c r="G205" s="61">
        <v>1</v>
      </c>
      <c r="H205" s="16">
        <v>1600</v>
      </c>
      <c r="I205" s="49" t="s">
        <v>1048</v>
      </c>
      <c r="J205" s="16" t="s">
        <v>2386</v>
      </c>
      <c r="K205" s="49">
        <v>50</v>
      </c>
      <c r="L205" s="49">
        <v>50</v>
      </c>
      <c r="M205" s="64"/>
      <c r="N205" s="64"/>
      <c r="O205" s="63" t="str">
        <f t="shared" si="28"/>
        <v>YES</v>
      </c>
      <c r="P205" s="52"/>
      <c r="Q205" s="53">
        <f t="shared" si="29"/>
        <v>5000</v>
      </c>
      <c r="R205" s="54" t="str">
        <f t="shared" si="30"/>
        <v xml:space="preserve"> </v>
      </c>
      <c r="S205" s="55" t="str">
        <f t="shared" si="31"/>
        <v xml:space="preserve"> </v>
      </c>
      <c r="T205" s="56"/>
      <c r="U205" s="57" t="str">
        <f t="shared" si="32"/>
        <v xml:space="preserve"> </v>
      </c>
      <c r="V205" s="58" t="str">
        <f t="shared" si="33"/>
        <v xml:space="preserve"> </v>
      </c>
      <c r="W205" s="58" t="str">
        <f t="shared" si="34"/>
        <v xml:space="preserve"> </v>
      </c>
      <c r="X205" s="59" t="str">
        <f t="shared" si="35"/>
        <v>Water criteria (conductivity)</v>
      </c>
      <c r="Y205" s="60"/>
      <c r="Z205" s="64"/>
      <c r="AA205" s="64"/>
      <c r="AB205" s="64"/>
      <c r="AC205" s="16" t="s">
        <v>675</v>
      </c>
      <c r="AD205" s="16" t="s">
        <v>675</v>
      </c>
      <c r="AE205" s="16" t="s">
        <v>675</v>
      </c>
      <c r="AF205" s="16" t="s">
        <v>675</v>
      </c>
      <c r="AG205" s="64"/>
      <c r="AH205" s="64"/>
      <c r="AI205" s="64"/>
      <c r="AJ205" s="16" t="s">
        <v>675</v>
      </c>
      <c r="AK205" s="16" t="s">
        <v>675</v>
      </c>
      <c r="AL205" s="16" t="s">
        <v>675</v>
      </c>
      <c r="AM205" s="16" t="s">
        <v>675</v>
      </c>
      <c r="AN205" s="64"/>
      <c r="AO205" s="64"/>
      <c r="AP205" s="64"/>
      <c r="AQ205" s="16" t="s">
        <v>675</v>
      </c>
      <c r="AR205" s="64"/>
      <c r="AS205" s="16" t="s">
        <v>675</v>
      </c>
      <c r="AT205" s="64"/>
      <c r="AU205" s="16" t="s">
        <v>675</v>
      </c>
      <c r="AV205" s="16" t="s">
        <v>675</v>
      </c>
      <c r="AW205" s="16" t="s">
        <v>675</v>
      </c>
      <c r="AX205" s="64"/>
      <c r="AY205" s="16" t="s">
        <v>675</v>
      </c>
      <c r="AZ205" s="16" t="s">
        <v>675</v>
      </c>
      <c r="BA205" s="16" t="s">
        <v>675</v>
      </c>
      <c r="BB205" s="16" t="s">
        <v>675</v>
      </c>
      <c r="BC205" s="64"/>
      <c r="BD205" s="64"/>
      <c r="BE205" s="16" t="s">
        <v>675</v>
      </c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16" t="s">
        <v>675</v>
      </c>
      <c r="BT205" s="65"/>
    </row>
    <row r="206" spans="1:92" ht="18" customHeight="1" x14ac:dyDescent="0.3">
      <c r="A206" s="47" t="s">
        <v>620</v>
      </c>
      <c r="B206" s="48" t="s">
        <v>621</v>
      </c>
      <c r="C206" s="49" t="s">
        <v>1373</v>
      </c>
      <c r="D206" s="49" t="s">
        <v>1114</v>
      </c>
      <c r="E206" s="50">
        <v>0</v>
      </c>
      <c r="F206" s="50">
        <v>0</v>
      </c>
      <c r="G206" s="61">
        <v>2</v>
      </c>
      <c r="H206" s="16">
        <v>630</v>
      </c>
      <c r="I206" s="113" t="s">
        <v>1048</v>
      </c>
      <c r="J206" s="16" t="s">
        <v>2386</v>
      </c>
      <c r="K206" s="49">
        <v>50</v>
      </c>
      <c r="L206" s="49">
        <v>50</v>
      </c>
      <c r="M206" s="64"/>
      <c r="N206" s="64"/>
      <c r="O206" s="63" t="str">
        <f t="shared" si="28"/>
        <v>YES</v>
      </c>
      <c r="P206" s="52"/>
      <c r="Q206" s="53">
        <f t="shared" si="29"/>
        <v>5000</v>
      </c>
      <c r="R206" s="54" t="str">
        <f t="shared" si="30"/>
        <v xml:space="preserve"> </v>
      </c>
      <c r="S206" s="55" t="str">
        <f t="shared" si="31"/>
        <v xml:space="preserve"> </v>
      </c>
      <c r="T206" s="56"/>
      <c r="U206" s="57" t="str">
        <f t="shared" si="32"/>
        <v xml:space="preserve"> </v>
      </c>
      <c r="V206" s="58" t="str">
        <f t="shared" si="33"/>
        <v xml:space="preserve"> </v>
      </c>
      <c r="W206" s="58" t="str">
        <f t="shared" si="34"/>
        <v xml:space="preserve"> </v>
      </c>
      <c r="X206" s="59" t="str">
        <f t="shared" si="35"/>
        <v>Water criteria (conductivity)</v>
      </c>
      <c r="Y206" s="60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16" t="s">
        <v>675</v>
      </c>
      <c r="AV206" s="64"/>
      <c r="AW206" s="64"/>
      <c r="AX206" s="64"/>
      <c r="AY206" s="16" t="s">
        <v>675</v>
      </c>
      <c r="AZ206" s="16" t="s">
        <v>675</v>
      </c>
      <c r="BA206" s="16" t="s">
        <v>675</v>
      </c>
      <c r="BB206" s="16" t="s">
        <v>675</v>
      </c>
      <c r="BC206" s="64"/>
      <c r="BD206" s="64"/>
      <c r="BE206" s="64"/>
      <c r="BF206" s="64"/>
      <c r="BG206" s="64"/>
      <c r="BH206" s="64"/>
      <c r="BI206" s="64"/>
      <c r="BJ206" s="64"/>
      <c r="BK206" s="16" t="s">
        <v>675</v>
      </c>
      <c r="BL206" s="64"/>
      <c r="BM206" s="64"/>
      <c r="BN206" s="64"/>
      <c r="BO206" s="64"/>
      <c r="BP206" s="64"/>
      <c r="BQ206" s="64"/>
      <c r="BR206" s="64"/>
      <c r="BS206" s="16" t="s">
        <v>675</v>
      </c>
      <c r="BT206" s="65"/>
    </row>
    <row r="207" spans="1:92" ht="18" hidden="1" customHeight="1" x14ac:dyDescent="0.3">
      <c r="A207" s="47" t="s">
        <v>1829</v>
      </c>
      <c r="B207" s="48" t="s">
        <v>46</v>
      </c>
      <c r="C207" s="16" t="s">
        <v>2098</v>
      </c>
      <c r="D207" s="49" t="s">
        <v>1094</v>
      </c>
      <c r="E207" s="50">
        <v>32.26</v>
      </c>
      <c r="F207" s="50">
        <v>0</v>
      </c>
      <c r="G207" s="61">
        <v>2</v>
      </c>
      <c r="H207" s="16" t="s">
        <v>1352</v>
      </c>
      <c r="I207" s="48" t="s">
        <v>1016</v>
      </c>
      <c r="J207" s="16" t="s">
        <v>2386</v>
      </c>
      <c r="K207" s="49">
        <v>50</v>
      </c>
      <c r="L207" s="49">
        <v>50</v>
      </c>
      <c r="M207" s="64"/>
      <c r="N207" s="64"/>
      <c r="O207" s="63" t="str">
        <f t="shared" si="28"/>
        <v>YES</v>
      </c>
      <c r="P207" s="52"/>
      <c r="Q207" s="53">
        <f t="shared" si="29"/>
        <v>5000</v>
      </c>
      <c r="R207" s="54">
        <f t="shared" si="30"/>
        <v>1613</v>
      </c>
      <c r="S207" s="55" t="str">
        <f t="shared" si="31"/>
        <v xml:space="preserve"> </v>
      </c>
      <c r="T207" s="56"/>
      <c r="U207" s="57" t="str">
        <f t="shared" si="32"/>
        <v>100µg/100cm²</v>
      </c>
      <c r="V207" s="58">
        <f t="shared" si="33"/>
        <v>1613</v>
      </c>
      <c r="W207" s="58" t="str">
        <f t="shared" si="34"/>
        <v xml:space="preserve"> </v>
      </c>
      <c r="X207" s="59" t="str">
        <f t="shared" si="35"/>
        <v/>
      </c>
      <c r="Y207" s="60"/>
      <c r="Z207" s="16" t="s">
        <v>675</v>
      </c>
      <c r="AA207" s="16" t="s">
        <v>675</v>
      </c>
      <c r="AB207" s="16" t="s">
        <v>675</v>
      </c>
      <c r="AC207" s="64"/>
      <c r="AD207" s="64"/>
      <c r="AE207" s="64"/>
      <c r="AF207" s="64"/>
      <c r="AG207" s="64"/>
      <c r="AH207" s="64"/>
      <c r="AI207" s="16" t="s">
        <v>675</v>
      </c>
      <c r="AJ207" s="64"/>
      <c r="AK207" s="16" t="s">
        <v>675</v>
      </c>
      <c r="AL207" s="16" t="s">
        <v>675</v>
      </c>
      <c r="AM207" s="16" t="s">
        <v>675</v>
      </c>
      <c r="AN207" s="64"/>
      <c r="AO207" s="64"/>
      <c r="AP207" s="64"/>
      <c r="AQ207" s="64"/>
      <c r="AR207" s="64"/>
      <c r="AS207" s="16" t="s">
        <v>675</v>
      </c>
      <c r="AT207" s="64"/>
      <c r="AU207" s="16" t="s">
        <v>675</v>
      </c>
      <c r="AV207" s="16" t="s">
        <v>675</v>
      </c>
      <c r="AW207" s="16" t="s">
        <v>675</v>
      </c>
      <c r="AX207" s="64"/>
      <c r="AY207" s="64"/>
      <c r="AZ207" s="64"/>
      <c r="BA207" s="64"/>
      <c r="BB207" s="64"/>
      <c r="BC207" s="64"/>
      <c r="BD207" s="64"/>
      <c r="BE207" s="64"/>
      <c r="BF207" s="64"/>
      <c r="BG207" s="16" t="s">
        <v>675</v>
      </c>
      <c r="BH207" s="64"/>
      <c r="BI207" s="64"/>
      <c r="BJ207" s="64"/>
      <c r="BK207" s="16" t="s">
        <v>675</v>
      </c>
      <c r="BL207" s="64"/>
      <c r="BM207" s="64"/>
      <c r="BN207" s="64"/>
      <c r="BO207" s="64"/>
      <c r="BP207" s="64"/>
      <c r="BQ207" s="64"/>
      <c r="BR207" s="64"/>
      <c r="BS207" s="16" t="s">
        <v>675</v>
      </c>
      <c r="BT207" s="65"/>
    </row>
    <row r="208" spans="1:92" ht="18" customHeight="1" x14ac:dyDescent="0.3">
      <c r="A208" s="47" t="s">
        <v>1830</v>
      </c>
      <c r="B208" s="48" t="s">
        <v>50</v>
      </c>
      <c r="C208" s="49" t="s">
        <v>1374</v>
      </c>
      <c r="D208" s="49" t="s">
        <v>1114</v>
      </c>
      <c r="E208" s="50">
        <v>0</v>
      </c>
      <c r="F208" s="50">
        <v>0</v>
      </c>
      <c r="G208" s="61">
        <v>3</v>
      </c>
      <c r="H208" s="16">
        <v>77</v>
      </c>
      <c r="I208" s="49" t="s">
        <v>1040</v>
      </c>
      <c r="J208" s="16" t="s">
        <v>2386</v>
      </c>
      <c r="K208" s="49">
        <v>50</v>
      </c>
      <c r="L208" s="49">
        <v>50</v>
      </c>
      <c r="M208" s="64"/>
      <c r="N208" s="64"/>
      <c r="O208" s="63" t="str">
        <f t="shared" si="28"/>
        <v>YES</v>
      </c>
      <c r="P208" s="52"/>
      <c r="Q208" s="53">
        <f t="shared" si="29"/>
        <v>5000</v>
      </c>
      <c r="R208" s="54" t="str">
        <f t="shared" si="30"/>
        <v xml:space="preserve"> </v>
      </c>
      <c r="S208" s="55" t="str">
        <f t="shared" si="31"/>
        <v xml:space="preserve"> </v>
      </c>
      <c r="T208" s="56"/>
      <c r="U208" s="57" t="str">
        <f t="shared" si="32"/>
        <v xml:space="preserve"> </v>
      </c>
      <c r="V208" s="58" t="str">
        <f t="shared" si="33"/>
        <v xml:space="preserve"> </v>
      </c>
      <c r="W208" s="58" t="str">
        <f t="shared" si="34"/>
        <v xml:space="preserve"> </v>
      </c>
      <c r="X208" s="59" t="str">
        <f t="shared" si="35"/>
        <v>Water criteria (conductivity)</v>
      </c>
      <c r="Y208" s="60"/>
      <c r="Z208" s="64"/>
      <c r="AA208" s="64"/>
      <c r="AB208" s="16" t="s">
        <v>675</v>
      </c>
      <c r="AC208" s="16" t="s">
        <v>675</v>
      </c>
      <c r="AD208" s="16" t="s">
        <v>675</v>
      </c>
      <c r="AE208" s="16" t="s">
        <v>675</v>
      </c>
      <c r="AF208" s="16" t="s">
        <v>675</v>
      </c>
      <c r="AG208" s="64"/>
      <c r="AH208" s="64"/>
      <c r="AI208" s="16" t="s">
        <v>675</v>
      </c>
      <c r="AJ208" s="64"/>
      <c r="AK208" s="16" t="s">
        <v>675</v>
      </c>
      <c r="AL208" s="16" t="s">
        <v>675</v>
      </c>
      <c r="AM208" s="16" t="s">
        <v>675</v>
      </c>
      <c r="AN208" s="16" t="s">
        <v>675</v>
      </c>
      <c r="AO208" s="64"/>
      <c r="AP208" s="16" t="s">
        <v>675</v>
      </c>
      <c r="AQ208" s="64"/>
      <c r="AR208" s="16" t="s">
        <v>675</v>
      </c>
      <c r="AS208" s="16" t="s">
        <v>675</v>
      </c>
      <c r="AT208" s="16" t="s">
        <v>675</v>
      </c>
      <c r="AU208" s="16" t="s">
        <v>675</v>
      </c>
      <c r="AV208" s="16" t="s">
        <v>675</v>
      </c>
      <c r="AW208" s="16" t="s">
        <v>675</v>
      </c>
      <c r="AX208" s="64"/>
      <c r="AY208" s="64"/>
      <c r="AZ208" s="64"/>
      <c r="BA208" s="16" t="s">
        <v>675</v>
      </c>
      <c r="BB208" s="16" t="s">
        <v>675</v>
      </c>
      <c r="BC208" s="64"/>
      <c r="BD208" s="64"/>
      <c r="BE208" s="64"/>
      <c r="BF208" s="64"/>
      <c r="BG208" s="16" t="s">
        <v>675</v>
      </c>
      <c r="BH208" s="64"/>
      <c r="BI208" s="64"/>
      <c r="BJ208" s="64"/>
      <c r="BK208" s="16" t="s">
        <v>675</v>
      </c>
      <c r="BL208" s="64"/>
      <c r="BM208" s="64"/>
      <c r="BN208" s="64"/>
      <c r="BO208" s="64"/>
      <c r="BP208" s="64"/>
      <c r="BQ208" s="64"/>
      <c r="BR208" s="64"/>
      <c r="BS208" s="16" t="s">
        <v>675</v>
      </c>
      <c r="BT208" s="65"/>
    </row>
    <row r="209" spans="1:72" ht="32.75" customHeight="1" x14ac:dyDescent="0.3">
      <c r="A209" s="47" t="s">
        <v>1831</v>
      </c>
      <c r="B209" s="48" t="s">
        <v>159</v>
      </c>
      <c r="C209" s="16" t="s">
        <v>2099</v>
      </c>
      <c r="D209" s="49" t="s">
        <v>1114</v>
      </c>
      <c r="E209" s="50">
        <v>0</v>
      </c>
      <c r="F209" s="50">
        <v>0</v>
      </c>
      <c r="G209" s="61">
        <v>3</v>
      </c>
      <c r="H209" s="16">
        <v>93</v>
      </c>
      <c r="I209" s="49" t="s">
        <v>1016</v>
      </c>
      <c r="J209" s="16" t="s">
        <v>2386</v>
      </c>
      <c r="K209" s="49">
        <v>50</v>
      </c>
      <c r="L209" s="49">
        <v>50</v>
      </c>
      <c r="M209" s="64"/>
      <c r="N209" s="64"/>
      <c r="O209" s="63" t="str">
        <f t="shared" si="28"/>
        <v>YES</v>
      </c>
      <c r="P209" s="52"/>
      <c r="Q209" s="53">
        <f t="shared" si="29"/>
        <v>5000</v>
      </c>
      <c r="R209" s="54" t="str">
        <f t="shared" si="30"/>
        <v xml:space="preserve"> </v>
      </c>
      <c r="S209" s="55" t="str">
        <f t="shared" si="31"/>
        <v xml:space="preserve"> </v>
      </c>
      <c r="T209" s="56"/>
      <c r="U209" s="57" t="str">
        <f t="shared" si="32"/>
        <v xml:space="preserve"> </v>
      </c>
      <c r="V209" s="58" t="str">
        <f t="shared" si="33"/>
        <v xml:space="preserve"> </v>
      </c>
      <c r="W209" s="58" t="str">
        <f t="shared" si="34"/>
        <v xml:space="preserve"> </v>
      </c>
      <c r="X209" s="59" t="str">
        <f t="shared" si="35"/>
        <v>Water criteria (conductivity)</v>
      </c>
      <c r="Y209" s="60"/>
      <c r="Z209" s="16" t="s">
        <v>675</v>
      </c>
      <c r="AA209" s="16" t="s">
        <v>675</v>
      </c>
      <c r="AB209" s="64"/>
      <c r="AC209" s="64"/>
      <c r="AD209" s="16" t="s">
        <v>675</v>
      </c>
      <c r="AE209" s="16" t="s">
        <v>675</v>
      </c>
      <c r="AF209" s="16" t="s">
        <v>675</v>
      </c>
      <c r="AG209" s="64"/>
      <c r="AH209" s="64"/>
      <c r="AI209" s="64"/>
      <c r="AJ209" s="64"/>
      <c r="AK209" s="16" t="s">
        <v>675</v>
      </c>
      <c r="AL209" s="16" t="s">
        <v>675</v>
      </c>
      <c r="AM209" s="16" t="s">
        <v>675</v>
      </c>
      <c r="AN209" s="64"/>
      <c r="AO209" s="64"/>
      <c r="AP209" s="64"/>
      <c r="AQ209" s="16" t="s">
        <v>675</v>
      </c>
      <c r="AR209" s="64"/>
      <c r="AS209" s="16" t="s">
        <v>675</v>
      </c>
      <c r="AT209" s="64"/>
      <c r="AU209" s="16" t="s">
        <v>675</v>
      </c>
      <c r="AV209" s="64"/>
      <c r="AW209" s="64"/>
      <c r="AX209" s="16" t="s">
        <v>675</v>
      </c>
      <c r="AY209" s="16" t="s">
        <v>675</v>
      </c>
      <c r="AZ209" s="16" t="s">
        <v>675</v>
      </c>
      <c r="BA209" s="16" t="s">
        <v>675</v>
      </c>
      <c r="BB209" s="16" t="s">
        <v>675</v>
      </c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5"/>
    </row>
    <row r="210" spans="1:72" ht="32.1" customHeight="1" x14ac:dyDescent="0.3">
      <c r="A210" s="47" t="s">
        <v>1832</v>
      </c>
      <c r="B210" s="48" t="s">
        <v>252</v>
      </c>
      <c r="C210" s="49" t="s">
        <v>1375</v>
      </c>
      <c r="D210" s="49" t="s">
        <v>1114</v>
      </c>
      <c r="E210" s="50">
        <v>0</v>
      </c>
      <c r="F210" s="50">
        <v>0</v>
      </c>
      <c r="G210" s="61">
        <v>2</v>
      </c>
      <c r="H210" s="16">
        <v>218</v>
      </c>
      <c r="I210" s="49" t="s">
        <v>1016</v>
      </c>
      <c r="J210" s="16" t="s">
        <v>2386</v>
      </c>
      <c r="K210" s="49">
        <v>50</v>
      </c>
      <c r="L210" s="49">
        <v>50</v>
      </c>
      <c r="M210" s="64"/>
      <c r="N210" s="64"/>
      <c r="O210" s="63" t="str">
        <f t="shared" si="28"/>
        <v>YES</v>
      </c>
      <c r="P210" s="52"/>
      <c r="Q210" s="53">
        <f t="shared" si="29"/>
        <v>5000</v>
      </c>
      <c r="R210" s="54" t="str">
        <f t="shared" si="30"/>
        <v xml:space="preserve"> </v>
      </c>
      <c r="S210" s="55" t="str">
        <f t="shared" si="31"/>
        <v xml:space="preserve"> </v>
      </c>
      <c r="T210" s="56"/>
      <c r="U210" s="57" t="str">
        <f t="shared" si="32"/>
        <v xml:space="preserve"> </v>
      </c>
      <c r="V210" s="58" t="str">
        <f t="shared" si="33"/>
        <v xml:space="preserve"> </v>
      </c>
      <c r="W210" s="58" t="str">
        <f t="shared" si="34"/>
        <v xml:space="preserve"> </v>
      </c>
      <c r="X210" s="59" t="str">
        <f t="shared" si="35"/>
        <v>Water criteria (conductivity)</v>
      </c>
      <c r="Y210" s="60"/>
      <c r="Z210" s="64"/>
      <c r="AA210" s="64"/>
      <c r="AB210" s="64"/>
      <c r="AC210" s="64"/>
      <c r="AD210" s="64"/>
      <c r="AE210" s="64"/>
      <c r="AF210" s="16" t="s">
        <v>675</v>
      </c>
      <c r="AG210" s="16" t="s">
        <v>675</v>
      </c>
      <c r="AH210" s="64"/>
      <c r="AI210" s="16" t="s">
        <v>675</v>
      </c>
      <c r="AJ210" s="64"/>
      <c r="AK210" s="64"/>
      <c r="AL210" s="64"/>
      <c r="AM210" s="16" t="s">
        <v>675</v>
      </c>
      <c r="AN210" s="64"/>
      <c r="AO210" s="16" t="s">
        <v>675</v>
      </c>
      <c r="AP210" s="16" t="s">
        <v>675</v>
      </c>
      <c r="AQ210" s="64"/>
      <c r="AR210" s="64"/>
      <c r="AS210" s="16" t="s">
        <v>675</v>
      </c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5"/>
    </row>
    <row r="211" spans="1:72" ht="28.8" customHeight="1" x14ac:dyDescent="0.3">
      <c r="A211" s="77" t="s">
        <v>1833</v>
      </c>
      <c r="B211" s="48" t="s">
        <v>202</v>
      </c>
      <c r="C211" s="79" t="s">
        <v>1376</v>
      </c>
      <c r="D211" s="49" t="s">
        <v>1114</v>
      </c>
      <c r="E211" s="50">
        <v>0</v>
      </c>
      <c r="F211" s="50">
        <v>0</v>
      </c>
      <c r="G211" s="61">
        <v>3</v>
      </c>
      <c r="H211" s="16">
        <v>100</v>
      </c>
      <c r="I211" s="49" t="s">
        <v>1016</v>
      </c>
      <c r="J211" s="16" t="s">
        <v>2386</v>
      </c>
      <c r="K211" s="49">
        <v>50</v>
      </c>
      <c r="L211" s="49">
        <v>50</v>
      </c>
      <c r="M211" s="64"/>
      <c r="N211" s="64"/>
      <c r="O211" s="63" t="str">
        <f t="shared" si="28"/>
        <v>YES</v>
      </c>
      <c r="P211" s="52"/>
      <c r="Q211" s="53">
        <f t="shared" si="29"/>
        <v>5000</v>
      </c>
      <c r="R211" s="54" t="str">
        <f t="shared" si="30"/>
        <v xml:space="preserve"> </v>
      </c>
      <c r="S211" s="55" t="str">
        <f t="shared" si="31"/>
        <v xml:space="preserve"> </v>
      </c>
      <c r="T211" s="56"/>
      <c r="U211" s="57" t="str">
        <f t="shared" si="32"/>
        <v xml:space="preserve"> </v>
      </c>
      <c r="V211" s="58" t="str">
        <f t="shared" si="33"/>
        <v xml:space="preserve"> </v>
      </c>
      <c r="W211" s="58" t="str">
        <f t="shared" si="34"/>
        <v xml:space="preserve"> </v>
      </c>
      <c r="X211" s="59" t="str">
        <f t="shared" si="35"/>
        <v>Water criteria (conductivity)</v>
      </c>
      <c r="Y211" s="60"/>
      <c r="Z211" s="64"/>
      <c r="AA211" s="64"/>
      <c r="AB211" s="64"/>
      <c r="AC211" s="64"/>
      <c r="AD211" s="64"/>
      <c r="AE211" s="16" t="s">
        <v>675</v>
      </c>
      <c r="AF211" s="16" t="s">
        <v>675</v>
      </c>
      <c r="AG211" s="16" t="s">
        <v>675</v>
      </c>
      <c r="AH211" s="64"/>
      <c r="AI211" s="64"/>
      <c r="AJ211" s="64"/>
      <c r="AK211" s="64"/>
      <c r="AL211" s="64"/>
      <c r="AM211" s="16" t="s">
        <v>675</v>
      </c>
      <c r="AN211" s="64"/>
      <c r="AO211" s="64"/>
      <c r="AP211" s="64"/>
      <c r="AQ211" s="64"/>
      <c r="AR211" s="64"/>
      <c r="AS211" s="16" t="s">
        <v>675</v>
      </c>
      <c r="AT211" s="16" t="s">
        <v>675</v>
      </c>
      <c r="AU211" s="64"/>
      <c r="AV211" s="64"/>
      <c r="AW211" s="64"/>
      <c r="AX211" s="64"/>
      <c r="AY211" s="64"/>
      <c r="AZ211" s="64"/>
      <c r="BA211" s="64"/>
      <c r="BB211" s="64"/>
      <c r="BC211" s="16" t="s">
        <v>675</v>
      </c>
      <c r="BD211" s="64"/>
      <c r="BE211" s="64"/>
      <c r="BF211" s="64"/>
      <c r="BG211" s="16" t="s">
        <v>675</v>
      </c>
      <c r="BH211" s="16" t="s">
        <v>675</v>
      </c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16" t="s">
        <v>675</v>
      </c>
      <c r="BT211" s="65"/>
    </row>
    <row r="212" spans="1:72" ht="18" hidden="1" customHeight="1" x14ac:dyDescent="0.3">
      <c r="A212" s="98" t="s">
        <v>1756</v>
      </c>
      <c r="B212" s="99" t="s">
        <v>1757</v>
      </c>
      <c r="C212" s="49" t="s">
        <v>1794</v>
      </c>
      <c r="D212" s="16" t="s">
        <v>1268</v>
      </c>
      <c r="E212" s="50">
        <v>70</v>
      </c>
      <c r="F212" s="50">
        <v>0</v>
      </c>
      <c r="G212" s="16">
        <v>7</v>
      </c>
      <c r="H212" s="16" t="s">
        <v>1428</v>
      </c>
      <c r="I212" s="48" t="s">
        <v>1474</v>
      </c>
      <c r="J212" s="16" t="s">
        <v>2018</v>
      </c>
      <c r="K212" s="16" t="s">
        <v>2027</v>
      </c>
      <c r="L212" s="16" t="s">
        <v>2027</v>
      </c>
      <c r="M212" s="64"/>
      <c r="N212" s="64"/>
      <c r="O212" s="16" t="s">
        <v>2027</v>
      </c>
      <c r="P212" s="73"/>
      <c r="Q212" s="53" t="str">
        <f t="shared" si="29"/>
        <v>Pending</v>
      </c>
      <c r="R212" s="54" t="str">
        <f t="shared" si="30"/>
        <v>Pending</v>
      </c>
      <c r="S212" s="55" t="str">
        <f t="shared" si="31"/>
        <v>Pending</v>
      </c>
      <c r="T212" s="56"/>
      <c r="U212" s="57" t="str">
        <f t="shared" si="32"/>
        <v>Pending</v>
      </c>
      <c r="V212" s="58" t="str">
        <f t="shared" si="33"/>
        <v>Pending</v>
      </c>
      <c r="W212" s="57" t="str">
        <f t="shared" si="34"/>
        <v>Pending</v>
      </c>
      <c r="X212" s="59" t="str">
        <f t="shared" si="35"/>
        <v/>
      </c>
      <c r="Y212" s="60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16" t="s">
        <v>675</v>
      </c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5"/>
    </row>
    <row r="213" spans="1:72" ht="18" hidden="1" customHeight="1" x14ac:dyDescent="0.3">
      <c r="A213" s="80" t="s">
        <v>253</v>
      </c>
      <c r="B213" s="48" t="s">
        <v>254</v>
      </c>
      <c r="C213" s="16" t="s">
        <v>1242</v>
      </c>
      <c r="D213" s="49" t="s">
        <v>1243</v>
      </c>
      <c r="E213" s="50">
        <v>40</v>
      </c>
      <c r="F213" s="50">
        <v>0</v>
      </c>
      <c r="G213" s="61">
        <v>3</v>
      </c>
      <c r="H213" s="16" t="s">
        <v>1479</v>
      </c>
      <c r="I213" s="48" t="s">
        <v>1016</v>
      </c>
      <c r="J213" s="16" t="s">
        <v>2386</v>
      </c>
      <c r="K213" s="49">
        <v>50</v>
      </c>
      <c r="L213" s="49">
        <v>50</v>
      </c>
      <c r="M213" s="64"/>
      <c r="N213" s="64"/>
      <c r="O213" s="114" t="str">
        <f t="shared" ref="O213:O240" si="36">IF(AND(ISBLANK(K213),ISBLANK(N213))," ",IF(ISBLANK(N213),"YES","NO"))</f>
        <v>YES</v>
      </c>
      <c r="P213" s="52"/>
      <c r="Q213" s="53">
        <f t="shared" si="29"/>
        <v>5000</v>
      </c>
      <c r="R213" s="54">
        <f t="shared" si="30"/>
        <v>2000</v>
      </c>
      <c r="S213" s="55" t="str">
        <f t="shared" si="31"/>
        <v xml:space="preserve"> </v>
      </c>
      <c r="T213" s="56"/>
      <c r="U213" s="57" t="str">
        <f t="shared" si="32"/>
        <v>100µg/100cm²</v>
      </c>
      <c r="V213" s="58">
        <f t="shared" si="33"/>
        <v>2000</v>
      </c>
      <c r="W213" s="58" t="str">
        <f t="shared" si="34"/>
        <v xml:space="preserve"> </v>
      </c>
      <c r="X213" s="59" t="str">
        <f t="shared" si="35"/>
        <v/>
      </c>
      <c r="Y213" s="60"/>
      <c r="Z213" s="64"/>
      <c r="AA213" s="64"/>
      <c r="AB213" s="64"/>
      <c r="AC213" s="64"/>
      <c r="AD213" s="64"/>
      <c r="AE213" s="64"/>
      <c r="AF213" s="16" t="s">
        <v>675</v>
      </c>
      <c r="AG213" s="64"/>
      <c r="AH213" s="64"/>
      <c r="AI213" s="64"/>
      <c r="AJ213" s="64"/>
      <c r="AK213" s="64"/>
      <c r="AL213" s="64"/>
      <c r="AM213" s="16" t="s">
        <v>675</v>
      </c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5"/>
    </row>
    <row r="214" spans="1:72" ht="18" hidden="1" customHeight="1" x14ac:dyDescent="0.3">
      <c r="A214" s="47" t="s">
        <v>215</v>
      </c>
      <c r="B214" s="69" t="s">
        <v>757</v>
      </c>
      <c r="C214" s="16" t="s">
        <v>1400</v>
      </c>
      <c r="D214" s="49" t="s">
        <v>1174</v>
      </c>
      <c r="E214" s="50">
        <v>80.8</v>
      </c>
      <c r="F214" s="50">
        <v>0</v>
      </c>
      <c r="G214" s="61">
        <v>7</v>
      </c>
      <c r="H214" s="16" t="s">
        <v>1105</v>
      </c>
      <c r="I214" s="48" t="s">
        <v>1016</v>
      </c>
      <c r="J214" s="16" t="s">
        <v>1401</v>
      </c>
      <c r="K214" s="62">
        <v>2400</v>
      </c>
      <c r="L214" s="62">
        <v>21600</v>
      </c>
      <c r="M214" s="62" t="s">
        <v>1014</v>
      </c>
      <c r="N214" s="64"/>
      <c r="O214" s="114" t="str">
        <f t="shared" si="36"/>
        <v>YES</v>
      </c>
      <c r="P214" s="52"/>
      <c r="Q214" s="53">
        <f t="shared" si="29"/>
        <v>5000</v>
      </c>
      <c r="R214" s="54">
        <f t="shared" si="30"/>
        <v>4040</v>
      </c>
      <c r="S214" s="55" t="str">
        <f t="shared" si="31"/>
        <v xml:space="preserve"> </v>
      </c>
      <c r="T214" s="56"/>
      <c r="U214" s="57" t="str">
        <f t="shared" si="32"/>
        <v>100µg/100cm²</v>
      </c>
      <c r="V214" s="58">
        <f t="shared" si="33"/>
        <v>4040</v>
      </c>
      <c r="W214" s="58" t="str">
        <f t="shared" si="34"/>
        <v xml:space="preserve"> </v>
      </c>
      <c r="X214" s="59" t="str">
        <f t="shared" si="35"/>
        <v/>
      </c>
      <c r="Y214" s="60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16" t="s">
        <v>675</v>
      </c>
      <c r="BD214" s="64"/>
      <c r="BE214" s="64"/>
      <c r="BF214" s="64"/>
      <c r="BG214" s="16" t="s">
        <v>675</v>
      </c>
      <c r="BH214" s="64"/>
      <c r="BI214" s="64"/>
      <c r="BJ214" s="64"/>
      <c r="BK214" s="16" t="s">
        <v>675</v>
      </c>
      <c r="BL214" s="64"/>
      <c r="BM214" s="64"/>
      <c r="BN214" s="64"/>
      <c r="BO214" s="64"/>
      <c r="BP214" s="64"/>
      <c r="BQ214" s="64"/>
      <c r="BR214" s="64"/>
      <c r="BS214" s="16" t="s">
        <v>675</v>
      </c>
      <c r="BT214" s="65"/>
    </row>
    <row r="215" spans="1:72" ht="18" hidden="1" customHeight="1" x14ac:dyDescent="0.3">
      <c r="A215" s="47" t="s">
        <v>255</v>
      </c>
      <c r="B215" s="48" t="s">
        <v>256</v>
      </c>
      <c r="C215" s="16" t="s">
        <v>2100</v>
      </c>
      <c r="D215" s="49" t="s">
        <v>1174</v>
      </c>
      <c r="E215" s="50">
        <v>74.72</v>
      </c>
      <c r="F215" s="50">
        <v>0</v>
      </c>
      <c r="G215" s="61">
        <v>7</v>
      </c>
      <c r="H215" s="16" t="s">
        <v>1105</v>
      </c>
      <c r="I215" s="48" t="s">
        <v>1016</v>
      </c>
      <c r="J215" s="16" t="s">
        <v>1402</v>
      </c>
      <c r="K215" s="62">
        <v>900</v>
      </c>
      <c r="L215" s="62">
        <v>81000</v>
      </c>
      <c r="M215" s="62" t="s">
        <v>1014</v>
      </c>
      <c r="N215" s="64"/>
      <c r="O215" s="114" t="str">
        <f t="shared" si="36"/>
        <v>YES</v>
      </c>
      <c r="P215" s="52"/>
      <c r="Q215" s="53">
        <f t="shared" si="29"/>
        <v>5000</v>
      </c>
      <c r="R215" s="54">
        <f t="shared" si="30"/>
        <v>3736</v>
      </c>
      <c r="S215" s="55" t="str">
        <f t="shared" si="31"/>
        <v xml:space="preserve"> </v>
      </c>
      <c r="T215" s="56"/>
      <c r="U215" s="57" t="str">
        <f t="shared" si="32"/>
        <v>100µg/100cm²</v>
      </c>
      <c r="V215" s="58">
        <f t="shared" si="33"/>
        <v>3736</v>
      </c>
      <c r="W215" s="58" t="str">
        <f t="shared" si="34"/>
        <v xml:space="preserve"> </v>
      </c>
      <c r="X215" s="59" t="str">
        <f t="shared" si="35"/>
        <v/>
      </c>
      <c r="Y215" s="60"/>
      <c r="Z215" s="64"/>
      <c r="AA215" s="64"/>
      <c r="AB215" s="64"/>
      <c r="AC215" s="64"/>
      <c r="AD215" s="64"/>
      <c r="AE215" s="64"/>
      <c r="AF215" s="16" t="s">
        <v>675</v>
      </c>
      <c r="AG215" s="16" t="s">
        <v>675</v>
      </c>
      <c r="AH215" s="64"/>
      <c r="AI215" s="64"/>
      <c r="AJ215" s="64"/>
      <c r="AK215" s="64"/>
      <c r="AL215" s="64"/>
      <c r="AM215" s="16" t="s">
        <v>675</v>
      </c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5"/>
    </row>
    <row r="216" spans="1:72" ht="18" hidden="1" customHeight="1" x14ac:dyDescent="0.3">
      <c r="A216" s="47" t="s">
        <v>1834</v>
      </c>
      <c r="B216" s="48" t="s">
        <v>110</v>
      </c>
      <c r="C216" s="49" t="s">
        <v>1176</v>
      </c>
      <c r="D216" s="49" t="s">
        <v>1174</v>
      </c>
      <c r="E216" s="50">
        <v>78.760000000000005</v>
      </c>
      <c r="F216" s="50">
        <v>0</v>
      </c>
      <c r="G216" s="61">
        <v>7</v>
      </c>
      <c r="H216" s="16" t="s">
        <v>1105</v>
      </c>
      <c r="I216" s="48" t="s">
        <v>1016</v>
      </c>
      <c r="J216" s="16" t="s">
        <v>1177</v>
      </c>
      <c r="K216" s="62">
        <v>2000</v>
      </c>
      <c r="L216" s="62">
        <v>18000</v>
      </c>
      <c r="M216" s="62" t="s">
        <v>1014</v>
      </c>
      <c r="N216" s="51"/>
      <c r="O216" s="114" t="str">
        <f t="shared" si="36"/>
        <v>YES</v>
      </c>
      <c r="P216" s="52"/>
      <c r="Q216" s="53">
        <f t="shared" si="29"/>
        <v>5000</v>
      </c>
      <c r="R216" s="54">
        <f t="shared" si="30"/>
        <v>3938</v>
      </c>
      <c r="S216" s="55" t="str">
        <f t="shared" si="31"/>
        <v xml:space="preserve"> </v>
      </c>
      <c r="T216" s="56"/>
      <c r="U216" s="57" t="str">
        <f t="shared" si="32"/>
        <v>100µg/100cm²</v>
      </c>
      <c r="V216" s="58">
        <f t="shared" si="33"/>
        <v>3938</v>
      </c>
      <c r="W216" s="58" t="str">
        <f t="shared" si="34"/>
        <v xml:space="preserve"> </v>
      </c>
      <c r="X216" s="59" t="str">
        <f t="shared" si="35"/>
        <v/>
      </c>
      <c r="Y216" s="60"/>
      <c r="Z216" s="64"/>
      <c r="AA216" s="64"/>
      <c r="AB216" s="64"/>
      <c r="AC216" s="16" t="s">
        <v>675</v>
      </c>
      <c r="AD216" s="16" t="s">
        <v>675</v>
      </c>
      <c r="AE216" s="64"/>
      <c r="AF216" s="16" t="s">
        <v>675</v>
      </c>
      <c r="AG216" s="64"/>
      <c r="AH216" s="64"/>
      <c r="AI216" s="64"/>
      <c r="AJ216" s="64"/>
      <c r="AK216" s="64"/>
      <c r="AL216" s="64"/>
      <c r="AM216" s="16" t="s">
        <v>675</v>
      </c>
      <c r="AN216" s="64"/>
      <c r="AO216" s="64"/>
      <c r="AP216" s="64"/>
      <c r="AQ216" s="64"/>
      <c r="AR216" s="64"/>
      <c r="AS216" s="16" t="s">
        <v>675</v>
      </c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5"/>
    </row>
    <row r="217" spans="1:72" ht="18" hidden="1" customHeight="1" x14ac:dyDescent="0.3">
      <c r="A217" s="80" t="s">
        <v>1889</v>
      </c>
      <c r="B217" s="76" t="s">
        <v>1888</v>
      </c>
      <c r="C217" s="87" t="s">
        <v>1604</v>
      </c>
      <c r="D217" s="16" t="s">
        <v>1491</v>
      </c>
      <c r="E217" s="50">
        <v>50</v>
      </c>
      <c r="F217" s="50">
        <v>0</v>
      </c>
      <c r="G217" s="16">
        <v>3</v>
      </c>
      <c r="H217" s="16" t="s">
        <v>1887</v>
      </c>
      <c r="I217" s="16" t="s">
        <v>1016</v>
      </c>
      <c r="J217" s="16" t="s">
        <v>2382</v>
      </c>
      <c r="K217" s="16">
        <v>50</v>
      </c>
      <c r="L217" s="16">
        <v>50</v>
      </c>
      <c r="M217" s="64"/>
      <c r="N217" s="64"/>
      <c r="O217" s="114" t="str">
        <f t="shared" si="36"/>
        <v>YES</v>
      </c>
      <c r="P217" s="52"/>
      <c r="Q217" s="53">
        <f t="shared" si="29"/>
        <v>5000</v>
      </c>
      <c r="R217" s="54">
        <f t="shared" si="30"/>
        <v>2500</v>
      </c>
      <c r="S217" s="55" t="str">
        <f t="shared" si="31"/>
        <v xml:space="preserve"> </v>
      </c>
      <c r="T217" s="56"/>
      <c r="U217" s="57" t="str">
        <f t="shared" si="32"/>
        <v>100µg/100cm²</v>
      </c>
      <c r="V217" s="58">
        <f t="shared" si="33"/>
        <v>2500</v>
      </c>
      <c r="W217" s="58" t="str">
        <f t="shared" si="34"/>
        <v xml:space="preserve"> </v>
      </c>
      <c r="X217" s="59" t="str">
        <f t="shared" si="35"/>
        <v/>
      </c>
      <c r="Y217" s="60"/>
      <c r="Z217" s="16" t="s">
        <v>1987</v>
      </c>
      <c r="AA217" s="16" t="s">
        <v>1987</v>
      </c>
      <c r="AB217" s="16" t="s">
        <v>1987</v>
      </c>
      <c r="AC217" s="16" t="s">
        <v>1987</v>
      </c>
      <c r="AD217" s="16" t="s">
        <v>1987</v>
      </c>
      <c r="AE217" s="16" t="s">
        <v>1987</v>
      </c>
      <c r="AF217" s="16" t="s">
        <v>1987</v>
      </c>
      <c r="AG217" s="16" t="s">
        <v>1987</v>
      </c>
      <c r="AH217" s="16" t="s">
        <v>1987</v>
      </c>
      <c r="AI217" s="16" t="s">
        <v>1987</v>
      </c>
      <c r="AJ217" s="16" t="s">
        <v>1987</v>
      </c>
      <c r="AK217" s="16" t="s">
        <v>1987</v>
      </c>
      <c r="AL217" s="16" t="s">
        <v>1987</v>
      </c>
      <c r="AM217" s="16" t="s">
        <v>1987</v>
      </c>
      <c r="AN217" s="16" t="s">
        <v>1987</v>
      </c>
      <c r="AO217" s="16" t="s">
        <v>1987</v>
      </c>
      <c r="AP217" s="16" t="s">
        <v>1987</v>
      </c>
      <c r="AQ217" s="16" t="s">
        <v>1987</v>
      </c>
      <c r="AR217" s="16" t="s">
        <v>1987</v>
      </c>
      <c r="AS217" s="16" t="s">
        <v>1987</v>
      </c>
      <c r="AT217" s="16" t="s">
        <v>1987</v>
      </c>
      <c r="AU217" s="16" t="s">
        <v>1987</v>
      </c>
      <c r="AV217" s="16" t="s">
        <v>1987</v>
      </c>
      <c r="AW217" s="16" t="s">
        <v>1987</v>
      </c>
      <c r="AX217" s="16" t="s">
        <v>1987</v>
      </c>
      <c r="AY217" s="16" t="s">
        <v>1987</v>
      </c>
      <c r="AZ217" s="16" t="s">
        <v>1987</v>
      </c>
      <c r="BA217" s="16" t="s">
        <v>1987</v>
      </c>
      <c r="BB217" s="16" t="s">
        <v>1987</v>
      </c>
      <c r="BC217" s="16" t="s">
        <v>1987</v>
      </c>
      <c r="BD217" s="16" t="s">
        <v>1987</v>
      </c>
      <c r="BE217" s="16" t="s">
        <v>1987</v>
      </c>
      <c r="BF217" s="16" t="s">
        <v>1987</v>
      </c>
      <c r="BG217" s="16" t="s">
        <v>1987</v>
      </c>
      <c r="BH217" s="16" t="s">
        <v>1987</v>
      </c>
      <c r="BI217" s="16" t="s">
        <v>1987</v>
      </c>
      <c r="BJ217" s="16" t="s">
        <v>1987</v>
      </c>
      <c r="BK217" s="16" t="s">
        <v>1987</v>
      </c>
      <c r="BL217" s="16" t="s">
        <v>1987</v>
      </c>
      <c r="BM217" s="16" t="s">
        <v>1987</v>
      </c>
      <c r="BN217" s="16" t="s">
        <v>1987</v>
      </c>
      <c r="BO217" s="16" t="s">
        <v>1987</v>
      </c>
      <c r="BP217" s="16" t="s">
        <v>1987</v>
      </c>
      <c r="BQ217" s="16" t="s">
        <v>1987</v>
      </c>
      <c r="BR217" s="16" t="s">
        <v>1987</v>
      </c>
      <c r="BS217" s="16" t="s">
        <v>1987</v>
      </c>
      <c r="BT217" s="16" t="s">
        <v>1987</v>
      </c>
    </row>
    <row r="218" spans="1:72" ht="18" hidden="1" customHeight="1" x14ac:dyDescent="0.3">
      <c r="A218" s="26" t="s">
        <v>857</v>
      </c>
      <c r="B218" s="115" t="s">
        <v>858</v>
      </c>
      <c r="C218" s="16" t="s">
        <v>1609</v>
      </c>
      <c r="D218" s="16" t="s">
        <v>1114</v>
      </c>
      <c r="E218" s="50">
        <v>54</v>
      </c>
      <c r="F218" s="50">
        <v>0</v>
      </c>
      <c r="G218" s="16">
        <v>4</v>
      </c>
      <c r="H218" s="16">
        <v>15</v>
      </c>
      <c r="I218" s="16" t="s">
        <v>1474</v>
      </c>
      <c r="J218" s="16" t="s">
        <v>2386</v>
      </c>
      <c r="K218" s="49">
        <v>50</v>
      </c>
      <c r="L218" s="49">
        <v>50</v>
      </c>
      <c r="M218" s="64"/>
      <c r="N218" s="64"/>
      <c r="O218" s="114" t="str">
        <f t="shared" si="36"/>
        <v>YES</v>
      </c>
      <c r="P218" s="52"/>
      <c r="Q218" s="53">
        <f t="shared" si="29"/>
        <v>5000</v>
      </c>
      <c r="R218" s="54">
        <f t="shared" si="30"/>
        <v>2700</v>
      </c>
      <c r="S218" s="55" t="str">
        <f t="shared" si="31"/>
        <v xml:space="preserve"> </v>
      </c>
      <c r="T218" s="56"/>
      <c r="U218" s="57" t="str">
        <f t="shared" si="32"/>
        <v>100µg/100cm²</v>
      </c>
      <c r="V218" s="58">
        <f t="shared" si="33"/>
        <v>2700</v>
      </c>
      <c r="W218" s="58" t="str">
        <f t="shared" si="34"/>
        <v xml:space="preserve"> </v>
      </c>
      <c r="X218" s="59" t="str">
        <f t="shared" si="35"/>
        <v/>
      </c>
      <c r="Y218" s="60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16" t="s">
        <v>675</v>
      </c>
      <c r="BL218" s="64"/>
      <c r="BM218" s="64"/>
      <c r="BN218" s="64"/>
      <c r="BO218" s="64"/>
      <c r="BP218" s="64"/>
      <c r="BQ218" s="64"/>
      <c r="BR218" s="64"/>
      <c r="BS218" s="16" t="s">
        <v>675</v>
      </c>
      <c r="BT218" s="65"/>
    </row>
    <row r="219" spans="1:72" ht="18" hidden="1" customHeight="1" x14ac:dyDescent="0.3">
      <c r="A219" s="47" t="s">
        <v>772</v>
      </c>
      <c r="B219" s="48" t="s">
        <v>502</v>
      </c>
      <c r="C219" s="16" t="s">
        <v>2101</v>
      </c>
      <c r="D219" s="49" t="s">
        <v>1417</v>
      </c>
      <c r="E219" s="50">
        <v>62</v>
      </c>
      <c r="F219" s="50">
        <v>0</v>
      </c>
      <c r="G219" s="61">
        <v>2</v>
      </c>
      <c r="H219" s="16">
        <v>200</v>
      </c>
      <c r="I219" s="48" t="s">
        <v>1189</v>
      </c>
      <c r="J219" s="16" t="s">
        <v>2386</v>
      </c>
      <c r="K219" s="49">
        <v>50</v>
      </c>
      <c r="L219" s="49">
        <v>50</v>
      </c>
      <c r="M219" s="64"/>
      <c r="N219" s="64"/>
      <c r="O219" s="114" t="str">
        <f t="shared" si="36"/>
        <v>YES</v>
      </c>
      <c r="P219" s="52"/>
      <c r="Q219" s="53">
        <f t="shared" si="29"/>
        <v>5000</v>
      </c>
      <c r="R219" s="54">
        <f t="shared" si="30"/>
        <v>3100</v>
      </c>
      <c r="S219" s="55" t="str">
        <f t="shared" si="31"/>
        <v xml:space="preserve"> </v>
      </c>
      <c r="T219" s="56"/>
      <c r="U219" s="57" t="str">
        <f t="shared" si="32"/>
        <v>100µg/100cm²</v>
      </c>
      <c r="V219" s="58">
        <f t="shared" si="33"/>
        <v>3100</v>
      </c>
      <c r="W219" s="58" t="str">
        <f t="shared" si="34"/>
        <v xml:space="preserve"> </v>
      </c>
      <c r="X219" s="59" t="str">
        <f t="shared" si="35"/>
        <v/>
      </c>
      <c r="Y219" s="60"/>
      <c r="Z219" s="64"/>
      <c r="AA219" s="16" t="s">
        <v>675</v>
      </c>
      <c r="AB219" s="64"/>
      <c r="AC219" s="64"/>
      <c r="AD219" s="64"/>
      <c r="AE219" s="64"/>
      <c r="AF219" s="64"/>
      <c r="AG219" s="64"/>
      <c r="AH219" s="64"/>
      <c r="AI219" s="64"/>
      <c r="AJ219" s="16" t="s">
        <v>675</v>
      </c>
      <c r="AK219" s="64"/>
      <c r="AL219" s="64"/>
      <c r="AM219" s="16" t="s">
        <v>675</v>
      </c>
      <c r="AN219" s="64"/>
      <c r="AO219" s="64"/>
      <c r="AP219" s="64"/>
      <c r="AQ219" s="64"/>
      <c r="AR219" s="64"/>
      <c r="AS219" s="16" t="s">
        <v>675</v>
      </c>
      <c r="AT219" s="16" t="s">
        <v>675</v>
      </c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5"/>
    </row>
    <row r="220" spans="1:72" ht="18" hidden="1" customHeight="1" x14ac:dyDescent="0.3">
      <c r="A220" s="81" t="s">
        <v>886</v>
      </c>
      <c r="B220" s="76" t="s">
        <v>459</v>
      </c>
      <c r="C220" s="16" t="s">
        <v>1975</v>
      </c>
      <c r="D220" s="16" t="s">
        <v>1981</v>
      </c>
      <c r="E220" s="50">
        <v>50</v>
      </c>
      <c r="F220" s="50">
        <v>0</v>
      </c>
      <c r="G220" s="16">
        <v>1</v>
      </c>
      <c r="H220" s="16" t="s">
        <v>1023</v>
      </c>
      <c r="I220" s="16" t="s">
        <v>1016</v>
      </c>
      <c r="J220" s="16" t="s">
        <v>2382</v>
      </c>
      <c r="K220" s="16">
        <v>50</v>
      </c>
      <c r="L220" s="16">
        <v>50</v>
      </c>
      <c r="M220" s="64"/>
      <c r="N220" s="64"/>
      <c r="O220" s="114" t="str">
        <f t="shared" si="36"/>
        <v>YES</v>
      </c>
      <c r="P220" s="52"/>
      <c r="Q220" s="53">
        <f t="shared" si="29"/>
        <v>5000</v>
      </c>
      <c r="R220" s="54">
        <f t="shared" si="30"/>
        <v>2500</v>
      </c>
      <c r="S220" s="55" t="str">
        <f t="shared" si="31"/>
        <v xml:space="preserve"> </v>
      </c>
      <c r="T220" s="56"/>
      <c r="U220" s="57" t="str">
        <f t="shared" si="32"/>
        <v>100µg/100cm²</v>
      </c>
      <c r="V220" s="58">
        <f t="shared" si="33"/>
        <v>2500</v>
      </c>
      <c r="W220" s="58" t="str">
        <f t="shared" si="34"/>
        <v xml:space="preserve"> </v>
      </c>
      <c r="X220" s="59" t="str">
        <f t="shared" si="35"/>
        <v/>
      </c>
      <c r="Y220" s="60"/>
      <c r="Z220" s="64"/>
      <c r="AA220" s="64"/>
      <c r="AB220" s="64"/>
      <c r="AC220" s="64"/>
      <c r="AD220" s="64"/>
      <c r="AE220" s="16" t="s">
        <v>675</v>
      </c>
      <c r="AF220" s="64"/>
      <c r="AG220" s="64"/>
      <c r="AH220" s="64"/>
      <c r="AI220" s="64"/>
      <c r="AJ220" s="64"/>
      <c r="AK220" s="64"/>
      <c r="AL220" s="64"/>
      <c r="AM220" s="16" t="s">
        <v>675</v>
      </c>
      <c r="AN220" s="64"/>
      <c r="AO220" s="64"/>
      <c r="AP220" s="64"/>
      <c r="AQ220" s="64"/>
      <c r="AR220" s="64"/>
      <c r="AS220" s="64"/>
      <c r="AT220" s="64"/>
      <c r="AU220" s="82"/>
      <c r="AV220" s="82"/>
      <c r="AW220" s="82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5"/>
    </row>
    <row r="221" spans="1:72" ht="18" hidden="1" customHeight="1" x14ac:dyDescent="0.3">
      <c r="A221" s="66" t="s">
        <v>1571</v>
      </c>
      <c r="B221" s="16" t="s">
        <v>1572</v>
      </c>
      <c r="C221" s="16" t="s">
        <v>2102</v>
      </c>
      <c r="D221" s="16" t="s">
        <v>1243</v>
      </c>
      <c r="E221" s="50">
        <v>39.97</v>
      </c>
      <c r="F221" s="50">
        <v>0</v>
      </c>
      <c r="G221" s="16">
        <v>2</v>
      </c>
      <c r="H221" s="16">
        <v>555</v>
      </c>
      <c r="I221" s="16" t="s">
        <v>1573</v>
      </c>
      <c r="J221" s="16" t="s">
        <v>2386</v>
      </c>
      <c r="K221" s="16">
        <v>50</v>
      </c>
      <c r="L221" s="16">
        <v>50</v>
      </c>
      <c r="M221" s="64"/>
      <c r="N221" s="64"/>
      <c r="O221" s="114" t="str">
        <f t="shared" si="36"/>
        <v>YES</v>
      </c>
      <c r="P221" s="52"/>
      <c r="Q221" s="53">
        <f t="shared" si="29"/>
        <v>5000</v>
      </c>
      <c r="R221" s="54">
        <f t="shared" si="30"/>
        <v>1998.5</v>
      </c>
      <c r="S221" s="55" t="str">
        <f t="shared" si="31"/>
        <v xml:space="preserve"> </v>
      </c>
      <c r="T221" s="56"/>
      <c r="U221" s="57" t="str">
        <f t="shared" si="32"/>
        <v>100µg/100cm²</v>
      </c>
      <c r="V221" s="58">
        <f t="shared" si="33"/>
        <v>1998.5</v>
      </c>
      <c r="W221" s="58" t="str">
        <f t="shared" si="34"/>
        <v xml:space="preserve"> </v>
      </c>
      <c r="X221" s="59" t="str">
        <f t="shared" si="35"/>
        <v/>
      </c>
      <c r="Y221" s="60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16" t="s">
        <v>675</v>
      </c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5"/>
    </row>
    <row r="222" spans="1:72" ht="18" hidden="1" customHeight="1" x14ac:dyDescent="0.3">
      <c r="A222" s="47" t="s">
        <v>345</v>
      </c>
      <c r="B222" s="87" t="s">
        <v>346</v>
      </c>
      <c r="C222" s="16" t="s">
        <v>2103</v>
      </c>
      <c r="D222" s="49" t="s">
        <v>1091</v>
      </c>
      <c r="E222" s="50">
        <v>61.94</v>
      </c>
      <c r="F222" s="50">
        <v>0</v>
      </c>
      <c r="G222" s="61">
        <v>3</v>
      </c>
      <c r="H222" s="16" t="s">
        <v>1038</v>
      </c>
      <c r="I222" s="48" t="s">
        <v>1016</v>
      </c>
      <c r="J222" s="16" t="s">
        <v>1092</v>
      </c>
      <c r="K222" s="49">
        <v>1.5</v>
      </c>
      <c r="L222" s="49">
        <v>1.5</v>
      </c>
      <c r="M222" s="62" t="s">
        <v>1036</v>
      </c>
      <c r="N222" s="49" t="s">
        <v>2357</v>
      </c>
      <c r="O222" s="63" t="str">
        <f t="shared" si="36"/>
        <v>NO</v>
      </c>
      <c r="P222" s="52"/>
      <c r="Q222" s="53">
        <f t="shared" si="29"/>
        <v>1.5</v>
      </c>
      <c r="R222" s="54">
        <f t="shared" si="30"/>
        <v>0.9</v>
      </c>
      <c r="S222" s="55" t="str">
        <f t="shared" si="31"/>
        <v xml:space="preserve"> </v>
      </c>
      <c r="T222" s="56"/>
      <c r="U222" s="57" t="str">
        <f t="shared" si="32"/>
        <v>Mitigation</v>
      </c>
      <c r="V222" s="58">
        <f t="shared" si="33"/>
        <v>0.9</v>
      </c>
      <c r="W222" s="58" t="str">
        <f t="shared" si="34"/>
        <v xml:space="preserve"> </v>
      </c>
      <c r="X222" s="59" t="str">
        <f t="shared" si="35"/>
        <v/>
      </c>
      <c r="Y222" s="60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16" t="s">
        <v>675</v>
      </c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5"/>
    </row>
    <row r="223" spans="1:72" ht="18" hidden="1" customHeight="1" x14ac:dyDescent="0.3">
      <c r="A223" s="47" t="s">
        <v>637</v>
      </c>
      <c r="B223" s="87" t="s">
        <v>638</v>
      </c>
      <c r="C223" s="16" t="s">
        <v>2104</v>
      </c>
      <c r="D223" s="49" t="s">
        <v>1091</v>
      </c>
      <c r="E223" s="50">
        <v>50.1</v>
      </c>
      <c r="F223" s="50">
        <v>0</v>
      </c>
      <c r="G223" s="61">
        <v>2</v>
      </c>
      <c r="H223" s="16">
        <v>220</v>
      </c>
      <c r="I223" s="48" t="s">
        <v>1016</v>
      </c>
      <c r="J223" s="16" t="s">
        <v>1093</v>
      </c>
      <c r="K223" s="49">
        <v>1.5</v>
      </c>
      <c r="L223" s="49">
        <v>1.5</v>
      </c>
      <c r="M223" s="62" t="s">
        <v>1036</v>
      </c>
      <c r="N223" s="49" t="s">
        <v>2357</v>
      </c>
      <c r="O223" s="63" t="str">
        <f t="shared" si="36"/>
        <v>NO</v>
      </c>
      <c r="P223" s="52"/>
      <c r="Q223" s="53">
        <f t="shared" si="29"/>
        <v>1.5</v>
      </c>
      <c r="R223" s="54">
        <f t="shared" si="30"/>
        <v>0.7</v>
      </c>
      <c r="S223" s="55" t="str">
        <f t="shared" si="31"/>
        <v xml:space="preserve"> </v>
      </c>
      <c r="T223" s="56"/>
      <c r="U223" s="57" t="str">
        <f t="shared" si="32"/>
        <v>Mitigation</v>
      </c>
      <c r="V223" s="58">
        <f t="shared" si="33"/>
        <v>0.7</v>
      </c>
      <c r="W223" s="58" t="str">
        <f t="shared" si="34"/>
        <v xml:space="preserve"> </v>
      </c>
      <c r="X223" s="59" t="str">
        <f t="shared" si="35"/>
        <v/>
      </c>
      <c r="Y223" s="60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16" t="s">
        <v>675</v>
      </c>
      <c r="AZ223" s="16" t="s">
        <v>675</v>
      </c>
      <c r="BA223" s="64"/>
      <c r="BB223" s="16" t="s">
        <v>675</v>
      </c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5"/>
    </row>
    <row r="224" spans="1:72" ht="18" hidden="1" customHeight="1" x14ac:dyDescent="0.3">
      <c r="A224" s="47" t="s">
        <v>2325</v>
      </c>
      <c r="B224" s="49" t="s">
        <v>2265</v>
      </c>
      <c r="C224" s="49" t="s">
        <v>2332</v>
      </c>
      <c r="D224" s="16" t="s">
        <v>1073</v>
      </c>
      <c r="E224" s="50">
        <v>51.56</v>
      </c>
      <c r="F224" s="50">
        <v>0</v>
      </c>
      <c r="G224" s="173">
        <v>3</v>
      </c>
      <c r="H224" s="173" t="s">
        <v>1038</v>
      </c>
      <c r="I224" s="178" t="s">
        <v>2247</v>
      </c>
      <c r="J224" s="16" t="s">
        <v>2266</v>
      </c>
      <c r="K224" s="174">
        <v>1.5</v>
      </c>
      <c r="L224" s="174">
        <v>1.5</v>
      </c>
      <c r="M224" s="49" t="s">
        <v>1036</v>
      </c>
      <c r="N224" s="51"/>
      <c r="O224" s="49" t="str">
        <f t="shared" si="36"/>
        <v>YES</v>
      </c>
      <c r="P224" s="73"/>
      <c r="Q224" s="53">
        <f t="shared" si="29"/>
        <v>273.7</v>
      </c>
      <c r="R224" s="54">
        <f t="shared" si="30"/>
        <v>141.1</v>
      </c>
      <c r="S224" s="55" t="str">
        <f t="shared" si="31"/>
        <v xml:space="preserve"> </v>
      </c>
      <c r="T224" s="105"/>
      <c r="U224" s="57" t="str">
        <f t="shared" si="32"/>
        <v>100µg/100cm²</v>
      </c>
      <c r="V224" s="58">
        <f t="shared" si="33"/>
        <v>141.1</v>
      </c>
      <c r="W224" s="57" t="str">
        <f t="shared" si="34"/>
        <v xml:space="preserve"> </v>
      </c>
      <c r="X224" s="59" t="str">
        <f t="shared" si="35"/>
        <v/>
      </c>
      <c r="Y224" s="106"/>
      <c r="Z224" s="16" t="s">
        <v>1987</v>
      </c>
      <c r="AA224" s="16" t="s">
        <v>1987</v>
      </c>
      <c r="AB224" s="16" t="s">
        <v>1987</v>
      </c>
      <c r="AC224" s="16" t="s">
        <v>1987</v>
      </c>
      <c r="AD224" s="16" t="s">
        <v>1987</v>
      </c>
      <c r="AE224" s="16" t="s">
        <v>1987</v>
      </c>
      <c r="AF224" s="16" t="s">
        <v>1987</v>
      </c>
      <c r="AG224" s="16" t="s">
        <v>1987</v>
      </c>
      <c r="AH224" s="16" t="s">
        <v>1987</v>
      </c>
      <c r="AI224" s="16" t="s">
        <v>1987</v>
      </c>
      <c r="AJ224" s="16" t="s">
        <v>1987</v>
      </c>
      <c r="AK224" s="16" t="s">
        <v>1987</v>
      </c>
      <c r="AL224" s="16" t="s">
        <v>1987</v>
      </c>
      <c r="AM224" s="16" t="s">
        <v>1987</v>
      </c>
      <c r="AN224" s="16" t="s">
        <v>1987</v>
      </c>
      <c r="AO224" s="16" t="s">
        <v>1987</v>
      </c>
      <c r="AP224" s="16" t="s">
        <v>1987</v>
      </c>
      <c r="AQ224" s="16" t="s">
        <v>1987</v>
      </c>
      <c r="AR224" s="16" t="s">
        <v>1987</v>
      </c>
      <c r="AS224" s="16" t="s">
        <v>1987</v>
      </c>
      <c r="AT224" s="16" t="s">
        <v>1987</v>
      </c>
      <c r="AU224" s="16" t="s">
        <v>1987</v>
      </c>
      <c r="AV224" s="16" t="s">
        <v>1987</v>
      </c>
      <c r="AW224" s="16" t="s">
        <v>1987</v>
      </c>
      <c r="AX224" s="16" t="s">
        <v>1987</v>
      </c>
      <c r="AY224" s="16" t="s">
        <v>1987</v>
      </c>
      <c r="AZ224" s="16" t="s">
        <v>1987</v>
      </c>
      <c r="BA224" s="16" t="s">
        <v>1987</v>
      </c>
      <c r="BB224" s="16" t="s">
        <v>1987</v>
      </c>
      <c r="BC224" s="16" t="s">
        <v>1987</v>
      </c>
      <c r="BD224" s="16" t="s">
        <v>1987</v>
      </c>
      <c r="BE224" s="16" t="s">
        <v>1987</v>
      </c>
      <c r="BF224" s="16" t="s">
        <v>1987</v>
      </c>
      <c r="BG224" s="16" t="s">
        <v>1987</v>
      </c>
      <c r="BH224" s="16" t="s">
        <v>1987</v>
      </c>
      <c r="BI224" s="16" t="s">
        <v>1987</v>
      </c>
      <c r="BJ224" s="16" t="s">
        <v>1987</v>
      </c>
      <c r="BK224" s="16" t="s">
        <v>1987</v>
      </c>
      <c r="BL224" s="16" t="s">
        <v>1987</v>
      </c>
      <c r="BM224" s="16" t="s">
        <v>1987</v>
      </c>
      <c r="BN224" s="16" t="s">
        <v>1987</v>
      </c>
      <c r="BO224" s="16" t="s">
        <v>1987</v>
      </c>
      <c r="BP224" s="16" t="s">
        <v>1987</v>
      </c>
      <c r="BQ224" s="16" t="s">
        <v>1987</v>
      </c>
      <c r="BR224" s="16" t="s">
        <v>1987</v>
      </c>
      <c r="BS224" s="16" t="s">
        <v>1987</v>
      </c>
      <c r="BT224" s="16" t="s">
        <v>1987</v>
      </c>
    </row>
    <row r="225" spans="1:92" ht="18" hidden="1" customHeight="1" x14ac:dyDescent="0.3">
      <c r="A225" s="47" t="s">
        <v>1613</v>
      </c>
      <c r="B225" s="49" t="s">
        <v>329</v>
      </c>
      <c r="C225" s="16" t="s">
        <v>1614</v>
      </c>
      <c r="D225" s="16" t="s">
        <v>1484</v>
      </c>
      <c r="E225" s="50">
        <v>52.1</v>
      </c>
      <c r="F225" s="50">
        <v>0</v>
      </c>
      <c r="G225" s="16">
        <v>3</v>
      </c>
      <c r="H225" s="16" t="s">
        <v>1567</v>
      </c>
      <c r="I225" s="16" t="s">
        <v>1016</v>
      </c>
      <c r="J225" s="16" t="s">
        <v>2382</v>
      </c>
      <c r="K225" s="16">
        <v>50</v>
      </c>
      <c r="L225" s="16">
        <v>50</v>
      </c>
      <c r="M225" s="64"/>
      <c r="N225" s="64"/>
      <c r="O225" s="114" t="str">
        <f t="shared" si="36"/>
        <v>YES</v>
      </c>
      <c r="P225" s="52"/>
      <c r="Q225" s="53">
        <f t="shared" si="29"/>
        <v>5000</v>
      </c>
      <c r="R225" s="54">
        <f t="shared" si="30"/>
        <v>2605</v>
      </c>
      <c r="S225" s="55" t="str">
        <f t="shared" si="31"/>
        <v xml:space="preserve"> </v>
      </c>
      <c r="T225" s="56"/>
      <c r="U225" s="57" t="str">
        <f t="shared" si="32"/>
        <v>100µg/100cm²</v>
      </c>
      <c r="V225" s="58">
        <f t="shared" si="33"/>
        <v>2605</v>
      </c>
      <c r="W225" s="58" t="str">
        <f t="shared" si="34"/>
        <v xml:space="preserve"> </v>
      </c>
      <c r="X225" s="59" t="str">
        <f t="shared" si="35"/>
        <v/>
      </c>
      <c r="Y225" s="60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16" t="s">
        <v>675</v>
      </c>
      <c r="AL225" s="16" t="s">
        <v>675</v>
      </c>
      <c r="AM225" s="16" t="s">
        <v>675</v>
      </c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5"/>
    </row>
    <row r="226" spans="1:92" ht="18" hidden="1" customHeight="1" x14ac:dyDescent="0.3">
      <c r="A226" s="47" t="s">
        <v>1183</v>
      </c>
      <c r="B226" s="48" t="s">
        <v>177</v>
      </c>
      <c r="C226" s="16" t="s">
        <v>2105</v>
      </c>
      <c r="D226" s="49" t="s">
        <v>1174</v>
      </c>
      <c r="E226" s="50">
        <v>84.78</v>
      </c>
      <c r="F226" s="50">
        <v>0</v>
      </c>
      <c r="G226" s="61">
        <v>7</v>
      </c>
      <c r="H226" s="16" t="s">
        <v>1105</v>
      </c>
      <c r="I226" s="48" t="s">
        <v>1016</v>
      </c>
      <c r="J226" s="16" t="s">
        <v>1184</v>
      </c>
      <c r="K226" s="49">
        <v>0.112</v>
      </c>
      <c r="L226" s="49">
        <v>1.008</v>
      </c>
      <c r="M226" s="62" t="s">
        <v>1053</v>
      </c>
      <c r="N226" s="49" t="s">
        <v>2361</v>
      </c>
      <c r="O226" s="63" t="str">
        <f t="shared" si="36"/>
        <v>NO</v>
      </c>
      <c r="P226" s="52"/>
      <c r="Q226" s="53">
        <f t="shared" si="29"/>
        <v>0.112</v>
      </c>
      <c r="R226" s="54">
        <f t="shared" si="30"/>
        <v>0</v>
      </c>
      <c r="S226" s="55" t="str">
        <f t="shared" si="31"/>
        <v xml:space="preserve"> </v>
      </c>
      <c r="T226" s="56"/>
      <c r="U226" s="57" t="str">
        <f t="shared" si="32"/>
        <v>Mitigation</v>
      </c>
      <c r="V226" s="58" t="str">
        <f t="shared" si="33"/>
        <v xml:space="preserve"> </v>
      </c>
      <c r="W226" s="58" t="str">
        <f t="shared" si="34"/>
        <v xml:space="preserve"> </v>
      </c>
      <c r="X226" s="59" t="str">
        <f t="shared" si="35"/>
        <v/>
      </c>
      <c r="Y226" s="60"/>
      <c r="Z226" s="64"/>
      <c r="AA226" s="64"/>
      <c r="AB226" s="64"/>
      <c r="AC226" s="64"/>
      <c r="AD226" s="64"/>
      <c r="AE226" s="16" t="s">
        <v>675</v>
      </c>
      <c r="AF226" s="16" t="s">
        <v>675</v>
      </c>
      <c r="AG226" s="64"/>
      <c r="AH226" s="64"/>
      <c r="AI226" s="16" t="s">
        <v>675</v>
      </c>
      <c r="AJ226" s="64"/>
      <c r="AK226" s="64"/>
      <c r="AL226" s="64"/>
      <c r="AM226" s="16" t="s">
        <v>675</v>
      </c>
      <c r="AN226" s="16" t="s">
        <v>675</v>
      </c>
      <c r="AO226" s="64"/>
      <c r="AP226" s="16" t="s">
        <v>675</v>
      </c>
      <c r="AQ226" s="64"/>
      <c r="AR226" s="64"/>
      <c r="AS226" s="16" t="s">
        <v>675</v>
      </c>
      <c r="AT226" s="16" t="s">
        <v>675</v>
      </c>
      <c r="AU226" s="64"/>
      <c r="AV226" s="64"/>
      <c r="AW226" s="64"/>
      <c r="AX226" s="16" t="s">
        <v>675</v>
      </c>
      <c r="AY226" s="64"/>
      <c r="AZ226" s="64"/>
      <c r="BA226" s="64"/>
      <c r="BB226" s="64"/>
      <c r="BC226" s="64"/>
      <c r="BD226" s="64"/>
      <c r="BE226" s="64"/>
      <c r="BF226" s="64"/>
      <c r="BG226" s="16" t="s">
        <v>675</v>
      </c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16" t="s">
        <v>675</v>
      </c>
      <c r="BT226" s="65"/>
    </row>
    <row r="227" spans="1:92" ht="18" hidden="1" customHeight="1" x14ac:dyDescent="0.3">
      <c r="A227" s="116" t="s">
        <v>574</v>
      </c>
      <c r="B227" s="86" t="s">
        <v>459</v>
      </c>
      <c r="C227" s="16" t="s">
        <v>1499</v>
      </c>
      <c r="D227" s="16" t="s">
        <v>1496</v>
      </c>
      <c r="E227" s="50">
        <v>15</v>
      </c>
      <c r="F227" s="50">
        <v>0</v>
      </c>
      <c r="G227" s="16">
        <v>7</v>
      </c>
      <c r="H227" s="16" t="s">
        <v>1428</v>
      </c>
      <c r="I227" s="48" t="s">
        <v>1016</v>
      </c>
      <c r="J227" s="16" t="s">
        <v>2382</v>
      </c>
      <c r="K227" s="16">
        <v>50</v>
      </c>
      <c r="L227" s="16">
        <v>50</v>
      </c>
      <c r="M227" s="64"/>
      <c r="N227" s="64"/>
      <c r="O227" s="114" t="str">
        <f t="shared" si="36"/>
        <v>YES</v>
      </c>
      <c r="P227" s="52"/>
      <c r="Q227" s="53">
        <f t="shared" si="29"/>
        <v>5000</v>
      </c>
      <c r="R227" s="54">
        <f t="shared" si="30"/>
        <v>750</v>
      </c>
      <c r="S227" s="55" t="str">
        <f t="shared" si="31"/>
        <v xml:space="preserve"> </v>
      </c>
      <c r="T227" s="56"/>
      <c r="U227" s="57" t="str">
        <f t="shared" si="32"/>
        <v>100µg/100cm²</v>
      </c>
      <c r="V227" s="58">
        <f t="shared" si="33"/>
        <v>750</v>
      </c>
      <c r="W227" s="58" t="str">
        <f t="shared" si="34"/>
        <v xml:space="preserve"> </v>
      </c>
      <c r="X227" s="59" t="str">
        <f t="shared" si="35"/>
        <v/>
      </c>
      <c r="Y227" s="60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83" t="s">
        <v>675</v>
      </c>
      <c r="AT227" s="64"/>
      <c r="AU227" s="83" t="s">
        <v>675</v>
      </c>
      <c r="AV227" s="83" t="s">
        <v>675</v>
      </c>
      <c r="AW227" s="16" t="s">
        <v>675</v>
      </c>
      <c r="AX227" s="64"/>
      <c r="AY227" s="16" t="s">
        <v>675</v>
      </c>
      <c r="AZ227" s="16" t="s">
        <v>675</v>
      </c>
      <c r="BA227" s="16" t="s">
        <v>675</v>
      </c>
      <c r="BB227" s="16" t="s">
        <v>675</v>
      </c>
      <c r="BC227" s="64"/>
      <c r="BD227" s="16" t="s">
        <v>675</v>
      </c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5"/>
    </row>
    <row r="228" spans="1:92" ht="18" hidden="1" customHeight="1" x14ac:dyDescent="0.3">
      <c r="A228" s="117" t="s">
        <v>469</v>
      </c>
      <c r="B228" s="99" t="s">
        <v>459</v>
      </c>
      <c r="C228" s="16" t="s">
        <v>1499</v>
      </c>
      <c r="D228" s="16" t="s">
        <v>1496</v>
      </c>
      <c r="E228" s="50">
        <v>15</v>
      </c>
      <c r="F228" s="50">
        <v>0</v>
      </c>
      <c r="G228" s="16">
        <v>7</v>
      </c>
      <c r="H228" s="16" t="s">
        <v>1428</v>
      </c>
      <c r="I228" s="48" t="s">
        <v>1016</v>
      </c>
      <c r="J228" s="16" t="s">
        <v>2382</v>
      </c>
      <c r="K228" s="16">
        <v>50</v>
      </c>
      <c r="L228" s="16">
        <v>50</v>
      </c>
      <c r="M228" s="64"/>
      <c r="N228" s="64"/>
      <c r="O228" s="49" t="str">
        <f t="shared" si="36"/>
        <v>YES</v>
      </c>
      <c r="P228" s="52"/>
      <c r="Q228" s="53">
        <f t="shared" si="29"/>
        <v>5000</v>
      </c>
      <c r="R228" s="54">
        <f t="shared" si="30"/>
        <v>750</v>
      </c>
      <c r="S228" s="55" t="str">
        <f t="shared" si="31"/>
        <v xml:space="preserve"> </v>
      </c>
      <c r="T228" s="56"/>
      <c r="U228" s="57" t="str">
        <f t="shared" si="32"/>
        <v>100µg/100cm²</v>
      </c>
      <c r="V228" s="58">
        <f t="shared" si="33"/>
        <v>750</v>
      </c>
      <c r="W228" s="58" t="str">
        <f t="shared" si="34"/>
        <v xml:space="preserve"> </v>
      </c>
      <c r="X228" s="59" t="str">
        <f t="shared" si="35"/>
        <v/>
      </c>
      <c r="Y228" s="60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83" t="s">
        <v>675</v>
      </c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5"/>
    </row>
    <row r="229" spans="1:92" ht="18" hidden="1" customHeight="1" x14ac:dyDescent="0.3">
      <c r="A229" s="84" t="s">
        <v>180</v>
      </c>
      <c r="B229" s="49" t="s">
        <v>181</v>
      </c>
      <c r="C229" s="16" t="s">
        <v>2106</v>
      </c>
      <c r="D229" s="70" t="s">
        <v>1011</v>
      </c>
      <c r="E229" s="50">
        <v>40.299999999999997</v>
      </c>
      <c r="F229" s="50">
        <v>0</v>
      </c>
      <c r="G229" s="61">
        <v>2</v>
      </c>
      <c r="H229" s="16">
        <v>400</v>
      </c>
      <c r="I229" s="49" t="s">
        <v>1016</v>
      </c>
      <c r="J229" s="16" t="s">
        <v>2386</v>
      </c>
      <c r="K229" s="49">
        <v>50</v>
      </c>
      <c r="L229" s="49">
        <v>50</v>
      </c>
      <c r="M229" s="64"/>
      <c r="N229" s="64"/>
      <c r="O229" s="114" t="str">
        <f t="shared" si="36"/>
        <v>YES</v>
      </c>
      <c r="P229" s="52"/>
      <c r="Q229" s="53">
        <f t="shared" si="29"/>
        <v>5000</v>
      </c>
      <c r="R229" s="54">
        <f t="shared" si="30"/>
        <v>2015</v>
      </c>
      <c r="S229" s="55" t="str">
        <f t="shared" si="31"/>
        <v xml:space="preserve"> </v>
      </c>
      <c r="T229" s="56"/>
      <c r="U229" s="57" t="str">
        <f t="shared" si="32"/>
        <v>100µg/100cm²</v>
      </c>
      <c r="V229" s="58">
        <f t="shared" si="33"/>
        <v>2015</v>
      </c>
      <c r="W229" s="58" t="str">
        <f t="shared" si="34"/>
        <v xml:space="preserve"> </v>
      </c>
      <c r="X229" s="59" t="str">
        <f t="shared" si="35"/>
        <v/>
      </c>
      <c r="Y229" s="60"/>
      <c r="Z229" s="64"/>
      <c r="AA229" s="64"/>
      <c r="AB229" s="64"/>
      <c r="AC229" s="64"/>
      <c r="AD229" s="16" t="s">
        <v>675</v>
      </c>
      <c r="AE229" s="16" t="s">
        <v>675</v>
      </c>
      <c r="AF229" s="16" t="s">
        <v>675</v>
      </c>
      <c r="AG229" s="64"/>
      <c r="AH229" s="64"/>
      <c r="AI229" s="64"/>
      <c r="AJ229" s="64"/>
      <c r="AK229" s="64"/>
      <c r="AL229" s="64"/>
      <c r="AM229" s="16" t="s">
        <v>675</v>
      </c>
      <c r="AN229" s="64"/>
      <c r="AO229" s="64"/>
      <c r="AP229" s="64"/>
      <c r="AQ229" s="64"/>
      <c r="AR229" s="64"/>
      <c r="AS229" s="16" t="s">
        <v>675</v>
      </c>
      <c r="AT229" s="16" t="s">
        <v>675</v>
      </c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16" t="s">
        <v>675</v>
      </c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16" t="s">
        <v>675</v>
      </c>
      <c r="BT229" s="65"/>
    </row>
    <row r="230" spans="1:92" ht="18" hidden="1" customHeight="1" x14ac:dyDescent="0.3">
      <c r="A230" s="47" t="s">
        <v>92</v>
      </c>
      <c r="B230" s="48" t="s">
        <v>93</v>
      </c>
      <c r="C230" s="16" t="s">
        <v>2107</v>
      </c>
      <c r="D230" s="49" t="s">
        <v>1028</v>
      </c>
      <c r="E230" s="50">
        <v>52.1</v>
      </c>
      <c r="F230" s="50">
        <v>0</v>
      </c>
      <c r="G230" s="61">
        <v>1</v>
      </c>
      <c r="H230" s="16" t="s">
        <v>1023</v>
      </c>
      <c r="I230" s="48" t="s">
        <v>1012</v>
      </c>
      <c r="J230" s="16" t="s">
        <v>1029</v>
      </c>
      <c r="K230" s="49">
        <v>5560</v>
      </c>
      <c r="L230" s="49">
        <v>50000</v>
      </c>
      <c r="M230" s="62" t="s">
        <v>1030</v>
      </c>
      <c r="N230" s="51"/>
      <c r="O230" s="49" t="str">
        <f t="shared" si="36"/>
        <v>YES</v>
      </c>
      <c r="P230" s="52"/>
      <c r="Q230" s="53">
        <f t="shared" si="29"/>
        <v>5000</v>
      </c>
      <c r="R230" s="54">
        <f t="shared" si="30"/>
        <v>2605</v>
      </c>
      <c r="S230" s="55" t="str">
        <f t="shared" si="31"/>
        <v xml:space="preserve"> </v>
      </c>
      <c r="T230" s="56"/>
      <c r="U230" s="57" t="str">
        <f t="shared" si="32"/>
        <v>100µg/100cm²</v>
      </c>
      <c r="V230" s="58">
        <f t="shared" si="33"/>
        <v>2605</v>
      </c>
      <c r="W230" s="58" t="str">
        <f t="shared" si="34"/>
        <v xml:space="preserve"> </v>
      </c>
      <c r="X230" s="59" t="str">
        <f t="shared" si="35"/>
        <v/>
      </c>
      <c r="Y230" s="60"/>
      <c r="Z230" s="16" t="s">
        <v>675</v>
      </c>
      <c r="AA230" s="16" t="s">
        <v>675</v>
      </c>
      <c r="AB230" s="16" t="s">
        <v>675</v>
      </c>
      <c r="AC230" s="16" t="s">
        <v>675</v>
      </c>
      <c r="AD230" s="16" t="s">
        <v>675</v>
      </c>
      <c r="AE230" s="16" t="s">
        <v>675</v>
      </c>
      <c r="AF230" s="16" t="s">
        <v>675</v>
      </c>
      <c r="AG230" s="16" t="s">
        <v>675</v>
      </c>
      <c r="AH230" s="16" t="s">
        <v>675</v>
      </c>
      <c r="AI230" s="64"/>
      <c r="AJ230" s="16" t="s">
        <v>675</v>
      </c>
      <c r="AK230" s="16" t="s">
        <v>675</v>
      </c>
      <c r="AL230" s="16" t="s">
        <v>675</v>
      </c>
      <c r="AM230" s="16" t="s">
        <v>675</v>
      </c>
      <c r="AN230" s="64"/>
      <c r="AO230" s="16" t="s">
        <v>675</v>
      </c>
      <c r="AP230" s="16" t="s">
        <v>675</v>
      </c>
      <c r="AQ230" s="16" t="s">
        <v>675</v>
      </c>
      <c r="AR230" s="16" t="s">
        <v>675</v>
      </c>
      <c r="AS230" s="16" t="s">
        <v>675</v>
      </c>
      <c r="AT230" s="64"/>
      <c r="AU230" s="16" t="s">
        <v>675</v>
      </c>
      <c r="AV230" s="16" t="s">
        <v>675</v>
      </c>
      <c r="AW230" s="16" t="s">
        <v>675</v>
      </c>
      <c r="AX230" s="64"/>
      <c r="AY230" s="64"/>
      <c r="AZ230" s="64"/>
      <c r="BA230" s="16" t="s">
        <v>675</v>
      </c>
      <c r="BB230" s="16" t="s">
        <v>675</v>
      </c>
      <c r="BC230" s="64"/>
      <c r="BD230" s="16" t="s">
        <v>675</v>
      </c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5"/>
    </row>
    <row r="231" spans="1:92" ht="18" hidden="1" customHeight="1" x14ac:dyDescent="0.3">
      <c r="A231" s="66" t="s">
        <v>1734</v>
      </c>
      <c r="B231" s="49" t="s">
        <v>1735</v>
      </c>
      <c r="C231" s="67" t="s">
        <v>2108</v>
      </c>
      <c r="D231" s="16" t="s">
        <v>1417</v>
      </c>
      <c r="E231" s="50">
        <v>76.400000000000006</v>
      </c>
      <c r="F231" s="50">
        <v>0</v>
      </c>
      <c r="G231" s="16">
        <v>1</v>
      </c>
      <c r="H231" s="16" t="s">
        <v>1736</v>
      </c>
      <c r="I231" s="70" t="s">
        <v>1474</v>
      </c>
      <c r="J231" s="16" t="s">
        <v>2386</v>
      </c>
      <c r="K231" s="49">
        <v>50</v>
      </c>
      <c r="L231" s="49">
        <v>50</v>
      </c>
      <c r="M231" s="64"/>
      <c r="N231" s="64"/>
      <c r="O231" s="114" t="str">
        <f t="shared" si="36"/>
        <v>YES</v>
      </c>
      <c r="P231" s="52"/>
      <c r="Q231" s="53">
        <f t="shared" si="29"/>
        <v>5000</v>
      </c>
      <c r="R231" s="54">
        <f t="shared" si="30"/>
        <v>3820</v>
      </c>
      <c r="S231" s="55" t="str">
        <f t="shared" si="31"/>
        <v xml:space="preserve"> </v>
      </c>
      <c r="T231" s="56"/>
      <c r="U231" s="57" t="str">
        <f t="shared" si="32"/>
        <v>100µg/100cm²</v>
      </c>
      <c r="V231" s="58">
        <f t="shared" si="33"/>
        <v>3820</v>
      </c>
      <c r="W231" s="58" t="str">
        <f t="shared" si="34"/>
        <v xml:space="preserve"> </v>
      </c>
      <c r="X231" s="59" t="str">
        <f t="shared" si="35"/>
        <v/>
      </c>
      <c r="Y231" s="60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16" t="s">
        <v>675</v>
      </c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16" t="s">
        <v>675</v>
      </c>
      <c r="BT231" s="65"/>
    </row>
    <row r="232" spans="1:92" ht="18" hidden="1" customHeight="1" x14ac:dyDescent="0.3">
      <c r="A232" s="66" t="s">
        <v>1835</v>
      </c>
      <c r="B232" s="69" t="s">
        <v>629</v>
      </c>
      <c r="C232" s="67" t="s">
        <v>1262</v>
      </c>
      <c r="D232" s="67" t="s">
        <v>1055</v>
      </c>
      <c r="E232" s="50">
        <v>66.5</v>
      </c>
      <c r="F232" s="50">
        <v>0</v>
      </c>
      <c r="G232" s="61">
        <v>3</v>
      </c>
      <c r="H232" s="16" t="s">
        <v>1263</v>
      </c>
      <c r="I232" s="48" t="s">
        <v>1189</v>
      </c>
      <c r="J232" s="16" t="s">
        <v>1264</v>
      </c>
      <c r="K232" s="49">
        <v>20</v>
      </c>
      <c r="L232" s="49">
        <v>150</v>
      </c>
      <c r="M232" s="62" t="s">
        <v>1014</v>
      </c>
      <c r="N232" s="62" t="s">
        <v>1047</v>
      </c>
      <c r="O232" s="63" t="str">
        <f t="shared" si="36"/>
        <v>NO</v>
      </c>
      <c r="P232" s="52"/>
      <c r="Q232" s="53">
        <f t="shared" si="29"/>
        <v>20</v>
      </c>
      <c r="R232" s="54">
        <f t="shared" si="30"/>
        <v>13.3</v>
      </c>
      <c r="S232" s="55" t="str">
        <f t="shared" si="31"/>
        <v xml:space="preserve"> </v>
      </c>
      <c r="T232" s="56"/>
      <c r="U232" s="57" t="str">
        <f t="shared" si="32"/>
        <v>Mitigation</v>
      </c>
      <c r="V232" s="58">
        <f t="shared" si="33"/>
        <v>13.3</v>
      </c>
      <c r="W232" s="58" t="str">
        <f t="shared" si="34"/>
        <v xml:space="preserve"> </v>
      </c>
      <c r="X232" s="59" t="str">
        <f t="shared" si="35"/>
        <v/>
      </c>
      <c r="Y232" s="60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16" t="s">
        <v>675</v>
      </c>
      <c r="AW232" s="16" t="s">
        <v>675</v>
      </c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5"/>
    </row>
    <row r="233" spans="1:92" ht="18" hidden="1" customHeight="1" x14ac:dyDescent="0.3">
      <c r="A233" s="80" t="s">
        <v>1879</v>
      </c>
      <c r="B233" s="76" t="s">
        <v>1880</v>
      </c>
      <c r="C233" s="87" t="s">
        <v>2109</v>
      </c>
      <c r="D233" s="16" t="s">
        <v>1011</v>
      </c>
      <c r="E233" s="50">
        <v>50.79</v>
      </c>
      <c r="F233" s="50">
        <v>0</v>
      </c>
      <c r="G233" s="16">
        <v>1</v>
      </c>
      <c r="H233" s="16" t="s">
        <v>1881</v>
      </c>
      <c r="I233" s="16" t="s">
        <v>1016</v>
      </c>
      <c r="J233" s="17" t="s">
        <v>2386</v>
      </c>
      <c r="K233" s="16">
        <v>50</v>
      </c>
      <c r="L233" s="16">
        <v>50</v>
      </c>
      <c r="M233" s="65"/>
      <c r="N233" s="64"/>
      <c r="O233" s="49" t="str">
        <f t="shared" si="36"/>
        <v>YES</v>
      </c>
      <c r="P233" s="52"/>
      <c r="Q233" s="53">
        <f t="shared" si="29"/>
        <v>5000</v>
      </c>
      <c r="R233" s="54">
        <f t="shared" si="30"/>
        <v>2539.5</v>
      </c>
      <c r="S233" s="55" t="str">
        <f t="shared" si="31"/>
        <v xml:space="preserve"> </v>
      </c>
      <c r="T233" s="56"/>
      <c r="U233" s="57" t="str">
        <f t="shared" si="32"/>
        <v>100µg/100cm²</v>
      </c>
      <c r="V233" s="58">
        <f t="shared" si="33"/>
        <v>2539.5</v>
      </c>
      <c r="W233" s="58" t="str">
        <f t="shared" si="34"/>
        <v xml:space="preserve"> </v>
      </c>
      <c r="X233" s="59" t="str">
        <f t="shared" si="35"/>
        <v/>
      </c>
      <c r="Y233" s="60"/>
      <c r="Z233" s="16" t="s">
        <v>1987</v>
      </c>
      <c r="AA233" s="16" t="s">
        <v>1987</v>
      </c>
      <c r="AB233" s="16" t="s">
        <v>1987</v>
      </c>
      <c r="AC233" s="16" t="s">
        <v>1987</v>
      </c>
      <c r="AD233" s="16" t="s">
        <v>1987</v>
      </c>
      <c r="AE233" s="16" t="s">
        <v>1987</v>
      </c>
      <c r="AF233" s="16" t="s">
        <v>1987</v>
      </c>
      <c r="AG233" s="16" t="s">
        <v>1987</v>
      </c>
      <c r="AH233" s="16" t="s">
        <v>1987</v>
      </c>
      <c r="AI233" s="16" t="s">
        <v>1987</v>
      </c>
      <c r="AJ233" s="16" t="s">
        <v>1987</v>
      </c>
      <c r="AK233" s="16" t="s">
        <v>1987</v>
      </c>
      <c r="AL233" s="16" t="s">
        <v>1987</v>
      </c>
      <c r="AM233" s="16" t="s">
        <v>1987</v>
      </c>
      <c r="AN233" s="16" t="s">
        <v>1987</v>
      </c>
      <c r="AO233" s="16" t="s">
        <v>1987</v>
      </c>
      <c r="AP233" s="16" t="s">
        <v>1987</v>
      </c>
      <c r="AQ233" s="16" t="s">
        <v>1987</v>
      </c>
      <c r="AR233" s="16" t="s">
        <v>1987</v>
      </c>
      <c r="AS233" s="16" t="s">
        <v>1987</v>
      </c>
      <c r="AT233" s="16" t="s">
        <v>1987</v>
      </c>
      <c r="AU233" s="16" t="s">
        <v>1987</v>
      </c>
      <c r="AV233" s="16" t="s">
        <v>1987</v>
      </c>
      <c r="AW233" s="16" t="s">
        <v>1987</v>
      </c>
      <c r="AX233" s="16" t="s">
        <v>1987</v>
      </c>
      <c r="AY233" s="16" t="s">
        <v>1987</v>
      </c>
      <c r="AZ233" s="16" t="s">
        <v>1987</v>
      </c>
      <c r="BA233" s="16" t="s">
        <v>1987</v>
      </c>
      <c r="BB233" s="16" t="s">
        <v>1987</v>
      </c>
      <c r="BC233" s="16" t="s">
        <v>1987</v>
      </c>
      <c r="BD233" s="16" t="s">
        <v>1987</v>
      </c>
      <c r="BE233" s="16" t="s">
        <v>1987</v>
      </c>
      <c r="BF233" s="16" t="s">
        <v>1987</v>
      </c>
      <c r="BG233" s="16" t="s">
        <v>1987</v>
      </c>
      <c r="BH233" s="16" t="s">
        <v>1987</v>
      </c>
      <c r="BI233" s="16" t="s">
        <v>1987</v>
      </c>
      <c r="BJ233" s="16" t="s">
        <v>1987</v>
      </c>
      <c r="BK233" s="16" t="s">
        <v>1987</v>
      </c>
      <c r="BL233" s="16" t="s">
        <v>1987</v>
      </c>
      <c r="BM233" s="16" t="s">
        <v>1987</v>
      </c>
      <c r="BN233" s="16" t="s">
        <v>1987</v>
      </c>
      <c r="BO233" s="16" t="s">
        <v>1987</v>
      </c>
      <c r="BP233" s="16" t="s">
        <v>1987</v>
      </c>
      <c r="BQ233" s="16" t="s">
        <v>1987</v>
      </c>
      <c r="BR233" s="16" t="s">
        <v>1987</v>
      </c>
      <c r="BS233" s="16" t="s">
        <v>1987</v>
      </c>
      <c r="BT233" s="16" t="s">
        <v>1987</v>
      </c>
    </row>
    <row r="234" spans="1:92" ht="18" hidden="1" customHeight="1" x14ac:dyDescent="0.3">
      <c r="A234" s="47" t="s">
        <v>716</v>
      </c>
      <c r="B234" s="48" t="s">
        <v>447</v>
      </c>
      <c r="C234" s="49" t="s">
        <v>1230</v>
      </c>
      <c r="D234" s="49" t="s">
        <v>1028</v>
      </c>
      <c r="E234" s="50">
        <v>39.340000000000003</v>
      </c>
      <c r="F234" s="50">
        <v>0</v>
      </c>
      <c r="G234" s="61">
        <v>1</v>
      </c>
      <c r="H234" s="16" t="s">
        <v>1418</v>
      </c>
      <c r="I234" s="48" t="s">
        <v>1189</v>
      </c>
      <c r="J234" s="16" t="s">
        <v>1231</v>
      </c>
      <c r="K234" s="62">
        <v>1.5</v>
      </c>
      <c r="L234" s="62">
        <v>1.5</v>
      </c>
      <c r="M234" s="62" t="s">
        <v>1036</v>
      </c>
      <c r="N234" s="62" t="s">
        <v>1058</v>
      </c>
      <c r="O234" s="63" t="str">
        <f t="shared" si="36"/>
        <v>NO</v>
      </c>
      <c r="P234" s="52"/>
      <c r="Q234" s="53">
        <f t="shared" si="29"/>
        <v>1.5</v>
      </c>
      <c r="R234" s="54">
        <f t="shared" si="30"/>
        <v>0.5</v>
      </c>
      <c r="S234" s="55" t="str">
        <f t="shared" si="31"/>
        <v xml:space="preserve"> </v>
      </c>
      <c r="T234" s="56"/>
      <c r="U234" s="57" t="str">
        <f t="shared" si="32"/>
        <v>Mitigation</v>
      </c>
      <c r="V234" s="58">
        <f t="shared" si="33"/>
        <v>0.5</v>
      </c>
      <c r="W234" s="58" t="str">
        <f t="shared" si="34"/>
        <v xml:space="preserve"> </v>
      </c>
      <c r="X234" s="59" t="str">
        <f t="shared" si="35"/>
        <v/>
      </c>
      <c r="Y234" s="60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16" t="s">
        <v>675</v>
      </c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5"/>
    </row>
    <row r="235" spans="1:92" ht="18" hidden="1" customHeight="1" x14ac:dyDescent="0.3">
      <c r="A235" s="47" t="s">
        <v>305</v>
      </c>
      <c r="B235" s="49" t="s">
        <v>306</v>
      </c>
      <c r="C235" s="16" t="s">
        <v>2110</v>
      </c>
      <c r="D235" s="49" t="s">
        <v>1028</v>
      </c>
      <c r="E235" s="50">
        <v>38.700000000000003</v>
      </c>
      <c r="F235" s="50">
        <v>0</v>
      </c>
      <c r="G235" s="61">
        <v>1</v>
      </c>
      <c r="H235" s="16" t="s">
        <v>1023</v>
      </c>
      <c r="I235" s="49" t="s">
        <v>1012</v>
      </c>
      <c r="J235" s="16" t="s">
        <v>1031</v>
      </c>
      <c r="K235" s="62">
        <v>690</v>
      </c>
      <c r="L235" s="62">
        <v>6200</v>
      </c>
      <c r="M235" s="62" t="s">
        <v>1030</v>
      </c>
      <c r="N235" s="51"/>
      <c r="O235" s="49" t="str">
        <f t="shared" si="36"/>
        <v>YES</v>
      </c>
      <c r="P235" s="52"/>
      <c r="Q235" s="53">
        <f t="shared" si="29"/>
        <v>5000</v>
      </c>
      <c r="R235" s="54">
        <f t="shared" si="30"/>
        <v>1935</v>
      </c>
      <c r="S235" s="55" t="str">
        <f t="shared" si="31"/>
        <v xml:space="preserve"> </v>
      </c>
      <c r="T235" s="56"/>
      <c r="U235" s="57" t="str">
        <f t="shared" si="32"/>
        <v>100µg/100cm²</v>
      </c>
      <c r="V235" s="58">
        <f t="shared" si="33"/>
        <v>1935</v>
      </c>
      <c r="W235" s="58" t="str">
        <f t="shared" si="34"/>
        <v xml:space="preserve"> </v>
      </c>
      <c r="X235" s="59" t="str">
        <f t="shared" si="35"/>
        <v/>
      </c>
      <c r="Y235" s="60"/>
      <c r="Z235" s="16" t="s">
        <v>675</v>
      </c>
      <c r="AA235" s="16" t="s">
        <v>675</v>
      </c>
      <c r="AB235" s="64"/>
      <c r="AC235" s="64"/>
      <c r="AD235" s="64"/>
      <c r="AE235" s="64"/>
      <c r="AF235" s="64"/>
      <c r="AG235" s="64"/>
      <c r="AH235" s="64"/>
      <c r="AI235" s="64"/>
      <c r="AJ235" s="16" t="s">
        <v>675</v>
      </c>
      <c r="AK235" s="64"/>
      <c r="AL235" s="64"/>
      <c r="AM235" s="16" t="s">
        <v>675</v>
      </c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16" t="s">
        <v>675</v>
      </c>
      <c r="AY235" s="64"/>
      <c r="AZ235" s="64"/>
      <c r="BA235" s="16" t="s">
        <v>675</v>
      </c>
      <c r="BB235" s="16" t="s">
        <v>675</v>
      </c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5"/>
    </row>
    <row r="236" spans="1:92" ht="18" hidden="1" customHeight="1" x14ac:dyDescent="0.3">
      <c r="A236" s="47" t="s">
        <v>1657</v>
      </c>
      <c r="B236" s="48" t="s">
        <v>791</v>
      </c>
      <c r="C236" s="49" t="s">
        <v>2111</v>
      </c>
      <c r="D236" s="16" t="s">
        <v>1795</v>
      </c>
      <c r="E236" s="50">
        <v>54.5</v>
      </c>
      <c r="F236" s="50">
        <v>0</v>
      </c>
      <c r="G236" s="61">
        <v>3</v>
      </c>
      <c r="H236" s="16" t="s">
        <v>1038</v>
      </c>
      <c r="I236" s="70" t="s">
        <v>1474</v>
      </c>
      <c r="J236" s="16" t="s">
        <v>1465</v>
      </c>
      <c r="K236" s="49">
        <v>2.13</v>
      </c>
      <c r="L236" s="49">
        <v>19.2</v>
      </c>
      <c r="M236" s="49" t="s">
        <v>1284</v>
      </c>
      <c r="N236" s="49" t="s">
        <v>2362</v>
      </c>
      <c r="O236" s="63" t="str">
        <f t="shared" si="36"/>
        <v>NO</v>
      </c>
      <c r="P236" s="73"/>
      <c r="Q236" s="53">
        <f t="shared" si="29"/>
        <v>2.13</v>
      </c>
      <c r="R236" s="54">
        <f t="shared" si="30"/>
        <v>1.1000000000000001</v>
      </c>
      <c r="S236" s="55" t="str">
        <f t="shared" si="31"/>
        <v xml:space="preserve"> </v>
      </c>
      <c r="T236" s="56"/>
      <c r="U236" s="57" t="str">
        <f t="shared" si="32"/>
        <v>Mitigation</v>
      </c>
      <c r="V236" s="58">
        <f t="shared" si="33"/>
        <v>1.1000000000000001</v>
      </c>
      <c r="W236" s="58" t="str">
        <f t="shared" si="34"/>
        <v xml:space="preserve"> </v>
      </c>
      <c r="X236" s="59" t="str">
        <f t="shared" si="35"/>
        <v/>
      </c>
      <c r="Y236" s="60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16" t="s">
        <v>675</v>
      </c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5"/>
    </row>
    <row r="237" spans="1:92" ht="18" hidden="1" customHeight="1" x14ac:dyDescent="0.3">
      <c r="A237" s="47" t="s">
        <v>587</v>
      </c>
      <c r="B237" s="48" t="s">
        <v>516</v>
      </c>
      <c r="C237" s="16" t="s">
        <v>2112</v>
      </c>
      <c r="D237" s="49" t="s">
        <v>1094</v>
      </c>
      <c r="E237" s="50">
        <v>41.1</v>
      </c>
      <c r="F237" s="50">
        <v>0</v>
      </c>
      <c r="G237" s="61">
        <v>5</v>
      </c>
      <c r="H237" s="16">
        <v>2</v>
      </c>
      <c r="I237" s="48" t="s">
        <v>1048</v>
      </c>
      <c r="J237" s="16" t="s">
        <v>1095</v>
      </c>
      <c r="K237" s="62">
        <v>2500</v>
      </c>
      <c r="L237" s="62">
        <v>22500</v>
      </c>
      <c r="M237" s="62" t="s">
        <v>1014</v>
      </c>
      <c r="N237" s="51"/>
      <c r="O237" s="49" t="str">
        <f t="shared" si="36"/>
        <v>YES</v>
      </c>
      <c r="P237" s="52"/>
      <c r="Q237" s="53">
        <f t="shared" si="29"/>
        <v>5000</v>
      </c>
      <c r="R237" s="54">
        <f t="shared" si="30"/>
        <v>2055</v>
      </c>
      <c r="S237" s="55" t="str">
        <f t="shared" si="31"/>
        <v xml:space="preserve"> </v>
      </c>
      <c r="T237" s="56"/>
      <c r="U237" s="57" t="str">
        <f t="shared" si="32"/>
        <v>100µg/100cm²</v>
      </c>
      <c r="V237" s="58">
        <f t="shared" si="33"/>
        <v>2055</v>
      </c>
      <c r="W237" s="58" t="str">
        <f t="shared" si="34"/>
        <v xml:space="preserve"> </v>
      </c>
      <c r="X237" s="59" t="str">
        <f t="shared" si="35"/>
        <v/>
      </c>
      <c r="Y237" s="60"/>
      <c r="Z237" s="64"/>
      <c r="AA237" s="16" t="s">
        <v>675</v>
      </c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16" t="s">
        <v>675</v>
      </c>
      <c r="AN237" s="64"/>
      <c r="AO237" s="64"/>
      <c r="AP237" s="64"/>
      <c r="AQ237" s="64"/>
      <c r="AR237" s="16" t="s">
        <v>675</v>
      </c>
      <c r="AS237" s="16" t="s">
        <v>675</v>
      </c>
      <c r="AT237" s="16" t="s">
        <v>675</v>
      </c>
      <c r="AU237" s="64"/>
      <c r="AV237" s="64"/>
      <c r="AW237" s="64"/>
      <c r="AX237" s="64"/>
      <c r="AY237" s="64"/>
      <c r="AZ237" s="64"/>
      <c r="BA237" s="64"/>
      <c r="BB237" s="64"/>
      <c r="BC237" s="16" t="s">
        <v>675</v>
      </c>
      <c r="BD237" s="64"/>
      <c r="BE237" s="16" t="s">
        <v>675</v>
      </c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16" t="s">
        <v>675</v>
      </c>
      <c r="BT237" s="65"/>
    </row>
    <row r="238" spans="1:92" ht="18" hidden="1" customHeight="1" x14ac:dyDescent="0.3">
      <c r="A238" s="47" t="s">
        <v>727</v>
      </c>
      <c r="B238" s="48" t="s">
        <v>728</v>
      </c>
      <c r="C238" s="16" t="s">
        <v>1256</v>
      </c>
      <c r="D238" s="49" t="s">
        <v>1104</v>
      </c>
      <c r="E238" s="50">
        <v>29.4</v>
      </c>
      <c r="F238" s="50">
        <v>0</v>
      </c>
      <c r="G238" s="61">
        <v>7</v>
      </c>
      <c r="H238" s="16" t="s">
        <v>1257</v>
      </c>
      <c r="I238" s="48" t="s">
        <v>1189</v>
      </c>
      <c r="J238" s="16" t="s">
        <v>1258</v>
      </c>
      <c r="K238" s="49">
        <v>33</v>
      </c>
      <c r="L238" s="49">
        <v>293</v>
      </c>
      <c r="M238" s="62" t="s">
        <v>1014</v>
      </c>
      <c r="N238" s="62" t="s">
        <v>1047</v>
      </c>
      <c r="O238" s="63" t="str">
        <f t="shared" si="36"/>
        <v>NO</v>
      </c>
      <c r="P238" s="52"/>
      <c r="Q238" s="53">
        <f t="shared" si="29"/>
        <v>33</v>
      </c>
      <c r="R238" s="54">
        <f t="shared" si="30"/>
        <v>9.6999999999999993</v>
      </c>
      <c r="S238" s="55" t="str">
        <f t="shared" si="31"/>
        <v xml:space="preserve"> </v>
      </c>
      <c r="T238" s="56"/>
      <c r="U238" s="57" t="str">
        <f t="shared" si="32"/>
        <v>Mitigation</v>
      </c>
      <c r="V238" s="58">
        <f t="shared" si="33"/>
        <v>9.6999999999999993</v>
      </c>
      <c r="W238" s="58" t="str">
        <f t="shared" si="34"/>
        <v xml:space="preserve"> </v>
      </c>
      <c r="X238" s="59" t="str">
        <f t="shared" si="35"/>
        <v/>
      </c>
      <c r="Y238" s="60"/>
      <c r="Z238" s="64"/>
      <c r="AA238" s="16" t="s">
        <v>675</v>
      </c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16" t="s">
        <v>675</v>
      </c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</row>
    <row r="239" spans="1:92" s="10" customFormat="1" ht="18" hidden="1" customHeight="1" x14ac:dyDescent="0.3">
      <c r="A239" s="80" t="s">
        <v>1792</v>
      </c>
      <c r="B239" s="16" t="s">
        <v>1764</v>
      </c>
      <c r="C239" s="16" t="s">
        <v>1790</v>
      </c>
      <c r="D239" s="16" t="s">
        <v>1104</v>
      </c>
      <c r="E239" s="50">
        <v>75.5</v>
      </c>
      <c r="F239" s="50">
        <v>0</v>
      </c>
      <c r="G239" s="16">
        <v>7</v>
      </c>
      <c r="H239" s="16" t="s">
        <v>1428</v>
      </c>
      <c r="I239" s="48" t="s">
        <v>1474</v>
      </c>
      <c r="J239" s="16" t="s">
        <v>2382</v>
      </c>
      <c r="K239" s="16">
        <v>50</v>
      </c>
      <c r="L239" s="16">
        <v>50</v>
      </c>
      <c r="M239" s="64"/>
      <c r="N239" s="64"/>
      <c r="O239" s="49" t="str">
        <f t="shared" si="36"/>
        <v>YES</v>
      </c>
      <c r="P239" s="73"/>
      <c r="Q239" s="53">
        <f t="shared" si="29"/>
        <v>5000</v>
      </c>
      <c r="R239" s="54">
        <f t="shared" si="30"/>
        <v>3775</v>
      </c>
      <c r="S239" s="55" t="str">
        <f t="shared" si="31"/>
        <v xml:space="preserve"> </v>
      </c>
      <c r="T239" s="56"/>
      <c r="U239" s="57" t="str">
        <f t="shared" si="32"/>
        <v>100µg/100cm²</v>
      </c>
      <c r="V239" s="58">
        <f t="shared" si="33"/>
        <v>3775</v>
      </c>
      <c r="W239" s="58" t="str">
        <f t="shared" si="34"/>
        <v xml:space="preserve"> </v>
      </c>
      <c r="X239" s="59" t="str">
        <f t="shared" si="35"/>
        <v/>
      </c>
      <c r="Y239" s="60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16" t="s">
        <v>675</v>
      </c>
      <c r="AK239" s="64"/>
      <c r="AL239" s="64"/>
      <c r="AM239" s="16" t="s">
        <v>675</v>
      </c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5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</row>
    <row r="240" spans="1:92" ht="18" hidden="1" customHeight="1" x14ac:dyDescent="0.3">
      <c r="A240" s="47" t="s">
        <v>1689</v>
      </c>
      <c r="B240" s="48" t="s">
        <v>1690</v>
      </c>
      <c r="C240" s="49" t="s">
        <v>1796</v>
      </c>
      <c r="D240" s="16" t="s">
        <v>1104</v>
      </c>
      <c r="E240" s="50">
        <v>80</v>
      </c>
      <c r="F240" s="50">
        <v>0</v>
      </c>
      <c r="G240" s="61">
        <v>7</v>
      </c>
      <c r="H240" s="16" t="s">
        <v>1691</v>
      </c>
      <c r="I240" s="70" t="s">
        <v>1474</v>
      </c>
      <c r="J240" s="16" t="s">
        <v>1692</v>
      </c>
      <c r="K240" s="16">
        <v>1.5</v>
      </c>
      <c r="L240" s="16">
        <v>1.5</v>
      </c>
      <c r="M240" s="49" t="s">
        <v>1036</v>
      </c>
      <c r="N240" s="64"/>
      <c r="O240" s="49" t="str">
        <f t="shared" si="36"/>
        <v>YES</v>
      </c>
      <c r="P240" s="52"/>
      <c r="Q240" s="53">
        <f t="shared" si="29"/>
        <v>273.7</v>
      </c>
      <c r="R240" s="54">
        <f t="shared" si="30"/>
        <v>218.9</v>
      </c>
      <c r="S240" s="55" t="str">
        <f t="shared" si="31"/>
        <v xml:space="preserve"> </v>
      </c>
      <c r="T240" s="56"/>
      <c r="U240" s="57" t="str">
        <f t="shared" si="32"/>
        <v>100µg/100cm²</v>
      </c>
      <c r="V240" s="58">
        <f t="shared" si="33"/>
        <v>218.9</v>
      </c>
      <c r="W240" s="58" t="str">
        <f t="shared" si="34"/>
        <v xml:space="preserve"> </v>
      </c>
      <c r="X240" s="59" t="str">
        <f t="shared" si="35"/>
        <v/>
      </c>
      <c r="Y240" s="60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16" t="s">
        <v>675</v>
      </c>
      <c r="AL240" s="16" t="s">
        <v>675</v>
      </c>
      <c r="AM240" s="16" t="s">
        <v>675</v>
      </c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5"/>
    </row>
    <row r="241" spans="1:72" ht="18" hidden="1" customHeight="1" x14ac:dyDescent="0.3">
      <c r="A241" s="80" t="s">
        <v>1797</v>
      </c>
      <c r="B241" s="48" t="s">
        <v>1747</v>
      </c>
      <c r="C241" s="16" t="s">
        <v>1748</v>
      </c>
      <c r="D241" s="16" t="s">
        <v>1417</v>
      </c>
      <c r="E241" s="50">
        <v>79.3</v>
      </c>
      <c r="F241" s="50">
        <v>0</v>
      </c>
      <c r="G241" s="16">
        <v>4</v>
      </c>
      <c r="H241" s="68" t="s">
        <v>1411</v>
      </c>
      <c r="I241" s="70" t="s">
        <v>1474</v>
      </c>
      <c r="J241" s="16" t="s">
        <v>2019</v>
      </c>
      <c r="K241" s="16" t="s">
        <v>2027</v>
      </c>
      <c r="L241" s="16" t="s">
        <v>2027</v>
      </c>
      <c r="M241" s="64"/>
      <c r="N241" s="64"/>
      <c r="O241" s="16" t="s">
        <v>2027</v>
      </c>
      <c r="P241" s="73"/>
      <c r="Q241" s="53" t="str">
        <f t="shared" si="29"/>
        <v>Pending</v>
      </c>
      <c r="R241" s="54" t="str">
        <f t="shared" si="30"/>
        <v>Pending</v>
      </c>
      <c r="S241" s="55" t="str">
        <f t="shared" si="31"/>
        <v>Pending</v>
      </c>
      <c r="T241" s="56"/>
      <c r="U241" s="57" t="str">
        <f t="shared" si="32"/>
        <v>Pending</v>
      </c>
      <c r="V241" s="58" t="str">
        <f t="shared" si="33"/>
        <v>Pending</v>
      </c>
      <c r="W241" s="57" t="str">
        <f t="shared" si="34"/>
        <v>Pending</v>
      </c>
      <c r="X241" s="59" t="str">
        <f t="shared" si="35"/>
        <v/>
      </c>
      <c r="Y241" s="60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16" t="s">
        <v>675</v>
      </c>
      <c r="AK241" s="64"/>
      <c r="AL241" s="64"/>
      <c r="AM241" s="16" t="s">
        <v>675</v>
      </c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5"/>
    </row>
    <row r="242" spans="1:72" ht="17.7" customHeight="1" x14ac:dyDescent="0.3">
      <c r="A242" s="66" t="s">
        <v>775</v>
      </c>
      <c r="B242" s="69" t="s">
        <v>496</v>
      </c>
      <c r="C242" s="67" t="s">
        <v>1421</v>
      </c>
      <c r="D242" s="67" t="s">
        <v>1114</v>
      </c>
      <c r="E242" s="50">
        <v>29.5</v>
      </c>
      <c r="F242" s="50">
        <v>0</v>
      </c>
      <c r="G242" s="61">
        <v>1</v>
      </c>
      <c r="H242" s="16" t="s">
        <v>1261</v>
      </c>
      <c r="I242" s="48" t="s">
        <v>1016</v>
      </c>
      <c r="J242" s="16" t="s">
        <v>2386</v>
      </c>
      <c r="K242" s="49">
        <v>50</v>
      </c>
      <c r="L242" s="49">
        <v>50</v>
      </c>
      <c r="M242" s="64"/>
      <c r="N242" s="64"/>
      <c r="O242" s="49" t="str">
        <f t="shared" ref="O242:O261" si="37">IF(AND(ISBLANK(K242),ISBLANK(N242))," ",IF(ISBLANK(N242),"YES","NO"))</f>
        <v>YES</v>
      </c>
      <c r="P242" s="52"/>
      <c r="Q242" s="53">
        <f t="shared" si="29"/>
        <v>5000</v>
      </c>
      <c r="R242" s="54">
        <f t="shared" si="30"/>
        <v>1475</v>
      </c>
      <c r="S242" s="55" t="str">
        <f t="shared" si="31"/>
        <v xml:space="preserve"> </v>
      </c>
      <c r="T242" s="56"/>
      <c r="U242" s="57" t="str">
        <f t="shared" si="32"/>
        <v>100µg/100cm²</v>
      </c>
      <c r="V242" s="58">
        <f t="shared" si="33"/>
        <v>1475</v>
      </c>
      <c r="W242" s="58" t="str">
        <f t="shared" si="34"/>
        <v xml:space="preserve"> </v>
      </c>
      <c r="X242" s="59" t="str">
        <f t="shared" si="35"/>
        <v/>
      </c>
      <c r="Y242" s="60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16" t="s">
        <v>675</v>
      </c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5"/>
    </row>
    <row r="243" spans="1:72" ht="18" customHeight="1" x14ac:dyDescent="0.3">
      <c r="A243" s="47" t="s">
        <v>351</v>
      </c>
      <c r="B243" s="49" t="s">
        <v>352</v>
      </c>
      <c r="C243" s="49" t="s">
        <v>1145</v>
      </c>
      <c r="D243" s="49" t="s">
        <v>1114</v>
      </c>
      <c r="E243" s="50">
        <v>0</v>
      </c>
      <c r="F243" s="50">
        <v>0</v>
      </c>
      <c r="G243" s="61">
        <v>2</v>
      </c>
      <c r="H243" s="16">
        <v>920</v>
      </c>
      <c r="I243" s="49" t="s">
        <v>1016</v>
      </c>
      <c r="J243" s="16" t="s">
        <v>1146</v>
      </c>
      <c r="K243" s="49">
        <v>332</v>
      </c>
      <c r="L243" s="49">
        <v>2988</v>
      </c>
      <c r="M243" s="101" t="s">
        <v>1014</v>
      </c>
      <c r="N243" s="189" t="s">
        <v>2359</v>
      </c>
      <c r="O243" s="63" t="str">
        <f t="shared" si="37"/>
        <v>NO</v>
      </c>
      <c r="P243" s="52"/>
      <c r="Q243" s="53">
        <f t="shared" si="29"/>
        <v>332</v>
      </c>
      <c r="R243" s="54" t="str">
        <f t="shared" si="30"/>
        <v xml:space="preserve"> </v>
      </c>
      <c r="S243" s="55" t="str">
        <f t="shared" si="31"/>
        <v xml:space="preserve"> </v>
      </c>
      <c r="T243" s="56"/>
      <c r="U243" s="57" t="str">
        <f t="shared" si="32"/>
        <v xml:space="preserve"> </v>
      </c>
      <c r="V243" s="58" t="str">
        <f t="shared" si="33"/>
        <v xml:space="preserve"> </v>
      </c>
      <c r="W243" s="58" t="str">
        <f t="shared" si="34"/>
        <v xml:space="preserve"> </v>
      </c>
      <c r="X243" s="59" t="str">
        <f t="shared" si="35"/>
        <v>Mitigation</v>
      </c>
      <c r="Y243" s="60"/>
      <c r="Z243" s="64"/>
      <c r="AA243" s="16" t="s">
        <v>675</v>
      </c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16" t="s">
        <v>675</v>
      </c>
      <c r="AN243" s="64"/>
      <c r="AO243" s="64"/>
      <c r="AP243" s="64"/>
      <c r="AQ243" s="16" t="s">
        <v>675</v>
      </c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5"/>
    </row>
    <row r="244" spans="1:72" ht="18" customHeight="1" x14ac:dyDescent="0.3">
      <c r="A244" s="47" t="s">
        <v>147</v>
      </c>
      <c r="B244" s="48" t="s">
        <v>141</v>
      </c>
      <c r="C244" s="49" t="s">
        <v>1147</v>
      </c>
      <c r="D244" s="49" t="s">
        <v>1114</v>
      </c>
      <c r="E244" s="50">
        <v>0</v>
      </c>
      <c r="F244" s="50">
        <v>0</v>
      </c>
      <c r="G244" s="61">
        <v>2</v>
      </c>
      <c r="H244" s="16">
        <v>920</v>
      </c>
      <c r="I244" s="48" t="s">
        <v>1016</v>
      </c>
      <c r="J244" s="16" t="s">
        <v>1148</v>
      </c>
      <c r="K244" s="49">
        <v>554</v>
      </c>
      <c r="L244" s="49">
        <v>4986</v>
      </c>
      <c r="M244" s="101" t="s">
        <v>1014</v>
      </c>
      <c r="N244" s="189" t="s">
        <v>2359</v>
      </c>
      <c r="O244" s="63" t="str">
        <f t="shared" si="37"/>
        <v>NO</v>
      </c>
      <c r="P244" s="52"/>
      <c r="Q244" s="53">
        <f t="shared" si="29"/>
        <v>554</v>
      </c>
      <c r="R244" s="54" t="str">
        <f t="shared" si="30"/>
        <v xml:space="preserve"> </v>
      </c>
      <c r="S244" s="55" t="str">
        <f t="shared" si="31"/>
        <v xml:space="preserve"> </v>
      </c>
      <c r="T244" s="56"/>
      <c r="U244" s="57" t="str">
        <f t="shared" si="32"/>
        <v xml:space="preserve"> </v>
      </c>
      <c r="V244" s="58" t="str">
        <f t="shared" si="33"/>
        <v xml:space="preserve"> </v>
      </c>
      <c r="W244" s="58" t="str">
        <f t="shared" si="34"/>
        <v xml:space="preserve"> </v>
      </c>
      <c r="X244" s="59" t="str">
        <f t="shared" si="35"/>
        <v>Mitigation</v>
      </c>
      <c r="Y244" s="60"/>
      <c r="Z244" s="16" t="s">
        <v>675</v>
      </c>
      <c r="AA244" s="16" t="s">
        <v>675</v>
      </c>
      <c r="AB244" s="64"/>
      <c r="AC244" s="16" t="s">
        <v>675</v>
      </c>
      <c r="AD244" s="16" t="s">
        <v>675</v>
      </c>
      <c r="AE244" s="64"/>
      <c r="AF244" s="64"/>
      <c r="AG244" s="64"/>
      <c r="AH244" s="64"/>
      <c r="AI244" s="64"/>
      <c r="AJ244" s="64"/>
      <c r="AK244" s="64"/>
      <c r="AL244" s="64"/>
      <c r="AM244" s="16" t="s">
        <v>675</v>
      </c>
      <c r="AN244" s="64"/>
      <c r="AO244" s="64"/>
      <c r="AP244" s="64"/>
      <c r="AQ244" s="64"/>
      <c r="AR244" s="16" t="s">
        <v>675</v>
      </c>
      <c r="AS244" s="16" t="s">
        <v>675</v>
      </c>
      <c r="AT244" s="64"/>
      <c r="AU244" s="64"/>
      <c r="AV244" s="64"/>
      <c r="AW244" s="64"/>
      <c r="AX244" s="64"/>
      <c r="AY244" s="64"/>
      <c r="AZ244" s="64"/>
      <c r="BA244" s="16" t="s">
        <v>675</v>
      </c>
      <c r="BB244" s="16" t="s">
        <v>675</v>
      </c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5"/>
    </row>
    <row r="245" spans="1:72" ht="18" hidden="1" customHeight="1" x14ac:dyDescent="0.3">
      <c r="A245" s="47" t="s">
        <v>589</v>
      </c>
      <c r="B245" s="48" t="s">
        <v>590</v>
      </c>
      <c r="C245" s="49" t="s">
        <v>1123</v>
      </c>
      <c r="D245" s="49" t="s">
        <v>1114</v>
      </c>
      <c r="E245" s="50">
        <v>29.39</v>
      </c>
      <c r="F245" s="50">
        <v>0</v>
      </c>
      <c r="G245" s="61">
        <v>5</v>
      </c>
      <c r="H245" s="16">
        <v>5</v>
      </c>
      <c r="I245" s="48" t="s">
        <v>1016</v>
      </c>
      <c r="J245" s="16" t="s">
        <v>1124</v>
      </c>
      <c r="K245" s="49">
        <v>11900</v>
      </c>
      <c r="L245" s="49">
        <v>107000</v>
      </c>
      <c r="M245" s="62" t="s">
        <v>1014</v>
      </c>
      <c r="N245" s="51"/>
      <c r="O245" s="49" t="str">
        <f t="shared" si="37"/>
        <v>YES</v>
      </c>
      <c r="P245" s="52"/>
      <c r="Q245" s="53">
        <f t="shared" si="29"/>
        <v>5000</v>
      </c>
      <c r="R245" s="54">
        <f t="shared" si="30"/>
        <v>1469.5</v>
      </c>
      <c r="S245" s="55" t="str">
        <f t="shared" si="31"/>
        <v xml:space="preserve"> </v>
      </c>
      <c r="T245" s="56"/>
      <c r="U245" s="57" t="str">
        <f t="shared" si="32"/>
        <v>100µg/100cm²</v>
      </c>
      <c r="V245" s="58">
        <f t="shared" si="33"/>
        <v>1469.5</v>
      </c>
      <c r="W245" s="58" t="str">
        <f t="shared" si="34"/>
        <v xml:space="preserve"> </v>
      </c>
      <c r="X245" s="59" t="str">
        <f t="shared" si="35"/>
        <v/>
      </c>
      <c r="Y245" s="60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16" t="s">
        <v>675</v>
      </c>
      <c r="AV245" s="64"/>
      <c r="AW245" s="16" t="s">
        <v>675</v>
      </c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5"/>
    </row>
    <row r="246" spans="1:72" ht="18" customHeight="1" x14ac:dyDescent="0.3">
      <c r="A246" s="47" t="s">
        <v>625</v>
      </c>
      <c r="B246" s="48" t="s">
        <v>489</v>
      </c>
      <c r="C246" s="49" t="s">
        <v>1125</v>
      </c>
      <c r="D246" s="49" t="s">
        <v>1114</v>
      </c>
      <c r="E246" s="50">
        <v>0</v>
      </c>
      <c r="F246" s="50">
        <v>0</v>
      </c>
      <c r="G246" s="61">
        <v>2</v>
      </c>
      <c r="H246" s="16" t="s">
        <v>1126</v>
      </c>
      <c r="I246" s="48" t="s">
        <v>1016</v>
      </c>
      <c r="J246" s="16" t="s">
        <v>1127</v>
      </c>
      <c r="K246" s="49">
        <v>1.5</v>
      </c>
      <c r="L246" s="49">
        <v>1.5</v>
      </c>
      <c r="M246" s="62" t="s">
        <v>1036</v>
      </c>
      <c r="N246" s="51"/>
      <c r="O246" s="49" t="str">
        <f t="shared" si="37"/>
        <v>YES</v>
      </c>
      <c r="P246" s="52"/>
      <c r="Q246" s="53">
        <f t="shared" si="29"/>
        <v>273.7</v>
      </c>
      <c r="R246" s="54" t="str">
        <f t="shared" si="30"/>
        <v xml:space="preserve"> </v>
      </c>
      <c r="S246" s="55" t="str">
        <f t="shared" si="31"/>
        <v xml:space="preserve"> </v>
      </c>
      <c r="T246" s="56"/>
      <c r="U246" s="57" t="str">
        <f t="shared" si="32"/>
        <v xml:space="preserve"> </v>
      </c>
      <c r="V246" s="58" t="str">
        <f t="shared" si="33"/>
        <v xml:space="preserve"> </v>
      </c>
      <c r="W246" s="58" t="str">
        <f t="shared" si="34"/>
        <v xml:space="preserve"> </v>
      </c>
      <c r="X246" s="59" t="str">
        <f t="shared" si="35"/>
        <v>Mitigation</v>
      </c>
      <c r="Y246" s="60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16" t="s">
        <v>675</v>
      </c>
      <c r="AT246" s="64"/>
      <c r="AU246" s="16" t="s">
        <v>675</v>
      </c>
      <c r="AV246" s="64"/>
      <c r="AW246" s="16" t="s">
        <v>675</v>
      </c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5"/>
    </row>
    <row r="247" spans="1:72" ht="18" customHeight="1" x14ac:dyDescent="0.3">
      <c r="A247" s="47" t="s">
        <v>175</v>
      </c>
      <c r="B247" s="48" t="s">
        <v>176</v>
      </c>
      <c r="C247" s="49" t="s">
        <v>1128</v>
      </c>
      <c r="D247" s="49" t="s">
        <v>1114</v>
      </c>
      <c r="E247" s="50">
        <v>0</v>
      </c>
      <c r="F247" s="50">
        <v>0</v>
      </c>
      <c r="G247" s="61">
        <v>2</v>
      </c>
      <c r="H247" s="16" t="s">
        <v>1126</v>
      </c>
      <c r="I247" s="48" t="s">
        <v>1016</v>
      </c>
      <c r="J247" s="16" t="s">
        <v>1129</v>
      </c>
      <c r="K247" s="49">
        <v>1.5</v>
      </c>
      <c r="L247" s="49">
        <v>1.5</v>
      </c>
      <c r="M247" s="62" t="s">
        <v>1036</v>
      </c>
      <c r="N247" s="51"/>
      <c r="O247" s="49" t="str">
        <f t="shared" si="37"/>
        <v>YES</v>
      </c>
      <c r="P247" s="52"/>
      <c r="Q247" s="53">
        <f t="shared" si="29"/>
        <v>273.7</v>
      </c>
      <c r="R247" s="54" t="str">
        <f t="shared" si="30"/>
        <v xml:space="preserve"> </v>
      </c>
      <c r="S247" s="55" t="str">
        <f t="shared" si="31"/>
        <v xml:space="preserve"> </v>
      </c>
      <c r="T247" s="56"/>
      <c r="U247" s="57" t="str">
        <f t="shared" si="32"/>
        <v xml:space="preserve"> </v>
      </c>
      <c r="V247" s="58" t="str">
        <f t="shared" si="33"/>
        <v xml:space="preserve"> </v>
      </c>
      <c r="W247" s="58" t="str">
        <f t="shared" si="34"/>
        <v xml:space="preserve"> </v>
      </c>
      <c r="X247" s="59" t="str">
        <f t="shared" si="35"/>
        <v>Mitigation</v>
      </c>
      <c r="Y247" s="60"/>
      <c r="Z247" s="64"/>
      <c r="AA247" s="64"/>
      <c r="AB247" s="64"/>
      <c r="AC247" s="64"/>
      <c r="AD247" s="64"/>
      <c r="AE247" s="16" t="s">
        <v>675</v>
      </c>
      <c r="AF247" s="16" t="s">
        <v>675</v>
      </c>
      <c r="AG247" s="64"/>
      <c r="AH247" s="16" t="s">
        <v>675</v>
      </c>
      <c r="AI247" s="64"/>
      <c r="AJ247" s="64"/>
      <c r="AK247" s="16" t="s">
        <v>675</v>
      </c>
      <c r="AL247" s="16" t="s">
        <v>675</v>
      </c>
      <c r="AM247" s="16" t="s">
        <v>675</v>
      </c>
      <c r="AN247" s="16" t="s">
        <v>675</v>
      </c>
      <c r="AO247" s="64"/>
      <c r="AP247" s="16" t="s">
        <v>675</v>
      </c>
      <c r="AQ247" s="64"/>
      <c r="AR247" s="64"/>
      <c r="AS247" s="16" t="s">
        <v>675</v>
      </c>
      <c r="AT247" s="16" t="s">
        <v>675</v>
      </c>
      <c r="AU247" s="64"/>
      <c r="AV247" s="64"/>
      <c r="AW247" s="64"/>
      <c r="AX247" s="16" t="s">
        <v>675</v>
      </c>
      <c r="AY247" s="64"/>
      <c r="AZ247" s="64"/>
      <c r="BA247" s="64"/>
      <c r="BB247" s="64"/>
      <c r="BC247" s="64"/>
      <c r="BD247" s="64"/>
      <c r="BE247" s="64"/>
      <c r="BF247" s="64"/>
      <c r="BG247" s="16" t="s">
        <v>675</v>
      </c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16" t="s">
        <v>675</v>
      </c>
      <c r="BT247" s="65"/>
    </row>
    <row r="248" spans="1:72" ht="18" customHeight="1" x14ac:dyDescent="0.3">
      <c r="A248" s="47" t="s">
        <v>2267</v>
      </c>
      <c r="B248" s="49" t="s">
        <v>2268</v>
      </c>
      <c r="C248" s="49" t="s">
        <v>2333</v>
      </c>
      <c r="D248" s="49" t="s">
        <v>1114</v>
      </c>
      <c r="E248" s="50">
        <v>0</v>
      </c>
      <c r="F248" s="50">
        <v>0</v>
      </c>
      <c r="G248" s="16">
        <v>3</v>
      </c>
      <c r="H248" s="16" t="s">
        <v>1038</v>
      </c>
      <c r="I248" s="48" t="s">
        <v>1016</v>
      </c>
      <c r="J248" s="16" t="s">
        <v>2269</v>
      </c>
      <c r="K248" s="49">
        <v>38.5</v>
      </c>
      <c r="L248" s="49">
        <v>347</v>
      </c>
      <c r="M248" s="49" t="s">
        <v>1021</v>
      </c>
      <c r="N248" s="51"/>
      <c r="O248" s="49" t="str">
        <f t="shared" si="37"/>
        <v>YES</v>
      </c>
      <c r="P248" s="73"/>
      <c r="Q248" s="53">
        <f t="shared" si="29"/>
        <v>5000</v>
      </c>
      <c r="R248" s="54" t="str">
        <f t="shared" si="30"/>
        <v xml:space="preserve"> </v>
      </c>
      <c r="S248" s="55" t="str">
        <f t="shared" si="31"/>
        <v xml:space="preserve"> </v>
      </c>
      <c r="T248" s="105"/>
      <c r="U248" s="57" t="str">
        <f t="shared" si="32"/>
        <v xml:space="preserve"> </v>
      </c>
      <c r="V248" s="58" t="str">
        <f t="shared" si="33"/>
        <v xml:space="preserve"> </v>
      </c>
      <c r="W248" s="57" t="str">
        <f t="shared" si="34"/>
        <v xml:space="preserve"> </v>
      </c>
      <c r="X248" s="59" t="str">
        <f t="shared" si="35"/>
        <v>Water criteria (conductivity)</v>
      </c>
      <c r="Y248" s="106"/>
      <c r="Z248" s="16" t="s">
        <v>1987</v>
      </c>
      <c r="AA248" s="16" t="s">
        <v>1987</v>
      </c>
      <c r="AB248" s="16" t="s">
        <v>1987</v>
      </c>
      <c r="AC248" s="16" t="s">
        <v>1987</v>
      </c>
      <c r="AD248" s="16" t="s">
        <v>1987</v>
      </c>
      <c r="AE248" s="16" t="s">
        <v>1987</v>
      </c>
      <c r="AF248" s="16" t="s">
        <v>1987</v>
      </c>
      <c r="AG248" s="16" t="s">
        <v>1987</v>
      </c>
      <c r="AH248" s="16" t="s">
        <v>1987</v>
      </c>
      <c r="AI248" s="16" t="s">
        <v>1987</v>
      </c>
      <c r="AJ248" s="16" t="s">
        <v>1987</v>
      </c>
      <c r="AK248" s="16" t="s">
        <v>1987</v>
      </c>
      <c r="AL248" s="16" t="s">
        <v>1987</v>
      </c>
      <c r="AM248" s="16" t="s">
        <v>1987</v>
      </c>
      <c r="AN248" s="16" t="s">
        <v>1987</v>
      </c>
      <c r="AO248" s="16" t="s">
        <v>1987</v>
      </c>
      <c r="AP248" s="16" t="s">
        <v>1987</v>
      </c>
      <c r="AQ248" s="16" t="s">
        <v>1987</v>
      </c>
      <c r="AR248" s="16" t="s">
        <v>1987</v>
      </c>
      <c r="AS248" s="16" t="s">
        <v>1987</v>
      </c>
      <c r="AT248" s="16" t="s">
        <v>1987</v>
      </c>
      <c r="AU248" s="16" t="s">
        <v>1987</v>
      </c>
      <c r="AV248" s="16" t="s">
        <v>1987</v>
      </c>
      <c r="AW248" s="16" t="s">
        <v>1987</v>
      </c>
      <c r="AX248" s="16" t="s">
        <v>1987</v>
      </c>
      <c r="AY248" s="16" t="s">
        <v>1987</v>
      </c>
      <c r="AZ248" s="16" t="s">
        <v>1987</v>
      </c>
      <c r="BA248" s="16" t="s">
        <v>1987</v>
      </c>
      <c r="BB248" s="16" t="s">
        <v>1987</v>
      </c>
      <c r="BC248" s="16" t="s">
        <v>1987</v>
      </c>
      <c r="BD248" s="16" t="s">
        <v>1987</v>
      </c>
      <c r="BE248" s="16" t="s">
        <v>1987</v>
      </c>
      <c r="BF248" s="16" t="s">
        <v>1987</v>
      </c>
      <c r="BG248" s="16" t="s">
        <v>1987</v>
      </c>
      <c r="BH248" s="16" t="s">
        <v>1987</v>
      </c>
      <c r="BI248" s="16" t="s">
        <v>1987</v>
      </c>
      <c r="BJ248" s="16" t="s">
        <v>1987</v>
      </c>
      <c r="BK248" s="16" t="s">
        <v>1987</v>
      </c>
      <c r="BL248" s="16" t="s">
        <v>1987</v>
      </c>
      <c r="BM248" s="16" t="s">
        <v>1987</v>
      </c>
      <c r="BN248" s="16" t="s">
        <v>1987</v>
      </c>
      <c r="BO248" s="16" t="s">
        <v>1987</v>
      </c>
      <c r="BP248" s="16" t="s">
        <v>1987</v>
      </c>
      <c r="BQ248" s="16" t="s">
        <v>1987</v>
      </c>
      <c r="BR248" s="16" t="s">
        <v>1987</v>
      </c>
      <c r="BS248" s="16" t="s">
        <v>1987</v>
      </c>
      <c r="BT248" s="16" t="s">
        <v>1987</v>
      </c>
    </row>
    <row r="249" spans="1:72" ht="18" customHeight="1" x14ac:dyDescent="0.3">
      <c r="A249" s="47" t="s">
        <v>311</v>
      </c>
      <c r="B249" s="48" t="s">
        <v>312</v>
      </c>
      <c r="C249" s="49" t="s">
        <v>1149</v>
      </c>
      <c r="D249" s="49" t="s">
        <v>1114</v>
      </c>
      <c r="E249" s="50">
        <v>0</v>
      </c>
      <c r="F249" s="50">
        <v>0</v>
      </c>
      <c r="G249" s="61">
        <v>2</v>
      </c>
      <c r="H249" s="16">
        <v>400</v>
      </c>
      <c r="I249" s="48" t="s">
        <v>1016</v>
      </c>
      <c r="J249" s="16" t="s">
        <v>1150</v>
      </c>
      <c r="K249" s="49">
        <v>1.5</v>
      </c>
      <c r="L249" s="49">
        <v>1.5</v>
      </c>
      <c r="M249" s="62" t="s">
        <v>1036</v>
      </c>
      <c r="N249" s="51"/>
      <c r="O249" s="49" t="str">
        <f t="shared" si="37"/>
        <v>YES</v>
      </c>
      <c r="P249" s="52"/>
      <c r="Q249" s="53">
        <f t="shared" si="29"/>
        <v>273.7</v>
      </c>
      <c r="R249" s="54" t="str">
        <f t="shared" si="30"/>
        <v xml:space="preserve"> </v>
      </c>
      <c r="S249" s="55" t="str">
        <f t="shared" si="31"/>
        <v xml:space="preserve"> </v>
      </c>
      <c r="T249" s="56"/>
      <c r="U249" s="57" t="str">
        <f t="shared" si="32"/>
        <v xml:space="preserve"> </v>
      </c>
      <c r="V249" s="58" t="str">
        <f t="shared" si="33"/>
        <v xml:space="preserve"> </v>
      </c>
      <c r="W249" s="58" t="str">
        <f t="shared" si="34"/>
        <v xml:space="preserve"> </v>
      </c>
      <c r="X249" s="59" t="str">
        <f t="shared" si="35"/>
        <v>Mitigation</v>
      </c>
      <c r="Y249" s="60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16" t="s">
        <v>675</v>
      </c>
      <c r="AK249" s="64"/>
      <c r="AL249" s="64"/>
      <c r="AM249" s="16" t="s">
        <v>675</v>
      </c>
      <c r="AN249" s="64"/>
      <c r="AO249" s="64"/>
      <c r="AP249" s="64"/>
      <c r="AQ249" s="16" t="s">
        <v>675</v>
      </c>
      <c r="AR249" s="64"/>
      <c r="AS249" s="16" t="s">
        <v>675</v>
      </c>
      <c r="AT249" s="64"/>
      <c r="AU249" s="16" t="s">
        <v>675</v>
      </c>
      <c r="AV249" s="64"/>
      <c r="AW249" s="16" t="s">
        <v>675</v>
      </c>
      <c r="AX249" s="64"/>
      <c r="AY249" s="64"/>
      <c r="AZ249" s="64"/>
      <c r="BA249" s="16" t="s">
        <v>675</v>
      </c>
      <c r="BB249" s="16" t="s">
        <v>675</v>
      </c>
      <c r="BC249" s="64"/>
      <c r="BD249" s="64"/>
      <c r="BE249" s="16" t="s">
        <v>675</v>
      </c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16" t="s">
        <v>675</v>
      </c>
      <c r="BT249" s="65"/>
    </row>
    <row r="250" spans="1:72" ht="18" hidden="1" customHeight="1" x14ac:dyDescent="0.3">
      <c r="A250" s="81" t="s">
        <v>330</v>
      </c>
      <c r="B250" s="76" t="s">
        <v>459</v>
      </c>
      <c r="C250" s="87" t="s">
        <v>1503</v>
      </c>
      <c r="D250" s="16" t="s">
        <v>1494</v>
      </c>
      <c r="E250" s="50">
        <v>50</v>
      </c>
      <c r="F250" s="50">
        <v>0</v>
      </c>
      <c r="G250" s="16">
        <v>1</v>
      </c>
      <c r="H250" s="16" t="s">
        <v>1023</v>
      </c>
      <c r="I250" s="16" t="s">
        <v>1016</v>
      </c>
      <c r="J250" s="16" t="s">
        <v>2382</v>
      </c>
      <c r="K250" s="16">
        <v>50</v>
      </c>
      <c r="L250" s="16">
        <v>50</v>
      </c>
      <c r="M250" s="64"/>
      <c r="N250" s="64"/>
      <c r="O250" s="49" t="str">
        <f t="shared" si="37"/>
        <v>YES</v>
      </c>
      <c r="P250" s="52"/>
      <c r="Q250" s="53">
        <f t="shared" si="29"/>
        <v>5000</v>
      </c>
      <c r="R250" s="54">
        <f t="shared" si="30"/>
        <v>2500</v>
      </c>
      <c r="S250" s="55" t="str">
        <f t="shared" si="31"/>
        <v xml:space="preserve"> </v>
      </c>
      <c r="T250" s="56"/>
      <c r="U250" s="57" t="str">
        <f t="shared" si="32"/>
        <v>100µg/100cm²</v>
      </c>
      <c r="V250" s="58">
        <f t="shared" si="33"/>
        <v>2500</v>
      </c>
      <c r="W250" s="58" t="str">
        <f t="shared" si="34"/>
        <v xml:space="preserve"> </v>
      </c>
      <c r="X250" s="59" t="str">
        <f t="shared" si="35"/>
        <v/>
      </c>
      <c r="Y250" s="60"/>
      <c r="Z250" s="64"/>
      <c r="AA250" s="64"/>
      <c r="AB250" s="16" t="s">
        <v>675</v>
      </c>
      <c r="AC250" s="64"/>
      <c r="AD250" s="64"/>
      <c r="AE250" s="64"/>
      <c r="AF250" s="64"/>
      <c r="AG250" s="64"/>
      <c r="AH250" s="64"/>
      <c r="AI250" s="64"/>
      <c r="AJ250" s="64"/>
      <c r="AK250" s="16" t="s">
        <v>675</v>
      </c>
      <c r="AL250" s="16" t="s">
        <v>675</v>
      </c>
      <c r="AM250" s="16" t="s">
        <v>675</v>
      </c>
      <c r="AN250" s="64"/>
      <c r="AO250" s="64"/>
      <c r="AP250" s="64"/>
      <c r="AQ250" s="64"/>
      <c r="AR250" s="64"/>
      <c r="AS250" s="16" t="s">
        <v>675</v>
      </c>
      <c r="AT250" s="64"/>
      <c r="AU250" s="82"/>
      <c r="AV250" s="82"/>
      <c r="AW250" s="82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5"/>
    </row>
    <row r="251" spans="1:72" ht="18" hidden="1" customHeight="1" x14ac:dyDescent="0.3">
      <c r="A251" s="81" t="s">
        <v>887</v>
      </c>
      <c r="B251" s="86" t="s">
        <v>1553</v>
      </c>
      <c r="C251" s="16" t="s">
        <v>1604</v>
      </c>
      <c r="D251" s="16" t="s">
        <v>1491</v>
      </c>
      <c r="E251" s="50">
        <v>50</v>
      </c>
      <c r="F251" s="50">
        <v>0</v>
      </c>
      <c r="G251" s="16">
        <v>2</v>
      </c>
      <c r="H251" s="16">
        <v>333.33</v>
      </c>
      <c r="I251" s="16" t="s">
        <v>1016</v>
      </c>
      <c r="J251" s="16" t="s">
        <v>2382</v>
      </c>
      <c r="K251" s="16">
        <v>50</v>
      </c>
      <c r="L251" s="16">
        <v>50</v>
      </c>
      <c r="M251" s="64"/>
      <c r="N251" s="64"/>
      <c r="O251" s="49" t="str">
        <f t="shared" si="37"/>
        <v>YES</v>
      </c>
      <c r="P251" s="52"/>
      <c r="Q251" s="53">
        <f t="shared" si="29"/>
        <v>5000</v>
      </c>
      <c r="R251" s="54">
        <f t="shared" si="30"/>
        <v>2500</v>
      </c>
      <c r="S251" s="55" t="str">
        <f t="shared" si="31"/>
        <v xml:space="preserve"> </v>
      </c>
      <c r="T251" s="56"/>
      <c r="U251" s="57" t="str">
        <f t="shared" si="32"/>
        <v>100µg/100cm²</v>
      </c>
      <c r="V251" s="58">
        <f t="shared" si="33"/>
        <v>2500</v>
      </c>
      <c r="W251" s="58" t="str">
        <f t="shared" si="34"/>
        <v xml:space="preserve"> </v>
      </c>
      <c r="X251" s="59" t="str">
        <f t="shared" si="35"/>
        <v/>
      </c>
      <c r="Y251" s="60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82"/>
      <c r="AV251" s="82"/>
      <c r="AW251" s="82"/>
      <c r="AX251" s="64"/>
      <c r="AY251" s="64"/>
      <c r="AZ251" s="64"/>
      <c r="BA251" s="64"/>
      <c r="BB251" s="64"/>
      <c r="BC251" s="64"/>
      <c r="BD251" s="16" t="s">
        <v>675</v>
      </c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5"/>
    </row>
    <row r="252" spans="1:72" ht="18" hidden="1" customHeight="1" x14ac:dyDescent="0.3">
      <c r="A252" s="47" t="s">
        <v>11</v>
      </c>
      <c r="B252" s="48" t="s">
        <v>12</v>
      </c>
      <c r="C252" s="16" t="s">
        <v>2113</v>
      </c>
      <c r="D252" s="49" t="s">
        <v>1174</v>
      </c>
      <c r="E252" s="50">
        <v>51.7</v>
      </c>
      <c r="F252" s="50">
        <v>0</v>
      </c>
      <c r="G252" s="61">
        <v>7</v>
      </c>
      <c r="H252" s="16">
        <v>1.6000000000000001E-3</v>
      </c>
      <c r="I252" s="48" t="s">
        <v>1016</v>
      </c>
      <c r="J252" s="16" t="s">
        <v>1178</v>
      </c>
      <c r="K252" s="49">
        <v>20</v>
      </c>
      <c r="L252" s="49">
        <v>100</v>
      </c>
      <c r="M252" s="62" t="s">
        <v>1179</v>
      </c>
      <c r="N252" s="49" t="s">
        <v>2358</v>
      </c>
      <c r="O252" s="63" t="str">
        <f t="shared" si="37"/>
        <v>NO</v>
      </c>
      <c r="P252" s="52"/>
      <c r="Q252" s="53">
        <f t="shared" si="29"/>
        <v>20</v>
      </c>
      <c r="R252" s="54">
        <f t="shared" si="30"/>
        <v>10.3</v>
      </c>
      <c r="S252" s="55" t="str">
        <f t="shared" si="31"/>
        <v xml:space="preserve"> </v>
      </c>
      <c r="T252" s="56"/>
      <c r="U252" s="57" t="str">
        <f t="shared" si="32"/>
        <v>Mitigation</v>
      </c>
      <c r="V252" s="58">
        <f t="shared" si="33"/>
        <v>10.3</v>
      </c>
      <c r="W252" s="58" t="str">
        <f t="shared" si="34"/>
        <v xml:space="preserve"> </v>
      </c>
      <c r="X252" s="59" t="str">
        <f t="shared" si="35"/>
        <v/>
      </c>
      <c r="Y252" s="60"/>
      <c r="Z252" s="16" t="s">
        <v>675</v>
      </c>
      <c r="AA252" s="16" t="s">
        <v>675</v>
      </c>
      <c r="AB252" s="16" t="s">
        <v>675</v>
      </c>
      <c r="AC252" s="64"/>
      <c r="AD252" s="16" t="s">
        <v>675</v>
      </c>
      <c r="AE252" s="16" t="s">
        <v>675</v>
      </c>
      <c r="AF252" s="16" t="s">
        <v>675</v>
      </c>
      <c r="AG252" s="64"/>
      <c r="AH252" s="16" t="s">
        <v>675</v>
      </c>
      <c r="AI252" s="16" t="s">
        <v>675</v>
      </c>
      <c r="AJ252" s="64"/>
      <c r="AK252" s="16" t="s">
        <v>675</v>
      </c>
      <c r="AL252" s="16" t="s">
        <v>675</v>
      </c>
      <c r="AM252" s="16" t="s">
        <v>675</v>
      </c>
      <c r="AN252" s="16" t="s">
        <v>675</v>
      </c>
      <c r="AO252" s="64"/>
      <c r="AP252" s="16" t="s">
        <v>675</v>
      </c>
      <c r="AQ252" s="64"/>
      <c r="AR252" s="64"/>
      <c r="AS252" s="16" t="s">
        <v>675</v>
      </c>
      <c r="AT252" s="16" t="s">
        <v>675</v>
      </c>
      <c r="AU252" s="64"/>
      <c r="AV252" s="64"/>
      <c r="AW252" s="64"/>
      <c r="AX252" s="16" t="s">
        <v>675</v>
      </c>
      <c r="AY252" s="64"/>
      <c r="AZ252" s="64"/>
      <c r="BA252" s="64"/>
      <c r="BB252" s="64"/>
      <c r="BC252" s="64"/>
      <c r="BD252" s="64"/>
      <c r="BE252" s="16" t="s">
        <v>675</v>
      </c>
      <c r="BF252" s="64"/>
      <c r="BG252" s="16" t="s">
        <v>675</v>
      </c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16" t="s">
        <v>675</v>
      </c>
      <c r="BT252" s="65"/>
    </row>
    <row r="253" spans="1:72" ht="18" hidden="1" customHeight="1" x14ac:dyDescent="0.3">
      <c r="A253" s="47" t="s">
        <v>4</v>
      </c>
      <c r="B253" s="49" t="s">
        <v>5</v>
      </c>
      <c r="C253" s="16" t="s">
        <v>2114</v>
      </c>
      <c r="D253" s="49" t="s">
        <v>1045</v>
      </c>
      <c r="E253" s="50">
        <v>40</v>
      </c>
      <c r="F253" s="50">
        <v>0</v>
      </c>
      <c r="G253" s="61">
        <v>2</v>
      </c>
      <c r="H253" s="16">
        <v>400</v>
      </c>
      <c r="I253" s="49" t="s">
        <v>1012</v>
      </c>
      <c r="J253" s="16" t="s">
        <v>1046</v>
      </c>
      <c r="K253" s="49">
        <v>100</v>
      </c>
      <c r="L253" s="49">
        <v>900</v>
      </c>
      <c r="M253" s="62" t="s">
        <v>1014</v>
      </c>
      <c r="N253" s="62" t="s">
        <v>1047</v>
      </c>
      <c r="O253" s="63" t="str">
        <f t="shared" si="37"/>
        <v>NO</v>
      </c>
      <c r="P253" s="52"/>
      <c r="Q253" s="53">
        <f t="shared" si="29"/>
        <v>100</v>
      </c>
      <c r="R253" s="54">
        <f t="shared" si="30"/>
        <v>40</v>
      </c>
      <c r="S253" s="55" t="str">
        <f t="shared" si="31"/>
        <v xml:space="preserve"> </v>
      </c>
      <c r="T253" s="56"/>
      <c r="U253" s="57" t="str">
        <f t="shared" si="32"/>
        <v>100µg/100cm²</v>
      </c>
      <c r="V253" s="58">
        <f t="shared" si="33"/>
        <v>40</v>
      </c>
      <c r="W253" s="58" t="str">
        <f t="shared" si="34"/>
        <v xml:space="preserve"> </v>
      </c>
      <c r="X253" s="59" t="str">
        <f t="shared" si="35"/>
        <v/>
      </c>
      <c r="Y253" s="60"/>
      <c r="Z253" s="64"/>
      <c r="AA253" s="64"/>
      <c r="AB253" s="16" t="s">
        <v>675</v>
      </c>
      <c r="AC253" s="64"/>
      <c r="AD253" s="64"/>
      <c r="AE253" s="16" t="s">
        <v>675</v>
      </c>
      <c r="AF253" s="16" t="s">
        <v>675</v>
      </c>
      <c r="AG253" s="64"/>
      <c r="AH253" s="64"/>
      <c r="AI253" s="16" t="s">
        <v>675</v>
      </c>
      <c r="AJ253" s="16" t="s">
        <v>675</v>
      </c>
      <c r="AK253" s="64"/>
      <c r="AL253" s="64"/>
      <c r="AM253" s="16" t="s">
        <v>675</v>
      </c>
      <c r="AN253" s="64"/>
      <c r="AO253" s="16" t="s">
        <v>675</v>
      </c>
      <c r="AP253" s="16" t="s">
        <v>675</v>
      </c>
      <c r="AQ253" s="16" t="s">
        <v>675</v>
      </c>
      <c r="AR253" s="64"/>
      <c r="AS253" s="16" t="s">
        <v>675</v>
      </c>
      <c r="AT253" s="64"/>
      <c r="AU253" s="16" t="s">
        <v>675</v>
      </c>
      <c r="AV253" s="16" t="s">
        <v>675</v>
      </c>
      <c r="AW253" s="16" t="s">
        <v>675</v>
      </c>
      <c r="AX253" s="16" t="s">
        <v>675</v>
      </c>
      <c r="AY253" s="64"/>
      <c r="AZ253" s="64"/>
      <c r="BA253" s="64"/>
      <c r="BB253" s="64"/>
      <c r="BC253" s="16" t="s">
        <v>675</v>
      </c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5"/>
    </row>
    <row r="254" spans="1:72" ht="18" hidden="1" customHeight="1" x14ac:dyDescent="0.3">
      <c r="A254" s="66" t="s">
        <v>1836</v>
      </c>
      <c r="B254" s="69" t="s">
        <v>612</v>
      </c>
      <c r="C254" s="16" t="s">
        <v>2115</v>
      </c>
      <c r="D254" s="67" t="s">
        <v>1045</v>
      </c>
      <c r="E254" s="50">
        <v>26.1</v>
      </c>
      <c r="F254" s="50">
        <v>0</v>
      </c>
      <c r="G254" s="61">
        <v>1</v>
      </c>
      <c r="H254" s="68" t="s">
        <v>1430</v>
      </c>
      <c r="I254" s="48" t="s">
        <v>1189</v>
      </c>
      <c r="J254" s="16" t="s">
        <v>2386</v>
      </c>
      <c r="K254" s="49">
        <v>50</v>
      </c>
      <c r="L254" s="49">
        <v>50</v>
      </c>
      <c r="M254" s="64"/>
      <c r="N254" s="64"/>
      <c r="O254" s="49" t="str">
        <f t="shared" si="37"/>
        <v>YES</v>
      </c>
      <c r="P254" s="52"/>
      <c r="Q254" s="53">
        <f t="shared" si="29"/>
        <v>5000</v>
      </c>
      <c r="R254" s="54">
        <f t="shared" si="30"/>
        <v>1305</v>
      </c>
      <c r="S254" s="55" t="str">
        <f t="shared" si="31"/>
        <v xml:space="preserve"> </v>
      </c>
      <c r="T254" s="56"/>
      <c r="U254" s="57" t="str">
        <f t="shared" si="32"/>
        <v>100µg/100cm²</v>
      </c>
      <c r="V254" s="58">
        <f t="shared" si="33"/>
        <v>1305</v>
      </c>
      <c r="W254" s="58" t="str">
        <f t="shared" si="34"/>
        <v xml:space="preserve"> </v>
      </c>
      <c r="X254" s="59" t="str">
        <f t="shared" si="35"/>
        <v/>
      </c>
      <c r="Y254" s="60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16" t="s">
        <v>675</v>
      </c>
      <c r="AK254" s="64"/>
      <c r="AL254" s="64"/>
      <c r="AM254" s="16" t="s">
        <v>675</v>
      </c>
      <c r="AN254" s="64"/>
      <c r="AO254" s="64"/>
      <c r="AP254" s="64"/>
      <c r="AQ254" s="64"/>
      <c r="AR254" s="64"/>
      <c r="AS254" s="64"/>
      <c r="AT254" s="64"/>
      <c r="AU254" s="16" t="s">
        <v>675</v>
      </c>
      <c r="AV254" s="64"/>
      <c r="AW254" s="16" t="s">
        <v>675</v>
      </c>
      <c r="AX254" s="64"/>
      <c r="AY254" s="64"/>
      <c r="AZ254" s="64"/>
      <c r="BA254" s="64"/>
      <c r="BB254" s="64"/>
      <c r="BC254" s="64"/>
      <c r="BD254" s="64"/>
      <c r="BE254" s="16" t="s">
        <v>675</v>
      </c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16" t="s">
        <v>675</v>
      </c>
      <c r="BT254" s="65"/>
    </row>
    <row r="255" spans="1:72" ht="18" hidden="1" customHeight="1" x14ac:dyDescent="0.3">
      <c r="A255" s="47" t="s">
        <v>144</v>
      </c>
      <c r="B255" s="76" t="s">
        <v>459</v>
      </c>
      <c r="C255" s="16" t="s">
        <v>1599</v>
      </c>
      <c r="D255" s="49" t="s">
        <v>1305</v>
      </c>
      <c r="E255" s="50">
        <v>43</v>
      </c>
      <c r="F255" s="50">
        <v>0</v>
      </c>
      <c r="G255" s="61">
        <v>7</v>
      </c>
      <c r="H255" s="16" t="s">
        <v>1271</v>
      </c>
      <c r="I255" s="48" t="s">
        <v>1016</v>
      </c>
      <c r="J255" s="16" t="s">
        <v>2386</v>
      </c>
      <c r="K255" s="49">
        <v>50</v>
      </c>
      <c r="L255" s="49">
        <v>50</v>
      </c>
      <c r="M255" s="64"/>
      <c r="N255" s="64"/>
      <c r="O255" s="49" t="str">
        <f t="shared" si="37"/>
        <v>YES</v>
      </c>
      <c r="P255" s="52"/>
      <c r="Q255" s="53">
        <f t="shared" si="29"/>
        <v>5000</v>
      </c>
      <c r="R255" s="54">
        <f t="shared" si="30"/>
        <v>2150</v>
      </c>
      <c r="S255" s="55" t="str">
        <f t="shared" si="31"/>
        <v xml:space="preserve"> </v>
      </c>
      <c r="T255" s="56"/>
      <c r="U255" s="57" t="str">
        <f t="shared" si="32"/>
        <v>100µg/100cm²</v>
      </c>
      <c r="V255" s="58">
        <f t="shared" si="33"/>
        <v>2150</v>
      </c>
      <c r="W255" s="58" t="str">
        <f t="shared" si="34"/>
        <v xml:space="preserve"> </v>
      </c>
      <c r="X255" s="59" t="str">
        <f t="shared" si="35"/>
        <v/>
      </c>
      <c r="Y255" s="60"/>
      <c r="Z255" s="64"/>
      <c r="AA255" s="64"/>
      <c r="AB255" s="64"/>
      <c r="AC255" s="16" t="s">
        <v>675</v>
      </c>
      <c r="AD255" s="16" t="s">
        <v>675</v>
      </c>
      <c r="AE255" s="64"/>
      <c r="AF255" s="64"/>
      <c r="AG255" s="64"/>
      <c r="AH255" s="64"/>
      <c r="AI255" s="64"/>
      <c r="AJ255" s="64"/>
      <c r="AK255" s="64"/>
      <c r="AL255" s="64"/>
      <c r="AM255" s="16" t="s">
        <v>675</v>
      </c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5"/>
    </row>
    <row r="256" spans="1:72" ht="18" hidden="1" customHeight="1" x14ac:dyDescent="0.3">
      <c r="A256" s="47" t="s">
        <v>113</v>
      </c>
      <c r="B256" s="76" t="s">
        <v>459</v>
      </c>
      <c r="C256" s="16" t="s">
        <v>1600</v>
      </c>
      <c r="D256" s="83" t="s">
        <v>1305</v>
      </c>
      <c r="E256" s="50">
        <v>43</v>
      </c>
      <c r="F256" s="50">
        <v>0</v>
      </c>
      <c r="G256" s="61">
        <v>7</v>
      </c>
      <c r="H256" s="16" t="s">
        <v>1105</v>
      </c>
      <c r="I256" s="48" t="s">
        <v>1016</v>
      </c>
      <c r="J256" s="16" t="s">
        <v>2386</v>
      </c>
      <c r="K256" s="49">
        <v>50</v>
      </c>
      <c r="L256" s="49">
        <v>50</v>
      </c>
      <c r="M256" s="64"/>
      <c r="N256" s="64"/>
      <c r="O256" s="63" t="str">
        <f t="shared" si="37"/>
        <v>YES</v>
      </c>
      <c r="P256" s="52"/>
      <c r="Q256" s="53">
        <f t="shared" si="29"/>
        <v>5000</v>
      </c>
      <c r="R256" s="54">
        <f t="shared" si="30"/>
        <v>2150</v>
      </c>
      <c r="S256" s="55" t="str">
        <f t="shared" si="31"/>
        <v xml:space="preserve"> </v>
      </c>
      <c r="T256" s="56"/>
      <c r="U256" s="57" t="str">
        <f t="shared" si="32"/>
        <v>100µg/100cm²</v>
      </c>
      <c r="V256" s="58">
        <f t="shared" si="33"/>
        <v>2150</v>
      </c>
      <c r="W256" s="58" t="str">
        <f t="shared" si="34"/>
        <v xml:space="preserve"> </v>
      </c>
      <c r="X256" s="59" t="str">
        <f t="shared" si="35"/>
        <v/>
      </c>
      <c r="Y256" s="60"/>
      <c r="Z256" s="64"/>
      <c r="AA256" s="64"/>
      <c r="AB256" s="64"/>
      <c r="AC256" s="16" t="s">
        <v>675</v>
      </c>
      <c r="AD256" s="16" t="s">
        <v>675</v>
      </c>
      <c r="AE256" s="64"/>
      <c r="AF256" s="64"/>
      <c r="AG256" s="64"/>
      <c r="AH256" s="64"/>
      <c r="AI256" s="64"/>
      <c r="AJ256" s="64"/>
      <c r="AK256" s="64"/>
      <c r="AL256" s="64"/>
      <c r="AM256" s="16" t="s">
        <v>675</v>
      </c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5"/>
    </row>
    <row r="257" spans="1:92" ht="18" hidden="1" customHeight="1" x14ac:dyDescent="0.3">
      <c r="A257" s="47" t="s">
        <v>787</v>
      </c>
      <c r="B257" s="76" t="s">
        <v>459</v>
      </c>
      <c r="C257" s="16" t="s">
        <v>1601</v>
      </c>
      <c r="D257" s="49" t="s">
        <v>1305</v>
      </c>
      <c r="E257" s="50">
        <v>43</v>
      </c>
      <c r="F257" s="50">
        <v>0</v>
      </c>
      <c r="G257" s="61">
        <v>7</v>
      </c>
      <c r="H257" s="16" t="s">
        <v>1271</v>
      </c>
      <c r="I257" s="48" t="s">
        <v>1016</v>
      </c>
      <c r="J257" s="16" t="s">
        <v>2386</v>
      </c>
      <c r="K257" s="49">
        <v>50</v>
      </c>
      <c r="L257" s="49">
        <v>50</v>
      </c>
      <c r="M257" s="64"/>
      <c r="N257" s="64"/>
      <c r="O257" s="63" t="str">
        <f t="shared" si="37"/>
        <v>YES</v>
      </c>
      <c r="P257" s="52"/>
      <c r="Q257" s="53">
        <f t="shared" si="29"/>
        <v>5000</v>
      </c>
      <c r="R257" s="54">
        <f t="shared" si="30"/>
        <v>2150</v>
      </c>
      <c r="S257" s="55" t="str">
        <f t="shared" si="31"/>
        <v xml:space="preserve"> </v>
      </c>
      <c r="T257" s="56"/>
      <c r="U257" s="57" t="str">
        <f t="shared" si="32"/>
        <v>100µg/100cm²</v>
      </c>
      <c r="V257" s="58">
        <f t="shared" si="33"/>
        <v>2150</v>
      </c>
      <c r="W257" s="58" t="str">
        <f t="shared" si="34"/>
        <v xml:space="preserve"> </v>
      </c>
      <c r="X257" s="59" t="str">
        <f t="shared" si="35"/>
        <v/>
      </c>
      <c r="Y257" s="60"/>
      <c r="Z257" s="64"/>
      <c r="AA257" s="64"/>
      <c r="AB257" s="64"/>
      <c r="AC257" s="16" t="s">
        <v>675</v>
      </c>
      <c r="AD257" s="16" t="s">
        <v>675</v>
      </c>
      <c r="AE257" s="64"/>
      <c r="AF257" s="64"/>
      <c r="AG257" s="64"/>
      <c r="AH257" s="64"/>
      <c r="AI257" s="64"/>
      <c r="AJ257" s="64"/>
      <c r="AK257" s="64"/>
      <c r="AL257" s="64"/>
      <c r="AM257" s="16" t="s">
        <v>675</v>
      </c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5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</row>
    <row r="258" spans="1:92" ht="18" hidden="1" customHeight="1" x14ac:dyDescent="0.3">
      <c r="A258" s="81" t="s">
        <v>888</v>
      </c>
      <c r="B258" s="76" t="s">
        <v>459</v>
      </c>
      <c r="C258" s="16" t="s">
        <v>1502</v>
      </c>
      <c r="D258" s="16" t="s">
        <v>1484</v>
      </c>
      <c r="E258" s="50">
        <v>50</v>
      </c>
      <c r="F258" s="50">
        <v>0</v>
      </c>
      <c r="G258" s="16">
        <v>1</v>
      </c>
      <c r="H258" s="16" t="s">
        <v>1023</v>
      </c>
      <c r="I258" s="16" t="s">
        <v>1016</v>
      </c>
      <c r="J258" s="16" t="s">
        <v>2382</v>
      </c>
      <c r="K258" s="16">
        <v>50</v>
      </c>
      <c r="L258" s="16">
        <v>50</v>
      </c>
      <c r="M258" s="64"/>
      <c r="N258" s="64"/>
      <c r="O258" s="63" t="str">
        <f t="shared" si="37"/>
        <v>YES</v>
      </c>
      <c r="P258" s="52"/>
      <c r="Q258" s="53">
        <f t="shared" si="29"/>
        <v>5000</v>
      </c>
      <c r="R258" s="54">
        <f t="shared" si="30"/>
        <v>2500</v>
      </c>
      <c r="S258" s="55" t="str">
        <f t="shared" si="31"/>
        <v xml:space="preserve"> </v>
      </c>
      <c r="T258" s="56"/>
      <c r="U258" s="57" t="str">
        <f t="shared" si="32"/>
        <v>100µg/100cm²</v>
      </c>
      <c r="V258" s="58">
        <f t="shared" si="33"/>
        <v>2500</v>
      </c>
      <c r="W258" s="58" t="str">
        <f t="shared" si="34"/>
        <v xml:space="preserve"> </v>
      </c>
      <c r="X258" s="59" t="str">
        <f t="shared" si="35"/>
        <v/>
      </c>
      <c r="Y258" s="60"/>
      <c r="Z258" s="64"/>
      <c r="AA258" s="64"/>
      <c r="AB258" s="64"/>
      <c r="AC258" s="64"/>
      <c r="AD258" s="64"/>
      <c r="AE258" s="16" t="s">
        <v>675</v>
      </c>
      <c r="AF258" s="16" t="s">
        <v>675</v>
      </c>
      <c r="AG258" s="16" t="s">
        <v>675</v>
      </c>
      <c r="AH258" s="64"/>
      <c r="AI258" s="64"/>
      <c r="AJ258" s="64"/>
      <c r="AK258" s="64"/>
      <c r="AL258" s="64"/>
      <c r="AM258" s="16" t="s">
        <v>675</v>
      </c>
      <c r="AN258" s="64"/>
      <c r="AO258" s="64"/>
      <c r="AP258" s="64"/>
      <c r="AQ258" s="64"/>
      <c r="AR258" s="64"/>
      <c r="AS258" s="64"/>
      <c r="AT258" s="64"/>
      <c r="AU258" s="82"/>
      <c r="AV258" s="82"/>
      <c r="AW258" s="82"/>
      <c r="AX258" s="16" t="s">
        <v>675</v>
      </c>
      <c r="AY258" s="64"/>
      <c r="AZ258" s="64"/>
      <c r="BA258" s="64"/>
      <c r="BB258" s="64"/>
      <c r="BC258" s="64"/>
      <c r="BD258" s="16" t="s">
        <v>675</v>
      </c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5"/>
    </row>
    <row r="259" spans="1:92" ht="18" hidden="1" customHeight="1" x14ac:dyDescent="0.3">
      <c r="A259" s="47" t="s">
        <v>47</v>
      </c>
      <c r="B259" s="16" t="s">
        <v>1581</v>
      </c>
      <c r="C259" s="87" t="s">
        <v>2116</v>
      </c>
      <c r="D259" s="83" t="s">
        <v>1305</v>
      </c>
      <c r="E259" s="50">
        <v>67.2</v>
      </c>
      <c r="F259" s="50">
        <v>0</v>
      </c>
      <c r="G259" s="61">
        <v>7</v>
      </c>
      <c r="H259" s="16" t="s">
        <v>1105</v>
      </c>
      <c r="I259" s="48" t="s">
        <v>1016</v>
      </c>
      <c r="J259" s="16" t="s">
        <v>2386</v>
      </c>
      <c r="K259" s="49">
        <v>50</v>
      </c>
      <c r="L259" s="49">
        <v>50</v>
      </c>
      <c r="M259" s="64"/>
      <c r="N259" s="64"/>
      <c r="O259" s="63" t="str">
        <f t="shared" si="37"/>
        <v>YES</v>
      </c>
      <c r="P259" s="52"/>
      <c r="Q259" s="53">
        <f t="shared" si="29"/>
        <v>5000</v>
      </c>
      <c r="R259" s="54">
        <f t="shared" si="30"/>
        <v>3360</v>
      </c>
      <c r="S259" s="55" t="str">
        <f t="shared" si="31"/>
        <v xml:space="preserve"> </v>
      </c>
      <c r="T259" s="56"/>
      <c r="U259" s="57" t="str">
        <f t="shared" si="32"/>
        <v>100µg/100cm²</v>
      </c>
      <c r="V259" s="58">
        <f t="shared" si="33"/>
        <v>3360</v>
      </c>
      <c r="W259" s="58" t="str">
        <f t="shared" si="34"/>
        <v xml:space="preserve"> </v>
      </c>
      <c r="X259" s="59" t="str">
        <f t="shared" si="35"/>
        <v/>
      </c>
      <c r="Y259" s="60"/>
      <c r="Z259" s="16" t="s">
        <v>675</v>
      </c>
      <c r="AA259" s="64"/>
      <c r="AB259" s="16" t="s">
        <v>675</v>
      </c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16" t="s">
        <v>675</v>
      </c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5"/>
    </row>
    <row r="260" spans="1:92" ht="18" hidden="1" customHeight="1" x14ac:dyDescent="0.3">
      <c r="A260" s="84" t="s">
        <v>745</v>
      </c>
      <c r="B260" s="16" t="s">
        <v>1582</v>
      </c>
      <c r="C260" s="69" t="s">
        <v>1355</v>
      </c>
      <c r="D260" s="83" t="s">
        <v>1305</v>
      </c>
      <c r="E260" s="50">
        <v>61.54</v>
      </c>
      <c r="F260" s="50">
        <v>0</v>
      </c>
      <c r="G260" s="61">
        <v>7</v>
      </c>
      <c r="H260" s="16" t="s">
        <v>1105</v>
      </c>
      <c r="I260" s="48" t="s">
        <v>1016</v>
      </c>
      <c r="J260" s="16" t="s">
        <v>2386</v>
      </c>
      <c r="K260" s="49">
        <v>50</v>
      </c>
      <c r="L260" s="49">
        <v>50</v>
      </c>
      <c r="M260" s="64"/>
      <c r="N260" s="64"/>
      <c r="O260" s="63" t="str">
        <f t="shared" si="37"/>
        <v>YES</v>
      </c>
      <c r="P260" s="52"/>
      <c r="Q260" s="53">
        <f t="shared" si="29"/>
        <v>5000</v>
      </c>
      <c r="R260" s="54">
        <f t="shared" si="30"/>
        <v>3077</v>
      </c>
      <c r="S260" s="55" t="str">
        <f t="shared" si="31"/>
        <v xml:space="preserve"> </v>
      </c>
      <c r="T260" s="56"/>
      <c r="U260" s="57" t="str">
        <f t="shared" si="32"/>
        <v>100µg/100cm²</v>
      </c>
      <c r="V260" s="58">
        <f t="shared" si="33"/>
        <v>3077</v>
      </c>
      <c r="W260" s="58" t="str">
        <f t="shared" si="34"/>
        <v xml:space="preserve"> </v>
      </c>
      <c r="X260" s="59" t="str">
        <f t="shared" si="35"/>
        <v/>
      </c>
      <c r="Y260" s="60"/>
      <c r="Z260" s="16" t="s">
        <v>675</v>
      </c>
      <c r="AA260" s="16" t="s">
        <v>675</v>
      </c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16" t="s">
        <v>675</v>
      </c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</row>
    <row r="261" spans="1:92" ht="18" hidden="1" customHeight="1" x14ac:dyDescent="0.3">
      <c r="A261" s="47" t="s">
        <v>2270</v>
      </c>
      <c r="B261" s="49" t="s">
        <v>2271</v>
      </c>
      <c r="C261" s="49" t="s">
        <v>2272</v>
      </c>
      <c r="D261" s="16" t="s">
        <v>1603</v>
      </c>
      <c r="E261" s="50">
        <v>40</v>
      </c>
      <c r="F261" s="50">
        <v>0</v>
      </c>
      <c r="G261" s="16">
        <v>6</v>
      </c>
      <c r="H261" s="68" t="s">
        <v>2273</v>
      </c>
      <c r="I261" s="48" t="s">
        <v>2335</v>
      </c>
      <c r="J261" s="16" t="s">
        <v>2274</v>
      </c>
      <c r="K261" s="48">
        <v>5</v>
      </c>
      <c r="L261" s="48">
        <v>5</v>
      </c>
      <c r="M261" s="49" t="s">
        <v>1033</v>
      </c>
      <c r="N261" s="48" t="s">
        <v>1047</v>
      </c>
      <c r="O261" s="63" t="str">
        <f t="shared" si="37"/>
        <v>NO</v>
      </c>
      <c r="P261" s="73"/>
      <c r="Q261" s="53">
        <f t="shared" si="29"/>
        <v>5</v>
      </c>
      <c r="R261" s="54">
        <f t="shared" si="30"/>
        <v>2</v>
      </c>
      <c r="S261" s="55" t="str">
        <f t="shared" si="31"/>
        <v xml:space="preserve"> </v>
      </c>
      <c r="T261" s="105"/>
      <c r="U261" s="57" t="str">
        <f t="shared" si="32"/>
        <v>Mitigation</v>
      </c>
      <c r="V261" s="58">
        <f t="shared" si="33"/>
        <v>2</v>
      </c>
      <c r="W261" s="57" t="str">
        <f t="shared" si="34"/>
        <v xml:space="preserve"> </v>
      </c>
      <c r="X261" s="59" t="str">
        <f t="shared" si="35"/>
        <v/>
      </c>
      <c r="Y261" s="106"/>
      <c r="Z261" s="16" t="s">
        <v>1987</v>
      </c>
      <c r="AA261" s="16" t="s">
        <v>1987</v>
      </c>
      <c r="AB261" s="16" t="s">
        <v>1987</v>
      </c>
      <c r="AC261" s="16" t="s">
        <v>1987</v>
      </c>
      <c r="AD261" s="16" t="s">
        <v>1987</v>
      </c>
      <c r="AE261" s="16" t="s">
        <v>1987</v>
      </c>
      <c r="AF261" s="16" t="s">
        <v>1987</v>
      </c>
      <c r="AG261" s="16" t="s">
        <v>1987</v>
      </c>
      <c r="AH261" s="16" t="s">
        <v>1987</v>
      </c>
      <c r="AI261" s="16" t="s">
        <v>1987</v>
      </c>
      <c r="AJ261" s="16" t="s">
        <v>1987</v>
      </c>
      <c r="AK261" s="16" t="s">
        <v>1987</v>
      </c>
      <c r="AL261" s="16" t="s">
        <v>1987</v>
      </c>
      <c r="AM261" s="16" t="s">
        <v>1987</v>
      </c>
      <c r="AN261" s="16" t="s">
        <v>1987</v>
      </c>
      <c r="AO261" s="16" t="s">
        <v>1987</v>
      </c>
      <c r="AP261" s="16" t="s">
        <v>1987</v>
      </c>
      <c r="AQ261" s="16" t="s">
        <v>1987</v>
      </c>
      <c r="AR261" s="16" t="s">
        <v>1987</v>
      </c>
      <c r="AS261" s="16" t="s">
        <v>1987</v>
      </c>
      <c r="AT261" s="16" t="s">
        <v>1987</v>
      </c>
      <c r="AU261" s="16" t="s">
        <v>1987</v>
      </c>
      <c r="AV261" s="16" t="s">
        <v>1987</v>
      </c>
      <c r="AW261" s="16" t="s">
        <v>1987</v>
      </c>
      <c r="AX261" s="16" t="s">
        <v>1987</v>
      </c>
      <c r="AY261" s="16" t="s">
        <v>1987</v>
      </c>
      <c r="AZ261" s="16" t="s">
        <v>1987</v>
      </c>
      <c r="BA261" s="16" t="s">
        <v>1987</v>
      </c>
      <c r="BB261" s="16" t="s">
        <v>1987</v>
      </c>
      <c r="BC261" s="16" t="s">
        <v>1987</v>
      </c>
      <c r="BD261" s="16" t="s">
        <v>1987</v>
      </c>
      <c r="BE261" s="16" t="s">
        <v>1987</v>
      </c>
      <c r="BF261" s="16" t="s">
        <v>1987</v>
      </c>
      <c r="BG261" s="16" t="s">
        <v>1987</v>
      </c>
      <c r="BH261" s="16" t="s">
        <v>1987</v>
      </c>
      <c r="BI261" s="16" t="s">
        <v>1987</v>
      </c>
      <c r="BJ261" s="16" t="s">
        <v>1987</v>
      </c>
      <c r="BK261" s="16" t="s">
        <v>1987</v>
      </c>
      <c r="BL261" s="16" t="s">
        <v>1987</v>
      </c>
      <c r="BM261" s="16" t="s">
        <v>1987</v>
      </c>
      <c r="BN261" s="16" t="s">
        <v>1987</v>
      </c>
      <c r="BO261" s="16" t="s">
        <v>1987</v>
      </c>
      <c r="BP261" s="16" t="s">
        <v>1987</v>
      </c>
      <c r="BQ261" s="16" t="s">
        <v>1987</v>
      </c>
      <c r="BR261" s="16" t="s">
        <v>1987</v>
      </c>
      <c r="BS261" s="16" t="s">
        <v>1987</v>
      </c>
      <c r="BT261" s="16" t="s">
        <v>1987</v>
      </c>
    </row>
    <row r="262" spans="1:92" ht="18" hidden="1" customHeight="1" x14ac:dyDescent="0.3">
      <c r="A262" s="80" t="s">
        <v>843</v>
      </c>
      <c r="B262" s="102" t="s">
        <v>844</v>
      </c>
      <c r="C262" s="16" t="s">
        <v>1615</v>
      </c>
      <c r="D262" s="16" t="s">
        <v>1073</v>
      </c>
      <c r="E262" s="50">
        <v>34.65</v>
      </c>
      <c r="F262" s="50">
        <v>0</v>
      </c>
      <c r="G262" s="16">
        <v>3</v>
      </c>
      <c r="H262" s="16">
        <v>50</v>
      </c>
      <c r="I262" s="16" t="s">
        <v>1016</v>
      </c>
      <c r="J262" s="170" t="s">
        <v>2014</v>
      </c>
      <c r="K262" s="16" t="s">
        <v>2027</v>
      </c>
      <c r="L262" s="16" t="s">
        <v>2027</v>
      </c>
      <c r="M262" s="64"/>
      <c r="N262" s="64"/>
      <c r="O262" s="16" t="s">
        <v>2027</v>
      </c>
      <c r="P262" s="52"/>
      <c r="Q262" s="53" t="str">
        <f t="shared" si="29"/>
        <v>Pending</v>
      </c>
      <c r="R262" s="54" t="str">
        <f t="shared" si="30"/>
        <v>Pending</v>
      </c>
      <c r="S262" s="55" t="str">
        <f t="shared" si="31"/>
        <v>Pending</v>
      </c>
      <c r="T262" s="56"/>
      <c r="U262" s="57" t="str">
        <f t="shared" si="32"/>
        <v>Pending</v>
      </c>
      <c r="V262" s="58" t="str">
        <f t="shared" si="33"/>
        <v>Pending</v>
      </c>
      <c r="W262" s="57" t="str">
        <f t="shared" si="34"/>
        <v>Pending</v>
      </c>
      <c r="X262" s="59" t="str">
        <f t="shared" si="35"/>
        <v/>
      </c>
      <c r="Y262" s="60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16" t="s">
        <v>675</v>
      </c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16" t="s">
        <v>675</v>
      </c>
      <c r="BT262" s="65"/>
    </row>
    <row r="263" spans="1:92" ht="18" hidden="1" customHeight="1" x14ac:dyDescent="0.3">
      <c r="A263" s="84" t="s">
        <v>1919</v>
      </c>
      <c r="B263" s="69" t="s">
        <v>334</v>
      </c>
      <c r="C263" s="70" t="s">
        <v>1072</v>
      </c>
      <c r="D263" s="70" t="s">
        <v>1073</v>
      </c>
      <c r="E263" s="50">
        <v>47.84</v>
      </c>
      <c r="F263" s="50">
        <v>0</v>
      </c>
      <c r="G263" s="61">
        <v>3</v>
      </c>
      <c r="H263" s="16">
        <v>50</v>
      </c>
      <c r="I263" s="49" t="s">
        <v>1016</v>
      </c>
      <c r="J263" s="16" t="s">
        <v>1074</v>
      </c>
      <c r="K263" s="49">
        <v>8</v>
      </c>
      <c r="L263" s="49">
        <v>72</v>
      </c>
      <c r="M263" s="62" t="s">
        <v>1053</v>
      </c>
      <c r="N263" s="49" t="s">
        <v>2358</v>
      </c>
      <c r="O263" s="63" t="str">
        <f t="shared" ref="O263:O273" si="38">IF(AND(ISBLANK(K263),ISBLANK(N263))," ",IF(ISBLANK(N263),"YES","NO"))</f>
        <v>NO</v>
      </c>
      <c r="P263" s="52"/>
      <c r="Q263" s="53">
        <f t="shared" si="29"/>
        <v>8</v>
      </c>
      <c r="R263" s="54">
        <f t="shared" si="30"/>
        <v>3.8</v>
      </c>
      <c r="S263" s="55" t="str">
        <f t="shared" si="31"/>
        <v xml:space="preserve"> </v>
      </c>
      <c r="T263" s="56"/>
      <c r="U263" s="57" t="str">
        <f t="shared" si="32"/>
        <v>Mitigation</v>
      </c>
      <c r="V263" s="58">
        <f t="shared" si="33"/>
        <v>3.8</v>
      </c>
      <c r="W263" s="58" t="str">
        <f t="shared" si="34"/>
        <v xml:space="preserve"> </v>
      </c>
      <c r="X263" s="59" t="str">
        <f t="shared" si="35"/>
        <v/>
      </c>
      <c r="Y263" s="60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16" t="s">
        <v>675</v>
      </c>
      <c r="AP263" s="16" t="s">
        <v>675</v>
      </c>
      <c r="AQ263" s="64"/>
      <c r="AR263" s="64"/>
      <c r="AS263" s="16" t="s">
        <v>675</v>
      </c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5"/>
    </row>
    <row r="264" spans="1:92" ht="18" customHeight="1" x14ac:dyDescent="0.3">
      <c r="A264" s="47" t="s">
        <v>2365</v>
      </c>
      <c r="B264" s="49" t="s">
        <v>2275</v>
      </c>
      <c r="C264" s="49" t="s">
        <v>2334</v>
      </c>
      <c r="D264" s="16" t="s">
        <v>1114</v>
      </c>
      <c r="E264" s="50">
        <v>0</v>
      </c>
      <c r="F264" s="50">
        <v>0</v>
      </c>
      <c r="G264" s="16">
        <v>5</v>
      </c>
      <c r="H264" s="16">
        <v>4</v>
      </c>
      <c r="I264" s="49" t="s">
        <v>1016</v>
      </c>
      <c r="J264" s="16" t="s">
        <v>2276</v>
      </c>
      <c r="K264" s="49">
        <v>3.12</v>
      </c>
      <c r="L264" s="49">
        <v>28.1</v>
      </c>
      <c r="M264" s="49" t="s">
        <v>1053</v>
      </c>
      <c r="N264" s="64"/>
      <c r="O264" s="63" t="str">
        <f t="shared" si="38"/>
        <v>YES</v>
      </c>
      <c r="P264" s="73"/>
      <c r="Q264" s="53">
        <f t="shared" ref="Q264:Q327" si="39">IF(K264="Pending","Pending",IF(AND(K264&lt;5000,O264="YES"),MIN(ROUNDDOWN(K264*25550/140,1),5000),IF(AND(K264&lt;5000,O264="NO"),K264,IF(K264&gt;=5000,5000))))</f>
        <v>569.4</v>
      </c>
      <c r="R264" s="54" t="str">
        <f t="shared" ref="R264:R327" si="40">IF(Q264="Pending","Pending",IF(E264=0," ",ROUNDDOWN(Q264*E264/100,1)))</f>
        <v xml:space="preserve"> </v>
      </c>
      <c r="S264" s="55" t="str">
        <f t="shared" ref="S264:S327" si="41">IF(Q264="Pending","Pending",IF(F264=0, " ",ROUNDDOWN(Q264*F264/100,1)))</f>
        <v xml:space="preserve"> </v>
      </c>
      <c r="T264" s="105"/>
      <c r="U264" s="57" t="str">
        <f t="shared" ref="U264:U327" si="42">IF(Q264="Pending","Pending",IF(R264= " ", " ", IF(R264&lt;20, "Mitigation", "100µg/100cm²")))</f>
        <v xml:space="preserve"> </v>
      </c>
      <c r="V264" s="58" t="str">
        <f t="shared" ref="V264:V327" si="43">IF(R264=0, " ", R264)</f>
        <v xml:space="preserve"> </v>
      </c>
      <c r="W264" s="57" t="str">
        <f t="shared" ref="W264:W327" si="44">IF(Q264="Pending","Pending",IF(S264= " ", " ", IF(S264&lt;20, "Mitigation", "100µg/100cm²")))</f>
        <v xml:space="preserve"> </v>
      </c>
      <c r="X264" s="59" t="str">
        <f t="shared" ref="X264:X327" si="45">IF(K264="","Pending",IF(AND(Q264=5000,G264&lt;4,SUM(E264,F264)=0),"Water criteria (conductivity)",IF(AND(Q264=5000,G264&gt;3,SUM(E264,F264)=0),"Mitigation",IF(AND(Q264&lt;5000,G264&gt;0,SUM(E264,F264)=0),"Mitigation",""))))</f>
        <v>Mitigation</v>
      </c>
      <c r="Y264" s="106"/>
      <c r="Z264" s="16" t="s">
        <v>1987</v>
      </c>
      <c r="AA264" s="16" t="s">
        <v>1987</v>
      </c>
      <c r="AB264" s="16" t="s">
        <v>1987</v>
      </c>
      <c r="AC264" s="16" t="s">
        <v>1987</v>
      </c>
      <c r="AD264" s="16" t="s">
        <v>1987</v>
      </c>
      <c r="AE264" s="16" t="s">
        <v>1987</v>
      </c>
      <c r="AF264" s="16" t="s">
        <v>1987</v>
      </c>
      <c r="AG264" s="16" t="s">
        <v>1987</v>
      </c>
      <c r="AH264" s="16" t="s">
        <v>1987</v>
      </c>
      <c r="AI264" s="16" t="s">
        <v>1987</v>
      </c>
      <c r="AJ264" s="16" t="s">
        <v>1987</v>
      </c>
      <c r="AK264" s="16" t="s">
        <v>1987</v>
      </c>
      <c r="AL264" s="16" t="s">
        <v>1987</v>
      </c>
      <c r="AM264" s="16" t="s">
        <v>1987</v>
      </c>
      <c r="AN264" s="16" t="s">
        <v>1987</v>
      </c>
      <c r="AO264" s="16" t="s">
        <v>1987</v>
      </c>
      <c r="AP264" s="16" t="s">
        <v>1987</v>
      </c>
      <c r="AQ264" s="16" t="s">
        <v>1987</v>
      </c>
      <c r="AR264" s="16" t="s">
        <v>1987</v>
      </c>
      <c r="AS264" s="16" t="s">
        <v>1987</v>
      </c>
      <c r="AT264" s="16" t="s">
        <v>1987</v>
      </c>
      <c r="AU264" s="16" t="s">
        <v>1987</v>
      </c>
      <c r="AV264" s="16" t="s">
        <v>1987</v>
      </c>
      <c r="AW264" s="16" t="s">
        <v>1987</v>
      </c>
      <c r="AX264" s="16" t="s">
        <v>1987</v>
      </c>
      <c r="AY264" s="16" t="s">
        <v>1987</v>
      </c>
      <c r="AZ264" s="16" t="s">
        <v>1987</v>
      </c>
      <c r="BA264" s="16" t="s">
        <v>1987</v>
      </c>
      <c r="BB264" s="16" t="s">
        <v>1987</v>
      </c>
      <c r="BC264" s="16" t="s">
        <v>1987</v>
      </c>
      <c r="BD264" s="16" t="s">
        <v>1987</v>
      </c>
      <c r="BE264" s="16" t="s">
        <v>1987</v>
      </c>
      <c r="BF264" s="16" t="s">
        <v>1987</v>
      </c>
      <c r="BG264" s="16" t="s">
        <v>1987</v>
      </c>
      <c r="BH264" s="16" t="s">
        <v>1987</v>
      </c>
      <c r="BI264" s="16" t="s">
        <v>1987</v>
      </c>
      <c r="BJ264" s="16" t="s">
        <v>1987</v>
      </c>
      <c r="BK264" s="16" t="s">
        <v>1987</v>
      </c>
      <c r="BL264" s="16" t="s">
        <v>1987</v>
      </c>
      <c r="BM264" s="16" t="s">
        <v>1987</v>
      </c>
      <c r="BN264" s="16" t="s">
        <v>1987</v>
      </c>
      <c r="BO264" s="16" t="s">
        <v>1987</v>
      </c>
      <c r="BP264" s="16" t="s">
        <v>1987</v>
      </c>
      <c r="BQ264" s="16" t="s">
        <v>1987</v>
      </c>
      <c r="BR264" s="16" t="s">
        <v>1987</v>
      </c>
      <c r="BS264" s="16" t="s">
        <v>1987</v>
      </c>
      <c r="BT264" s="16" t="s">
        <v>1987</v>
      </c>
    </row>
    <row r="265" spans="1:92" ht="18" hidden="1" customHeight="1" x14ac:dyDescent="0.3">
      <c r="A265" s="84" t="s">
        <v>341</v>
      </c>
      <c r="B265" s="119" t="s">
        <v>63</v>
      </c>
      <c r="C265" s="16" t="s">
        <v>2072</v>
      </c>
      <c r="D265" s="49" t="s">
        <v>1243</v>
      </c>
      <c r="E265" s="50">
        <v>40</v>
      </c>
      <c r="F265" s="50">
        <v>0</v>
      </c>
      <c r="G265" s="61">
        <v>2</v>
      </c>
      <c r="H265" s="16">
        <v>1000</v>
      </c>
      <c r="I265" s="120" t="s">
        <v>1016</v>
      </c>
      <c r="J265" s="16" t="s">
        <v>2386</v>
      </c>
      <c r="K265" s="49">
        <v>50</v>
      </c>
      <c r="L265" s="49">
        <v>50</v>
      </c>
      <c r="M265" s="64"/>
      <c r="N265" s="64"/>
      <c r="O265" s="63" t="str">
        <f t="shared" si="38"/>
        <v>YES</v>
      </c>
      <c r="P265" s="52"/>
      <c r="Q265" s="53">
        <f t="shared" si="39"/>
        <v>5000</v>
      </c>
      <c r="R265" s="54">
        <f t="shared" si="40"/>
        <v>2000</v>
      </c>
      <c r="S265" s="55" t="str">
        <f t="shared" si="41"/>
        <v xml:space="preserve"> </v>
      </c>
      <c r="T265" s="56"/>
      <c r="U265" s="57" t="str">
        <f t="shared" si="42"/>
        <v>100µg/100cm²</v>
      </c>
      <c r="V265" s="58">
        <f t="shared" si="43"/>
        <v>2000</v>
      </c>
      <c r="W265" s="58" t="str">
        <f t="shared" si="44"/>
        <v xml:space="preserve"> </v>
      </c>
      <c r="X265" s="59" t="str">
        <f t="shared" si="45"/>
        <v/>
      </c>
      <c r="Y265" s="60"/>
      <c r="Z265" s="16" t="s">
        <v>675</v>
      </c>
      <c r="AA265" s="16" t="s">
        <v>675</v>
      </c>
      <c r="AB265" s="16" t="s">
        <v>675</v>
      </c>
      <c r="AC265" s="16" t="s">
        <v>675</v>
      </c>
      <c r="AD265" s="16" t="s">
        <v>675</v>
      </c>
      <c r="AE265" s="16" t="s">
        <v>675</v>
      </c>
      <c r="AF265" s="16" t="s">
        <v>675</v>
      </c>
      <c r="AG265" s="64"/>
      <c r="AH265" s="16" t="s">
        <v>675</v>
      </c>
      <c r="AI265" s="64"/>
      <c r="AJ265" s="64"/>
      <c r="AK265" s="16" t="s">
        <v>675</v>
      </c>
      <c r="AL265" s="16" t="s">
        <v>675</v>
      </c>
      <c r="AM265" s="16" t="s">
        <v>675</v>
      </c>
      <c r="AN265" s="16" t="s">
        <v>675</v>
      </c>
      <c r="AO265" s="64"/>
      <c r="AP265" s="16" t="s">
        <v>675</v>
      </c>
      <c r="AQ265" s="16" t="s">
        <v>675</v>
      </c>
      <c r="AR265" s="16" t="s">
        <v>675</v>
      </c>
      <c r="AS265" s="16" t="s">
        <v>675</v>
      </c>
      <c r="AT265" s="16" t="s">
        <v>675</v>
      </c>
      <c r="AU265" s="16" t="s">
        <v>675</v>
      </c>
      <c r="AV265" s="64"/>
      <c r="AW265" s="16" t="s">
        <v>675</v>
      </c>
      <c r="AX265" s="16" t="s">
        <v>675</v>
      </c>
      <c r="AY265" s="64"/>
      <c r="AZ265" s="64"/>
      <c r="BA265" s="16" t="s">
        <v>675</v>
      </c>
      <c r="BB265" s="16" t="s">
        <v>675</v>
      </c>
      <c r="BC265" s="64"/>
      <c r="BD265" s="64"/>
      <c r="BE265" s="64"/>
      <c r="BF265" s="64"/>
      <c r="BG265" s="16" t="s">
        <v>675</v>
      </c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16" t="s">
        <v>675</v>
      </c>
      <c r="BT265" s="65"/>
    </row>
    <row r="266" spans="1:92" ht="18" hidden="1" customHeight="1" x14ac:dyDescent="0.3">
      <c r="A266" s="66" t="s">
        <v>302</v>
      </c>
      <c r="B266" s="69" t="s">
        <v>303</v>
      </c>
      <c r="C266" s="16" t="s">
        <v>2117</v>
      </c>
      <c r="D266" s="67" t="s">
        <v>1243</v>
      </c>
      <c r="E266" s="50">
        <v>36.4</v>
      </c>
      <c r="F266" s="50">
        <v>0</v>
      </c>
      <c r="G266" s="61">
        <v>1</v>
      </c>
      <c r="H266" s="68" t="s">
        <v>1420</v>
      </c>
      <c r="I266" s="48" t="s">
        <v>1016</v>
      </c>
      <c r="J266" s="16" t="s">
        <v>2386</v>
      </c>
      <c r="K266" s="49">
        <v>50</v>
      </c>
      <c r="L266" s="49">
        <v>50</v>
      </c>
      <c r="M266" s="64"/>
      <c r="N266" s="64"/>
      <c r="O266" s="63" t="str">
        <f t="shared" si="38"/>
        <v>YES</v>
      </c>
      <c r="P266" s="52"/>
      <c r="Q266" s="53">
        <f t="shared" si="39"/>
        <v>5000</v>
      </c>
      <c r="R266" s="54">
        <f t="shared" si="40"/>
        <v>1820</v>
      </c>
      <c r="S266" s="55" t="str">
        <f t="shared" si="41"/>
        <v xml:space="preserve"> </v>
      </c>
      <c r="T266" s="56"/>
      <c r="U266" s="57" t="str">
        <f t="shared" si="42"/>
        <v>100µg/100cm²</v>
      </c>
      <c r="V266" s="58">
        <f t="shared" si="43"/>
        <v>1820</v>
      </c>
      <c r="W266" s="58" t="str">
        <f t="shared" si="44"/>
        <v xml:space="preserve"> </v>
      </c>
      <c r="X266" s="59" t="str">
        <f t="shared" si="45"/>
        <v/>
      </c>
      <c r="Y266" s="60"/>
      <c r="Z266" s="64"/>
      <c r="AA266" s="64"/>
      <c r="AB266" s="64"/>
      <c r="AC266" s="64"/>
      <c r="AD266" s="64"/>
      <c r="AE266" s="64"/>
      <c r="AF266" s="64"/>
      <c r="AG266" s="64"/>
      <c r="AH266" s="64"/>
      <c r="AI266" s="16" t="s">
        <v>675</v>
      </c>
      <c r="AJ266" s="64"/>
      <c r="AK266" s="64"/>
      <c r="AL266" s="64"/>
      <c r="AM266" s="16" t="s">
        <v>675</v>
      </c>
      <c r="AN266" s="64"/>
      <c r="AO266" s="64"/>
      <c r="AP266" s="64"/>
      <c r="AQ266" s="64"/>
      <c r="AR266" s="64"/>
      <c r="AS266" s="16" t="s">
        <v>675</v>
      </c>
      <c r="AT266" s="64"/>
      <c r="AU266" s="16" t="s">
        <v>675</v>
      </c>
      <c r="AV266" s="16" t="s">
        <v>675</v>
      </c>
      <c r="AW266" s="16" t="s">
        <v>675</v>
      </c>
      <c r="AX266" s="64"/>
      <c r="AY266" s="16" t="s">
        <v>675</v>
      </c>
      <c r="AZ266" s="16" t="s">
        <v>675</v>
      </c>
      <c r="BA266" s="64"/>
      <c r="BB266" s="16" t="s">
        <v>675</v>
      </c>
      <c r="BC266" s="64"/>
      <c r="BD266" s="64"/>
      <c r="BE266" s="16" t="s">
        <v>675</v>
      </c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16" t="s">
        <v>675</v>
      </c>
      <c r="BT266" s="65"/>
    </row>
    <row r="267" spans="1:92" ht="18" hidden="1" customHeight="1" x14ac:dyDescent="0.3">
      <c r="A267" s="66" t="s">
        <v>1616</v>
      </c>
      <c r="B267" s="69" t="s">
        <v>435</v>
      </c>
      <c r="C267" s="16" t="s">
        <v>1617</v>
      </c>
      <c r="D267" s="16" t="s">
        <v>1618</v>
      </c>
      <c r="E267" s="50">
        <v>49.96</v>
      </c>
      <c r="F267" s="50">
        <v>0</v>
      </c>
      <c r="G267" s="16">
        <v>6</v>
      </c>
      <c r="H267" s="16" t="s">
        <v>1619</v>
      </c>
      <c r="I267" s="16" t="s">
        <v>1016</v>
      </c>
      <c r="J267" s="16" t="s">
        <v>2388</v>
      </c>
      <c r="K267" s="16">
        <v>50</v>
      </c>
      <c r="L267" s="16">
        <v>50</v>
      </c>
      <c r="M267" s="64"/>
      <c r="N267" s="64"/>
      <c r="O267" s="63" t="str">
        <f t="shared" si="38"/>
        <v>YES</v>
      </c>
      <c r="P267" s="52"/>
      <c r="Q267" s="53">
        <f t="shared" si="39"/>
        <v>5000</v>
      </c>
      <c r="R267" s="54">
        <f t="shared" si="40"/>
        <v>2498</v>
      </c>
      <c r="S267" s="55" t="str">
        <f t="shared" si="41"/>
        <v xml:space="preserve"> </v>
      </c>
      <c r="T267" s="56"/>
      <c r="U267" s="57" t="str">
        <f t="shared" si="42"/>
        <v>100µg/100cm²</v>
      </c>
      <c r="V267" s="58">
        <f t="shared" si="43"/>
        <v>2498</v>
      </c>
      <c r="W267" s="57" t="str">
        <f t="shared" si="44"/>
        <v xml:space="preserve"> </v>
      </c>
      <c r="X267" s="59" t="str">
        <f t="shared" si="45"/>
        <v/>
      </c>
      <c r="Y267" s="60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16" t="s">
        <v>675</v>
      </c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5"/>
    </row>
    <row r="268" spans="1:92" ht="18" hidden="1" customHeight="1" x14ac:dyDescent="0.3">
      <c r="A268" s="47" t="s">
        <v>307</v>
      </c>
      <c r="B268" s="49" t="s">
        <v>308</v>
      </c>
      <c r="C268" s="16" t="s">
        <v>2118</v>
      </c>
      <c r="D268" s="49" t="s">
        <v>1045</v>
      </c>
      <c r="E268" s="50">
        <v>59.98</v>
      </c>
      <c r="F268" s="50">
        <v>0</v>
      </c>
      <c r="G268" s="61">
        <v>1</v>
      </c>
      <c r="H268" s="16" t="s">
        <v>1023</v>
      </c>
      <c r="I268" s="49" t="s">
        <v>1048</v>
      </c>
      <c r="J268" s="16" t="s">
        <v>1049</v>
      </c>
      <c r="K268" s="49">
        <v>80</v>
      </c>
      <c r="L268" s="49">
        <v>500</v>
      </c>
      <c r="M268" s="62" t="s">
        <v>1027</v>
      </c>
      <c r="N268" s="62" t="s">
        <v>1050</v>
      </c>
      <c r="O268" s="63" t="str">
        <f t="shared" si="38"/>
        <v>NO</v>
      </c>
      <c r="P268" s="52"/>
      <c r="Q268" s="53">
        <f t="shared" si="39"/>
        <v>80</v>
      </c>
      <c r="R268" s="54">
        <f t="shared" si="40"/>
        <v>47.9</v>
      </c>
      <c r="S268" s="55" t="str">
        <f t="shared" si="41"/>
        <v xml:space="preserve"> </v>
      </c>
      <c r="T268" s="56"/>
      <c r="U268" s="57" t="str">
        <f t="shared" si="42"/>
        <v>100µg/100cm²</v>
      </c>
      <c r="V268" s="58">
        <f t="shared" si="43"/>
        <v>47.9</v>
      </c>
      <c r="W268" s="58" t="str">
        <f t="shared" si="44"/>
        <v xml:space="preserve"> </v>
      </c>
      <c r="X268" s="59" t="str">
        <f t="shared" si="45"/>
        <v/>
      </c>
      <c r="Y268" s="60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16" t="s">
        <v>675</v>
      </c>
      <c r="AK268" s="64"/>
      <c r="AL268" s="64"/>
      <c r="AM268" s="16" t="s">
        <v>675</v>
      </c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5"/>
    </row>
    <row r="269" spans="1:92" ht="18" hidden="1" customHeight="1" x14ac:dyDescent="0.3">
      <c r="A269" s="47" t="s">
        <v>111</v>
      </c>
      <c r="B269" s="48" t="s">
        <v>112</v>
      </c>
      <c r="C269" s="16" t="s">
        <v>2119</v>
      </c>
      <c r="D269" s="49" t="s">
        <v>1028</v>
      </c>
      <c r="E269" s="50">
        <v>39.1</v>
      </c>
      <c r="F269" s="50">
        <v>0</v>
      </c>
      <c r="G269" s="61">
        <v>1</v>
      </c>
      <c r="H269" s="16" t="s">
        <v>1023</v>
      </c>
      <c r="I269" s="48" t="s">
        <v>1338</v>
      </c>
      <c r="J269" s="16" t="s">
        <v>2386</v>
      </c>
      <c r="K269" s="49">
        <v>50</v>
      </c>
      <c r="L269" s="49">
        <v>50</v>
      </c>
      <c r="M269" s="64"/>
      <c r="N269" s="64"/>
      <c r="O269" s="49" t="str">
        <f t="shared" si="38"/>
        <v>YES</v>
      </c>
      <c r="P269" s="52"/>
      <c r="Q269" s="53">
        <f t="shared" si="39"/>
        <v>5000</v>
      </c>
      <c r="R269" s="54">
        <f t="shared" si="40"/>
        <v>1955</v>
      </c>
      <c r="S269" s="55" t="str">
        <f t="shared" si="41"/>
        <v xml:space="preserve"> </v>
      </c>
      <c r="T269" s="56"/>
      <c r="U269" s="57" t="str">
        <f t="shared" si="42"/>
        <v>100µg/100cm²</v>
      </c>
      <c r="V269" s="58">
        <f t="shared" si="43"/>
        <v>1955</v>
      </c>
      <c r="W269" s="58" t="str">
        <f t="shared" si="44"/>
        <v xml:space="preserve"> </v>
      </c>
      <c r="X269" s="59" t="str">
        <f t="shared" si="45"/>
        <v/>
      </c>
      <c r="Y269" s="60"/>
      <c r="Z269" s="64"/>
      <c r="AA269" s="64"/>
      <c r="AB269" s="64"/>
      <c r="AC269" s="16" t="s">
        <v>675</v>
      </c>
      <c r="AD269" s="16" t="s">
        <v>675</v>
      </c>
      <c r="AE269" s="64"/>
      <c r="AF269" s="64"/>
      <c r="AG269" s="64"/>
      <c r="AH269" s="64"/>
      <c r="AI269" s="64"/>
      <c r="AJ269" s="64"/>
      <c r="AK269" s="64"/>
      <c r="AL269" s="64"/>
      <c r="AM269" s="16" t="s">
        <v>675</v>
      </c>
      <c r="AN269" s="64"/>
      <c r="AO269" s="64"/>
      <c r="AP269" s="64"/>
      <c r="AQ269" s="16" t="s">
        <v>675</v>
      </c>
      <c r="AR269" s="16" t="s">
        <v>675</v>
      </c>
      <c r="AS269" s="16" t="s">
        <v>675</v>
      </c>
      <c r="AT269" s="64"/>
      <c r="AU269" s="16" t="s">
        <v>675</v>
      </c>
      <c r="AV269" s="64"/>
      <c r="AW269" s="16" t="s">
        <v>675</v>
      </c>
      <c r="AX269" s="64"/>
      <c r="AY269" s="64"/>
      <c r="AZ269" s="64"/>
      <c r="BA269" s="16" t="s">
        <v>675</v>
      </c>
      <c r="BB269" s="16" t="s">
        <v>675</v>
      </c>
      <c r="BC269" s="64"/>
      <c r="BD269" s="64"/>
      <c r="BE269" s="64"/>
      <c r="BF269" s="64"/>
      <c r="BG269" s="64"/>
      <c r="BH269" s="16" t="s">
        <v>675</v>
      </c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16" t="s">
        <v>675</v>
      </c>
      <c r="BT269" s="65"/>
    </row>
    <row r="270" spans="1:92" ht="18" hidden="1" customHeight="1" x14ac:dyDescent="0.3">
      <c r="A270" s="47" t="s">
        <v>20</v>
      </c>
      <c r="B270" s="48" t="s">
        <v>21</v>
      </c>
      <c r="C270" s="16" t="s">
        <v>2120</v>
      </c>
      <c r="D270" s="49" t="s">
        <v>1060</v>
      </c>
      <c r="E270" s="50">
        <v>32</v>
      </c>
      <c r="F270" s="50">
        <v>0</v>
      </c>
      <c r="G270" s="61">
        <v>2</v>
      </c>
      <c r="H270" s="16">
        <v>250</v>
      </c>
      <c r="I270" s="48" t="s">
        <v>1016</v>
      </c>
      <c r="J270" s="16" t="s">
        <v>2386</v>
      </c>
      <c r="K270" s="49">
        <v>50</v>
      </c>
      <c r="L270" s="49">
        <v>50</v>
      </c>
      <c r="M270" s="64"/>
      <c r="N270" s="64"/>
      <c r="O270" s="49" t="str">
        <f t="shared" si="38"/>
        <v>YES</v>
      </c>
      <c r="P270" s="52"/>
      <c r="Q270" s="53">
        <f t="shared" si="39"/>
        <v>5000</v>
      </c>
      <c r="R270" s="54">
        <f t="shared" si="40"/>
        <v>1600</v>
      </c>
      <c r="S270" s="55" t="str">
        <f t="shared" si="41"/>
        <v xml:space="preserve"> </v>
      </c>
      <c r="T270" s="56"/>
      <c r="U270" s="57" t="str">
        <f t="shared" si="42"/>
        <v>100µg/100cm²</v>
      </c>
      <c r="V270" s="58">
        <f t="shared" si="43"/>
        <v>1600</v>
      </c>
      <c r="W270" s="58" t="str">
        <f t="shared" si="44"/>
        <v xml:space="preserve"> </v>
      </c>
      <c r="X270" s="59" t="str">
        <f t="shared" si="45"/>
        <v/>
      </c>
      <c r="Y270" s="60"/>
      <c r="Z270" s="64"/>
      <c r="AA270" s="64"/>
      <c r="AB270" s="16" t="s">
        <v>675</v>
      </c>
      <c r="AC270" s="64"/>
      <c r="AD270" s="16" t="s">
        <v>675</v>
      </c>
      <c r="AE270" s="16" t="s">
        <v>675</v>
      </c>
      <c r="AF270" s="16" t="s">
        <v>675</v>
      </c>
      <c r="AG270" s="64"/>
      <c r="AH270" s="16" t="s">
        <v>675</v>
      </c>
      <c r="AI270" s="16" t="s">
        <v>675</v>
      </c>
      <c r="AJ270" s="16" t="s">
        <v>675</v>
      </c>
      <c r="AK270" s="16" t="s">
        <v>675</v>
      </c>
      <c r="AL270" s="16" t="s">
        <v>675</v>
      </c>
      <c r="AM270" s="16" t="s">
        <v>675</v>
      </c>
      <c r="AN270" s="16" t="s">
        <v>675</v>
      </c>
      <c r="AO270" s="64"/>
      <c r="AP270" s="16" t="s">
        <v>675</v>
      </c>
      <c r="AQ270" s="16" t="s">
        <v>675</v>
      </c>
      <c r="AR270" s="64"/>
      <c r="AS270" s="16" t="s">
        <v>675</v>
      </c>
      <c r="AT270" s="16" t="s">
        <v>675</v>
      </c>
      <c r="AU270" s="16" t="s">
        <v>675</v>
      </c>
      <c r="AV270" s="64"/>
      <c r="AW270" s="16" t="s">
        <v>675</v>
      </c>
      <c r="AX270" s="16" t="s">
        <v>675</v>
      </c>
      <c r="AY270" s="16" t="s">
        <v>675</v>
      </c>
      <c r="AZ270" s="64"/>
      <c r="BA270" s="64"/>
      <c r="BB270" s="16" t="s">
        <v>675</v>
      </c>
      <c r="BC270" s="64"/>
      <c r="BD270" s="64"/>
      <c r="BE270" s="16" t="s">
        <v>675</v>
      </c>
      <c r="BF270" s="64"/>
      <c r="BG270" s="16" t="s">
        <v>675</v>
      </c>
      <c r="BH270" s="16" t="s">
        <v>675</v>
      </c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16" t="s">
        <v>675</v>
      </c>
      <c r="BT270" s="65"/>
    </row>
    <row r="271" spans="1:92" ht="18" customHeight="1" x14ac:dyDescent="0.3">
      <c r="A271" s="80" t="s">
        <v>1873</v>
      </c>
      <c r="B271" s="76" t="s">
        <v>1874</v>
      </c>
      <c r="C271" s="87" t="s">
        <v>1948</v>
      </c>
      <c r="D271" s="16" t="s">
        <v>1809</v>
      </c>
      <c r="E271" s="50">
        <v>0</v>
      </c>
      <c r="F271" s="50">
        <v>0</v>
      </c>
      <c r="G271" s="16">
        <v>7</v>
      </c>
      <c r="H271" s="16" t="s">
        <v>1875</v>
      </c>
      <c r="I271" s="16" t="s">
        <v>1016</v>
      </c>
      <c r="J271" s="16" t="s">
        <v>2386</v>
      </c>
      <c r="K271" s="16">
        <v>50</v>
      </c>
      <c r="L271" s="16">
        <v>50</v>
      </c>
      <c r="M271" s="64"/>
      <c r="N271" s="64"/>
      <c r="O271" s="49" t="str">
        <f t="shared" si="38"/>
        <v>YES</v>
      </c>
      <c r="P271" s="52"/>
      <c r="Q271" s="53">
        <f t="shared" si="39"/>
        <v>5000</v>
      </c>
      <c r="R271" s="54" t="str">
        <f t="shared" si="40"/>
        <v xml:space="preserve"> </v>
      </c>
      <c r="S271" s="55" t="str">
        <f t="shared" si="41"/>
        <v xml:space="preserve"> </v>
      </c>
      <c r="T271" s="56"/>
      <c r="U271" s="57" t="str">
        <f t="shared" si="42"/>
        <v xml:space="preserve"> </v>
      </c>
      <c r="V271" s="58" t="str">
        <f t="shared" si="43"/>
        <v xml:space="preserve"> </v>
      </c>
      <c r="W271" s="58" t="str">
        <f t="shared" si="44"/>
        <v xml:space="preserve"> </v>
      </c>
      <c r="X271" s="59" t="str">
        <f t="shared" si="45"/>
        <v>Mitigation</v>
      </c>
      <c r="Y271" s="60"/>
      <c r="Z271" s="16" t="s">
        <v>1987</v>
      </c>
      <c r="AA271" s="16" t="s">
        <v>1987</v>
      </c>
      <c r="AB271" s="16" t="s">
        <v>1987</v>
      </c>
      <c r="AC271" s="16" t="s">
        <v>1987</v>
      </c>
      <c r="AD271" s="16" t="s">
        <v>1987</v>
      </c>
      <c r="AE271" s="16" t="s">
        <v>1987</v>
      </c>
      <c r="AF271" s="16" t="s">
        <v>1987</v>
      </c>
      <c r="AG271" s="16" t="s">
        <v>1987</v>
      </c>
      <c r="AH271" s="16" t="s">
        <v>1987</v>
      </c>
      <c r="AI271" s="16" t="s">
        <v>1987</v>
      </c>
      <c r="AJ271" s="16" t="s">
        <v>1987</v>
      </c>
      <c r="AK271" s="16" t="s">
        <v>1987</v>
      </c>
      <c r="AL271" s="16" t="s">
        <v>1987</v>
      </c>
      <c r="AM271" s="16" t="s">
        <v>1987</v>
      </c>
      <c r="AN271" s="16" t="s">
        <v>1987</v>
      </c>
      <c r="AO271" s="16" t="s">
        <v>1987</v>
      </c>
      <c r="AP271" s="16" t="s">
        <v>1987</v>
      </c>
      <c r="AQ271" s="16" t="s">
        <v>1987</v>
      </c>
      <c r="AR271" s="16" t="s">
        <v>1987</v>
      </c>
      <c r="AS271" s="16" t="s">
        <v>1987</v>
      </c>
      <c r="AT271" s="16" t="s">
        <v>1987</v>
      </c>
      <c r="AU271" s="16" t="s">
        <v>1987</v>
      </c>
      <c r="AV271" s="16" t="s">
        <v>1987</v>
      </c>
      <c r="AW271" s="16" t="s">
        <v>1987</v>
      </c>
      <c r="AX271" s="16" t="s">
        <v>1987</v>
      </c>
      <c r="AY271" s="16" t="s">
        <v>1987</v>
      </c>
      <c r="AZ271" s="16" t="s">
        <v>1987</v>
      </c>
      <c r="BA271" s="16" t="s">
        <v>1987</v>
      </c>
      <c r="BB271" s="16" t="s">
        <v>1987</v>
      </c>
      <c r="BC271" s="16" t="s">
        <v>1987</v>
      </c>
      <c r="BD271" s="16" t="s">
        <v>1987</v>
      </c>
      <c r="BE271" s="16" t="s">
        <v>1987</v>
      </c>
      <c r="BF271" s="16" t="s">
        <v>1987</v>
      </c>
      <c r="BG271" s="16" t="s">
        <v>1987</v>
      </c>
      <c r="BH271" s="16" t="s">
        <v>1987</v>
      </c>
      <c r="BI271" s="16" t="s">
        <v>1987</v>
      </c>
      <c r="BJ271" s="16" t="s">
        <v>1987</v>
      </c>
      <c r="BK271" s="16" t="s">
        <v>1987</v>
      </c>
      <c r="BL271" s="16" t="s">
        <v>1987</v>
      </c>
      <c r="BM271" s="16" t="s">
        <v>1987</v>
      </c>
      <c r="BN271" s="16" t="s">
        <v>1987</v>
      </c>
      <c r="BO271" s="16" t="s">
        <v>1987</v>
      </c>
      <c r="BP271" s="16" t="s">
        <v>1987</v>
      </c>
      <c r="BQ271" s="16" t="s">
        <v>1987</v>
      </c>
      <c r="BR271" s="16" t="s">
        <v>1987</v>
      </c>
      <c r="BS271" s="16" t="s">
        <v>1987</v>
      </c>
      <c r="BT271" s="16" t="s">
        <v>1987</v>
      </c>
    </row>
    <row r="272" spans="1:92" ht="18" hidden="1" customHeight="1" x14ac:dyDescent="0.3">
      <c r="A272" s="47" t="s">
        <v>626</v>
      </c>
      <c r="B272" s="48" t="s">
        <v>520</v>
      </c>
      <c r="C272" s="49" t="s">
        <v>1460</v>
      </c>
      <c r="D272" s="49" t="s">
        <v>1397</v>
      </c>
      <c r="E272" s="50">
        <v>32</v>
      </c>
      <c r="F272" s="50">
        <v>0</v>
      </c>
      <c r="G272" s="61">
        <v>7</v>
      </c>
      <c r="H272" s="16" t="s">
        <v>1105</v>
      </c>
      <c r="I272" s="48" t="s">
        <v>1016</v>
      </c>
      <c r="J272" s="16" t="s">
        <v>2386</v>
      </c>
      <c r="K272" s="49">
        <v>50</v>
      </c>
      <c r="L272" s="49">
        <v>50</v>
      </c>
      <c r="M272" s="64"/>
      <c r="N272" s="64"/>
      <c r="O272" s="49" t="str">
        <f t="shared" si="38"/>
        <v>YES</v>
      </c>
      <c r="P272" s="52"/>
      <c r="Q272" s="53">
        <f t="shared" si="39"/>
        <v>5000</v>
      </c>
      <c r="R272" s="54">
        <f t="shared" si="40"/>
        <v>1600</v>
      </c>
      <c r="S272" s="55" t="str">
        <f t="shared" si="41"/>
        <v xml:space="preserve"> </v>
      </c>
      <c r="T272" s="56"/>
      <c r="U272" s="57" t="str">
        <f t="shared" si="42"/>
        <v>100µg/100cm²</v>
      </c>
      <c r="V272" s="58">
        <f t="shared" si="43"/>
        <v>1600</v>
      </c>
      <c r="W272" s="58" t="str">
        <f t="shared" si="44"/>
        <v xml:space="preserve"> </v>
      </c>
      <c r="X272" s="59" t="str">
        <f t="shared" si="45"/>
        <v/>
      </c>
      <c r="Y272" s="60"/>
      <c r="Z272" s="64"/>
      <c r="AA272" s="64"/>
      <c r="AB272" s="64"/>
      <c r="AC272" s="64"/>
      <c r="AD272" s="64"/>
      <c r="AE272" s="64"/>
      <c r="AF272" s="64"/>
      <c r="AG272" s="64"/>
      <c r="AH272" s="64"/>
      <c r="AI272" s="16" t="s">
        <v>675</v>
      </c>
      <c r="AJ272" s="64"/>
      <c r="AK272" s="64"/>
      <c r="AL272" s="64"/>
      <c r="AM272" s="16" t="s">
        <v>675</v>
      </c>
      <c r="AN272" s="64"/>
      <c r="AO272" s="64"/>
      <c r="AP272" s="64"/>
      <c r="AQ272" s="64"/>
      <c r="AR272" s="64"/>
      <c r="AS272" s="16" t="s">
        <v>675</v>
      </c>
      <c r="AT272" s="64"/>
      <c r="AU272" s="16" t="s">
        <v>675</v>
      </c>
      <c r="AV272" s="64"/>
      <c r="AW272" s="16" t="s">
        <v>675</v>
      </c>
      <c r="AX272" s="16" t="s">
        <v>675</v>
      </c>
      <c r="AY272" s="64"/>
      <c r="AZ272" s="64"/>
      <c r="BA272" s="64"/>
      <c r="BB272" s="64"/>
      <c r="BC272" s="64"/>
      <c r="BD272" s="64"/>
      <c r="BE272" s="64"/>
      <c r="BF272" s="64"/>
      <c r="BG272" s="16" t="s">
        <v>675</v>
      </c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16" t="s">
        <v>675</v>
      </c>
      <c r="BT272" s="65"/>
    </row>
    <row r="273" spans="1:92" ht="18" hidden="1" customHeight="1" x14ac:dyDescent="0.3">
      <c r="A273" s="66" t="s">
        <v>494</v>
      </c>
      <c r="B273" s="69" t="s">
        <v>495</v>
      </c>
      <c r="C273" s="16" t="s">
        <v>2121</v>
      </c>
      <c r="D273" s="49" t="s">
        <v>1397</v>
      </c>
      <c r="E273" s="50">
        <v>42.4</v>
      </c>
      <c r="F273" s="50">
        <v>0</v>
      </c>
      <c r="G273" s="61">
        <v>6</v>
      </c>
      <c r="H273" s="17">
        <v>0.7</v>
      </c>
      <c r="I273" s="48" t="s">
        <v>1016</v>
      </c>
      <c r="J273" s="16" t="s">
        <v>2386</v>
      </c>
      <c r="K273" s="16">
        <v>50</v>
      </c>
      <c r="L273" s="16">
        <v>50</v>
      </c>
      <c r="M273" s="64"/>
      <c r="N273" s="64"/>
      <c r="O273" s="49" t="str">
        <f t="shared" si="38"/>
        <v>YES</v>
      </c>
      <c r="P273" s="52"/>
      <c r="Q273" s="53">
        <f t="shared" si="39"/>
        <v>5000</v>
      </c>
      <c r="R273" s="54">
        <f t="shared" si="40"/>
        <v>2120</v>
      </c>
      <c r="S273" s="55" t="str">
        <f t="shared" si="41"/>
        <v xml:space="preserve"> </v>
      </c>
      <c r="T273" s="56"/>
      <c r="U273" s="57" t="str">
        <f t="shared" si="42"/>
        <v>100µg/100cm²</v>
      </c>
      <c r="V273" s="58">
        <f t="shared" si="43"/>
        <v>2120</v>
      </c>
      <c r="W273" s="58" t="str">
        <f t="shared" si="44"/>
        <v xml:space="preserve"> </v>
      </c>
      <c r="X273" s="59" t="str">
        <f t="shared" si="45"/>
        <v/>
      </c>
      <c r="Y273" s="60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16" t="s">
        <v>675</v>
      </c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5"/>
    </row>
    <row r="274" spans="1:92" ht="18" hidden="1" customHeight="1" x14ac:dyDescent="0.3">
      <c r="A274" s="80" t="s">
        <v>1968</v>
      </c>
      <c r="B274" s="87" t="s">
        <v>1947</v>
      </c>
      <c r="C274" s="87" t="s">
        <v>1946</v>
      </c>
      <c r="D274" s="16" t="s">
        <v>1397</v>
      </c>
      <c r="E274" s="50">
        <v>22.94</v>
      </c>
      <c r="F274" s="50">
        <v>0</v>
      </c>
      <c r="G274" s="16">
        <v>4</v>
      </c>
      <c r="H274" s="16" t="s">
        <v>1945</v>
      </c>
      <c r="I274" s="16" t="s">
        <v>1016</v>
      </c>
      <c r="J274" s="16" t="s">
        <v>2011</v>
      </c>
      <c r="K274" s="16" t="s">
        <v>2027</v>
      </c>
      <c r="L274" s="16" t="s">
        <v>2027</v>
      </c>
      <c r="M274" s="64"/>
      <c r="N274" s="64"/>
      <c r="O274" s="16" t="s">
        <v>2027</v>
      </c>
      <c r="P274" s="52"/>
      <c r="Q274" s="53" t="str">
        <f t="shared" si="39"/>
        <v>Pending</v>
      </c>
      <c r="R274" s="54" t="str">
        <f t="shared" si="40"/>
        <v>Pending</v>
      </c>
      <c r="S274" s="55" t="str">
        <f t="shared" si="41"/>
        <v>Pending</v>
      </c>
      <c r="T274" s="56"/>
      <c r="U274" s="57" t="str">
        <f t="shared" si="42"/>
        <v>Pending</v>
      </c>
      <c r="V274" s="58" t="str">
        <f t="shared" si="43"/>
        <v>Pending</v>
      </c>
      <c r="W274" s="57" t="str">
        <f t="shared" si="44"/>
        <v>Pending</v>
      </c>
      <c r="X274" s="59" t="str">
        <f t="shared" si="45"/>
        <v/>
      </c>
      <c r="Y274" s="60"/>
      <c r="Z274" s="16" t="s">
        <v>1987</v>
      </c>
      <c r="AA274" s="16" t="s">
        <v>1987</v>
      </c>
      <c r="AB274" s="16" t="s">
        <v>1987</v>
      </c>
      <c r="AC274" s="16" t="s">
        <v>1987</v>
      </c>
      <c r="AD274" s="16" t="s">
        <v>1987</v>
      </c>
      <c r="AE274" s="16" t="s">
        <v>1987</v>
      </c>
      <c r="AF274" s="16" t="s">
        <v>1987</v>
      </c>
      <c r="AG274" s="16" t="s">
        <v>1987</v>
      </c>
      <c r="AH274" s="16" t="s">
        <v>1987</v>
      </c>
      <c r="AI274" s="16" t="s">
        <v>1987</v>
      </c>
      <c r="AJ274" s="16" t="s">
        <v>1987</v>
      </c>
      <c r="AK274" s="16" t="s">
        <v>1987</v>
      </c>
      <c r="AL274" s="16" t="s">
        <v>1987</v>
      </c>
      <c r="AM274" s="16" t="s">
        <v>1987</v>
      </c>
      <c r="AN274" s="16" t="s">
        <v>1987</v>
      </c>
      <c r="AO274" s="16" t="s">
        <v>1987</v>
      </c>
      <c r="AP274" s="16" t="s">
        <v>1987</v>
      </c>
      <c r="AQ274" s="16" t="s">
        <v>1987</v>
      </c>
      <c r="AR274" s="16" t="s">
        <v>1987</v>
      </c>
      <c r="AS274" s="16" t="s">
        <v>1987</v>
      </c>
      <c r="AT274" s="16" t="s">
        <v>1987</v>
      </c>
      <c r="AU274" s="16" t="s">
        <v>1987</v>
      </c>
      <c r="AV274" s="16" t="s">
        <v>1987</v>
      </c>
      <c r="AW274" s="16" t="s">
        <v>1987</v>
      </c>
      <c r="AX274" s="16" t="s">
        <v>1987</v>
      </c>
      <c r="AY274" s="16" t="s">
        <v>1987</v>
      </c>
      <c r="AZ274" s="16" t="s">
        <v>1987</v>
      </c>
      <c r="BA274" s="16" t="s">
        <v>1987</v>
      </c>
      <c r="BB274" s="16" t="s">
        <v>1987</v>
      </c>
      <c r="BC274" s="16" t="s">
        <v>1987</v>
      </c>
      <c r="BD274" s="16" t="s">
        <v>1987</v>
      </c>
      <c r="BE274" s="16" t="s">
        <v>1987</v>
      </c>
      <c r="BF274" s="16" t="s">
        <v>1987</v>
      </c>
      <c r="BG274" s="16" t="s">
        <v>1987</v>
      </c>
      <c r="BH274" s="16" t="s">
        <v>1987</v>
      </c>
      <c r="BI274" s="16" t="s">
        <v>1987</v>
      </c>
      <c r="BJ274" s="16" t="s">
        <v>1987</v>
      </c>
      <c r="BK274" s="16" t="s">
        <v>1987</v>
      </c>
      <c r="BL274" s="16" t="s">
        <v>1987</v>
      </c>
      <c r="BM274" s="16" t="s">
        <v>1987</v>
      </c>
      <c r="BN274" s="16" t="s">
        <v>1987</v>
      </c>
      <c r="BO274" s="16" t="s">
        <v>1987</v>
      </c>
      <c r="BP274" s="16" t="s">
        <v>1987</v>
      </c>
      <c r="BQ274" s="16" t="s">
        <v>1987</v>
      </c>
      <c r="BR274" s="16" t="s">
        <v>1987</v>
      </c>
      <c r="BS274" s="16" t="s">
        <v>1987</v>
      </c>
      <c r="BT274" s="16" t="s">
        <v>1987</v>
      </c>
    </row>
    <row r="275" spans="1:92" ht="18" hidden="1" customHeight="1" x14ac:dyDescent="0.3">
      <c r="A275" s="81" t="s">
        <v>889</v>
      </c>
      <c r="B275" s="76" t="s">
        <v>459</v>
      </c>
      <c r="C275" s="16" t="s">
        <v>1502</v>
      </c>
      <c r="D275" s="16" t="s">
        <v>1484</v>
      </c>
      <c r="E275" s="50">
        <v>50</v>
      </c>
      <c r="F275" s="50">
        <v>0</v>
      </c>
      <c r="G275" s="16">
        <v>1</v>
      </c>
      <c r="H275" s="16" t="s">
        <v>1023</v>
      </c>
      <c r="I275" s="16" t="s">
        <v>1016</v>
      </c>
      <c r="J275" s="16" t="s">
        <v>2382</v>
      </c>
      <c r="K275" s="16">
        <v>50</v>
      </c>
      <c r="L275" s="16">
        <v>50</v>
      </c>
      <c r="M275" s="64"/>
      <c r="N275" s="64"/>
      <c r="O275" s="49" t="str">
        <f t="shared" ref="O275:O301" si="46">IF(AND(ISBLANK(K275),ISBLANK(N275))," ",IF(ISBLANK(N275),"YES","NO"))</f>
        <v>YES</v>
      </c>
      <c r="P275" s="52"/>
      <c r="Q275" s="53">
        <f t="shared" si="39"/>
        <v>5000</v>
      </c>
      <c r="R275" s="54">
        <f t="shared" si="40"/>
        <v>2500</v>
      </c>
      <c r="S275" s="55" t="str">
        <f t="shared" si="41"/>
        <v xml:space="preserve"> </v>
      </c>
      <c r="T275" s="56"/>
      <c r="U275" s="57" t="str">
        <f t="shared" si="42"/>
        <v>100µg/100cm²</v>
      </c>
      <c r="V275" s="58">
        <f t="shared" si="43"/>
        <v>2500</v>
      </c>
      <c r="W275" s="58" t="str">
        <f t="shared" si="44"/>
        <v xml:space="preserve"> </v>
      </c>
      <c r="X275" s="59" t="str">
        <f t="shared" si="45"/>
        <v/>
      </c>
      <c r="Y275" s="60"/>
      <c r="Z275" s="64"/>
      <c r="AA275" s="64"/>
      <c r="AB275" s="121"/>
      <c r="AC275" s="121"/>
      <c r="AD275" s="121"/>
      <c r="AE275" s="121"/>
      <c r="AF275" s="87" t="s">
        <v>675</v>
      </c>
      <c r="AG275" s="87" t="s">
        <v>675</v>
      </c>
      <c r="AH275" s="121"/>
      <c r="AI275" s="121"/>
      <c r="AJ275" s="121"/>
      <c r="AK275" s="121"/>
      <c r="AL275" s="121"/>
      <c r="AM275" s="16" t="s">
        <v>675</v>
      </c>
      <c r="AN275" s="87" t="s">
        <v>675</v>
      </c>
      <c r="AO275" s="87" t="s">
        <v>675</v>
      </c>
      <c r="AP275" s="16" t="s">
        <v>675</v>
      </c>
      <c r="AQ275" s="121"/>
      <c r="AR275" s="121"/>
      <c r="AS275" s="121"/>
      <c r="AT275" s="121"/>
      <c r="AU275" s="82"/>
      <c r="AV275" s="82"/>
      <c r="AW275" s="82"/>
      <c r="AX275" s="121"/>
      <c r="AY275" s="121"/>
      <c r="AZ275" s="121"/>
      <c r="BA275" s="121"/>
      <c r="BB275" s="121"/>
      <c r="BC275" s="87" t="s">
        <v>675</v>
      </c>
      <c r="BD275" s="121"/>
      <c r="BE275" s="121"/>
      <c r="BF275" s="121"/>
      <c r="BG275" s="121"/>
      <c r="BH275" s="121"/>
      <c r="BI275" s="121"/>
      <c r="BJ275" s="121"/>
      <c r="BK275" s="121"/>
      <c r="BL275" s="121"/>
      <c r="BM275" s="121"/>
      <c r="BN275" s="121"/>
      <c r="BO275" s="121"/>
      <c r="BP275" s="121"/>
      <c r="BQ275" s="121"/>
      <c r="BR275" s="121"/>
      <c r="BS275" s="121"/>
      <c r="BT275" s="65"/>
    </row>
    <row r="276" spans="1:92" s="1" customFormat="1" ht="18" hidden="1" customHeight="1" x14ac:dyDescent="0.3">
      <c r="A276" s="81" t="s">
        <v>556</v>
      </c>
      <c r="B276" s="99" t="s">
        <v>557</v>
      </c>
      <c r="C276" s="16" t="s">
        <v>1604</v>
      </c>
      <c r="D276" s="16" t="s">
        <v>1603</v>
      </c>
      <c r="E276" s="50">
        <v>54.06</v>
      </c>
      <c r="F276" s="50">
        <v>0</v>
      </c>
      <c r="G276" s="16">
        <v>2</v>
      </c>
      <c r="H276" s="16">
        <v>142.9</v>
      </c>
      <c r="I276" s="99" t="s">
        <v>1016</v>
      </c>
      <c r="J276" s="16" t="s">
        <v>2382</v>
      </c>
      <c r="K276" s="16">
        <v>50</v>
      </c>
      <c r="L276" s="16">
        <v>50</v>
      </c>
      <c r="M276" s="64"/>
      <c r="N276" s="64"/>
      <c r="O276" s="49" t="str">
        <f t="shared" si="46"/>
        <v>YES</v>
      </c>
      <c r="P276" s="52"/>
      <c r="Q276" s="53">
        <f t="shared" si="39"/>
        <v>5000</v>
      </c>
      <c r="R276" s="54">
        <f t="shared" si="40"/>
        <v>2703</v>
      </c>
      <c r="S276" s="55" t="str">
        <f t="shared" si="41"/>
        <v xml:space="preserve"> </v>
      </c>
      <c r="T276" s="56"/>
      <c r="U276" s="57" t="str">
        <f t="shared" si="42"/>
        <v>100µg/100cm²</v>
      </c>
      <c r="V276" s="58">
        <f t="shared" si="43"/>
        <v>2703</v>
      </c>
      <c r="W276" s="58" t="str">
        <f t="shared" si="44"/>
        <v xml:space="preserve"> </v>
      </c>
      <c r="X276" s="59" t="str">
        <f t="shared" si="45"/>
        <v/>
      </c>
      <c r="Y276" s="60"/>
      <c r="Z276" s="64"/>
      <c r="AA276" s="64"/>
      <c r="AB276" s="64"/>
      <c r="AC276" s="64"/>
      <c r="AD276" s="64"/>
      <c r="AE276" s="16" t="s">
        <v>675</v>
      </c>
      <c r="AF276" s="64"/>
      <c r="AG276" s="64"/>
      <c r="AH276" s="64"/>
      <c r="AI276" s="64"/>
      <c r="AJ276" s="64"/>
      <c r="AK276" s="64"/>
      <c r="AL276" s="64"/>
      <c r="AM276" s="16" t="s">
        <v>675</v>
      </c>
      <c r="AN276" s="64"/>
      <c r="AO276" s="64"/>
      <c r="AP276" s="64"/>
      <c r="AQ276" s="64"/>
      <c r="AR276" s="64"/>
      <c r="AS276" s="16" t="s">
        <v>675</v>
      </c>
      <c r="AT276" s="64"/>
      <c r="AU276" s="82"/>
      <c r="AV276" s="82"/>
      <c r="AW276" s="82"/>
      <c r="AX276" s="64"/>
      <c r="AY276" s="16" t="s">
        <v>675</v>
      </c>
      <c r="AZ276" s="16" t="s">
        <v>675</v>
      </c>
      <c r="BA276" s="16" t="s">
        <v>675</v>
      </c>
      <c r="BB276" s="16" t="s">
        <v>675</v>
      </c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5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</row>
    <row r="277" spans="1:92" ht="18" hidden="1" customHeight="1" x14ac:dyDescent="0.3">
      <c r="A277" s="81" t="s">
        <v>890</v>
      </c>
      <c r="B277" s="76" t="s">
        <v>459</v>
      </c>
      <c r="C277" s="16" t="s">
        <v>1499</v>
      </c>
      <c r="D277" s="16" t="s">
        <v>1495</v>
      </c>
      <c r="E277" s="50">
        <v>50</v>
      </c>
      <c r="F277" s="50">
        <v>0</v>
      </c>
      <c r="G277" s="87">
        <v>7</v>
      </c>
      <c r="H277" s="16" t="s">
        <v>1023</v>
      </c>
      <c r="I277" s="16" t="s">
        <v>1016</v>
      </c>
      <c r="J277" s="16" t="s">
        <v>2382</v>
      </c>
      <c r="K277" s="16">
        <v>50</v>
      </c>
      <c r="L277" s="16">
        <v>50</v>
      </c>
      <c r="M277" s="64"/>
      <c r="N277" s="64"/>
      <c r="O277" s="49" t="str">
        <f t="shared" si="46"/>
        <v>YES</v>
      </c>
      <c r="P277" s="52"/>
      <c r="Q277" s="53">
        <f t="shared" si="39"/>
        <v>5000</v>
      </c>
      <c r="R277" s="54">
        <f t="shared" si="40"/>
        <v>2500</v>
      </c>
      <c r="S277" s="55" t="str">
        <f t="shared" si="41"/>
        <v xml:space="preserve"> </v>
      </c>
      <c r="T277" s="56"/>
      <c r="U277" s="57" t="str">
        <f t="shared" si="42"/>
        <v>100µg/100cm²</v>
      </c>
      <c r="V277" s="58">
        <f t="shared" si="43"/>
        <v>2500</v>
      </c>
      <c r="W277" s="58" t="str">
        <f t="shared" si="44"/>
        <v xml:space="preserve"> </v>
      </c>
      <c r="X277" s="59" t="str">
        <f t="shared" si="45"/>
        <v/>
      </c>
      <c r="Y277" s="60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82"/>
      <c r="AV277" s="82"/>
      <c r="AW277" s="82"/>
      <c r="AX277" s="64"/>
      <c r="AY277" s="16" t="s">
        <v>675</v>
      </c>
      <c r="AZ277" s="16" t="s">
        <v>675</v>
      </c>
      <c r="BA277" s="16" t="s">
        <v>675</v>
      </c>
      <c r="BB277" s="16" t="s">
        <v>675</v>
      </c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5"/>
    </row>
    <row r="278" spans="1:92" ht="18" hidden="1" customHeight="1" x14ac:dyDescent="0.3">
      <c r="A278" s="81" t="s">
        <v>891</v>
      </c>
      <c r="B278" s="76" t="s">
        <v>459</v>
      </c>
      <c r="C278" s="16" t="s">
        <v>1502</v>
      </c>
      <c r="D278" s="16" t="s">
        <v>1484</v>
      </c>
      <c r="E278" s="50">
        <v>50</v>
      </c>
      <c r="F278" s="50">
        <v>0</v>
      </c>
      <c r="G278" s="16">
        <v>1</v>
      </c>
      <c r="H278" s="16" t="s">
        <v>1023</v>
      </c>
      <c r="I278" s="16" t="s">
        <v>1016</v>
      </c>
      <c r="J278" s="16" t="s">
        <v>2382</v>
      </c>
      <c r="K278" s="16">
        <v>50</v>
      </c>
      <c r="L278" s="16">
        <v>50</v>
      </c>
      <c r="M278" s="64"/>
      <c r="N278" s="64"/>
      <c r="O278" s="49" t="str">
        <f t="shared" si="46"/>
        <v>YES</v>
      </c>
      <c r="P278" s="52"/>
      <c r="Q278" s="53">
        <f t="shared" si="39"/>
        <v>5000</v>
      </c>
      <c r="R278" s="54">
        <f t="shared" si="40"/>
        <v>2500</v>
      </c>
      <c r="S278" s="55" t="str">
        <f t="shared" si="41"/>
        <v xml:space="preserve"> </v>
      </c>
      <c r="T278" s="56"/>
      <c r="U278" s="57" t="str">
        <f t="shared" si="42"/>
        <v>100µg/100cm²</v>
      </c>
      <c r="V278" s="58">
        <f t="shared" si="43"/>
        <v>2500</v>
      </c>
      <c r="W278" s="58" t="str">
        <f t="shared" si="44"/>
        <v xml:space="preserve"> </v>
      </c>
      <c r="X278" s="59" t="str">
        <f t="shared" si="45"/>
        <v/>
      </c>
      <c r="Y278" s="60"/>
      <c r="Z278" s="64"/>
      <c r="AA278" s="64"/>
      <c r="AB278" s="64"/>
      <c r="AC278" s="64"/>
      <c r="AD278" s="64"/>
      <c r="AE278" s="16" t="s">
        <v>675</v>
      </c>
      <c r="AF278" s="64"/>
      <c r="AG278" s="64"/>
      <c r="AH278" s="64"/>
      <c r="AI278" s="64"/>
      <c r="AJ278" s="64"/>
      <c r="AK278" s="64"/>
      <c r="AL278" s="64"/>
      <c r="AM278" s="16" t="s">
        <v>675</v>
      </c>
      <c r="AN278" s="64"/>
      <c r="AO278" s="64"/>
      <c r="AP278" s="64"/>
      <c r="AQ278" s="64"/>
      <c r="AR278" s="64"/>
      <c r="AS278" s="64"/>
      <c r="AT278" s="64"/>
      <c r="AU278" s="82"/>
      <c r="AV278" s="82"/>
      <c r="AW278" s="82"/>
      <c r="AX278" s="64"/>
      <c r="AY278" s="64"/>
      <c r="AZ278" s="64"/>
      <c r="BA278" s="64"/>
      <c r="BB278" s="64"/>
      <c r="BC278" s="64"/>
      <c r="BD278" s="16" t="s">
        <v>675</v>
      </c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5"/>
    </row>
    <row r="279" spans="1:92" ht="18" hidden="1" customHeight="1" x14ac:dyDescent="0.3">
      <c r="A279" s="81" t="s">
        <v>892</v>
      </c>
      <c r="B279" s="76" t="s">
        <v>459</v>
      </c>
      <c r="C279" s="16" t="s">
        <v>1502</v>
      </c>
      <c r="D279" s="16" t="s">
        <v>1484</v>
      </c>
      <c r="E279" s="50">
        <v>50</v>
      </c>
      <c r="F279" s="50">
        <v>0</v>
      </c>
      <c r="G279" s="16">
        <v>1</v>
      </c>
      <c r="H279" s="16" t="s">
        <v>1023</v>
      </c>
      <c r="I279" s="16" t="s">
        <v>1016</v>
      </c>
      <c r="J279" s="16" t="s">
        <v>2382</v>
      </c>
      <c r="K279" s="16">
        <v>50</v>
      </c>
      <c r="L279" s="16">
        <v>50</v>
      </c>
      <c r="M279" s="64"/>
      <c r="N279" s="64"/>
      <c r="O279" s="49" t="str">
        <f t="shared" si="46"/>
        <v>YES</v>
      </c>
      <c r="P279" s="52"/>
      <c r="Q279" s="53">
        <f t="shared" si="39"/>
        <v>5000</v>
      </c>
      <c r="R279" s="54">
        <f t="shared" si="40"/>
        <v>2500</v>
      </c>
      <c r="S279" s="55" t="str">
        <f t="shared" si="41"/>
        <v xml:space="preserve"> </v>
      </c>
      <c r="T279" s="56"/>
      <c r="U279" s="57" t="str">
        <f t="shared" si="42"/>
        <v>100µg/100cm²</v>
      </c>
      <c r="V279" s="58">
        <f t="shared" si="43"/>
        <v>2500</v>
      </c>
      <c r="W279" s="58" t="str">
        <f t="shared" si="44"/>
        <v xml:space="preserve"> </v>
      </c>
      <c r="X279" s="59" t="str">
        <f t="shared" si="45"/>
        <v/>
      </c>
      <c r="Y279" s="60"/>
      <c r="Z279" s="16" t="s">
        <v>675</v>
      </c>
      <c r="AA279" s="64"/>
      <c r="AB279" s="64"/>
      <c r="AC279" s="64"/>
      <c r="AD279" s="64"/>
      <c r="AE279" s="16" t="s">
        <v>675</v>
      </c>
      <c r="AF279" s="64"/>
      <c r="AG279" s="64"/>
      <c r="AH279" s="64"/>
      <c r="AI279" s="64"/>
      <c r="AJ279" s="64"/>
      <c r="AK279" s="64"/>
      <c r="AL279" s="64"/>
      <c r="AM279" s="16" t="s">
        <v>675</v>
      </c>
      <c r="AN279" s="64"/>
      <c r="AO279" s="64"/>
      <c r="AP279" s="64"/>
      <c r="AQ279" s="64"/>
      <c r="AR279" s="64"/>
      <c r="AS279" s="64"/>
      <c r="AT279" s="64"/>
      <c r="AU279" s="82"/>
      <c r="AV279" s="82"/>
      <c r="AW279" s="82"/>
      <c r="AX279" s="64"/>
      <c r="AY279" s="64"/>
      <c r="AZ279" s="64"/>
      <c r="BA279" s="64"/>
      <c r="BB279" s="64"/>
      <c r="BC279" s="64"/>
      <c r="BD279" s="16" t="s">
        <v>675</v>
      </c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5"/>
    </row>
    <row r="280" spans="1:92" ht="18" hidden="1" customHeight="1" x14ac:dyDescent="0.3">
      <c r="A280" s="81" t="s">
        <v>893</v>
      </c>
      <c r="B280" s="76" t="s">
        <v>459</v>
      </c>
      <c r="C280" s="16" t="s">
        <v>1499</v>
      </c>
      <c r="D280" s="16" t="s">
        <v>1495</v>
      </c>
      <c r="E280" s="50">
        <v>10</v>
      </c>
      <c r="F280" s="50">
        <v>0</v>
      </c>
      <c r="G280" s="16">
        <v>7</v>
      </c>
      <c r="H280" s="16" t="s">
        <v>1428</v>
      </c>
      <c r="I280" s="16" t="s">
        <v>1016</v>
      </c>
      <c r="J280" s="16" t="s">
        <v>2382</v>
      </c>
      <c r="K280" s="16">
        <v>50</v>
      </c>
      <c r="L280" s="16">
        <v>50</v>
      </c>
      <c r="M280" s="64"/>
      <c r="N280" s="64"/>
      <c r="O280" s="49" t="str">
        <f t="shared" si="46"/>
        <v>YES</v>
      </c>
      <c r="P280" s="52"/>
      <c r="Q280" s="53">
        <f t="shared" si="39"/>
        <v>5000</v>
      </c>
      <c r="R280" s="54">
        <f t="shared" si="40"/>
        <v>500</v>
      </c>
      <c r="S280" s="55" t="str">
        <f t="shared" si="41"/>
        <v xml:space="preserve"> </v>
      </c>
      <c r="T280" s="56"/>
      <c r="U280" s="57" t="str">
        <f t="shared" si="42"/>
        <v>100µg/100cm²</v>
      </c>
      <c r="V280" s="58">
        <f t="shared" si="43"/>
        <v>500</v>
      </c>
      <c r="W280" s="58" t="str">
        <f t="shared" si="44"/>
        <v xml:space="preserve"> </v>
      </c>
      <c r="X280" s="59" t="str">
        <f t="shared" si="45"/>
        <v/>
      </c>
      <c r="Y280" s="60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82"/>
      <c r="AV280" s="82"/>
      <c r="AW280" s="82"/>
      <c r="AX280" s="64"/>
      <c r="AY280" s="64"/>
      <c r="AZ280" s="64"/>
      <c r="BA280" s="64"/>
      <c r="BB280" s="64"/>
      <c r="BC280" s="64"/>
      <c r="BD280" s="16" t="s">
        <v>675</v>
      </c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5"/>
    </row>
    <row r="281" spans="1:92" ht="18" customHeight="1" x14ac:dyDescent="0.3">
      <c r="A281" s="66" t="s">
        <v>416</v>
      </c>
      <c r="B281" s="49" t="s">
        <v>417</v>
      </c>
      <c r="C281" s="67" t="s">
        <v>1437</v>
      </c>
      <c r="D281" s="67" t="s">
        <v>1438</v>
      </c>
      <c r="E281" s="50">
        <v>0</v>
      </c>
      <c r="F281" s="50">
        <v>0</v>
      </c>
      <c r="G281" s="61">
        <v>6</v>
      </c>
      <c r="H281" s="17" t="s">
        <v>1439</v>
      </c>
      <c r="I281" s="48" t="s">
        <v>1016</v>
      </c>
      <c r="J281" s="16" t="s">
        <v>2386</v>
      </c>
      <c r="K281" s="49">
        <v>50</v>
      </c>
      <c r="L281" s="49">
        <v>50</v>
      </c>
      <c r="M281" s="64"/>
      <c r="N281" s="64"/>
      <c r="O281" s="49" t="str">
        <f t="shared" si="46"/>
        <v>YES</v>
      </c>
      <c r="P281" s="52"/>
      <c r="Q281" s="53">
        <f t="shared" si="39"/>
        <v>5000</v>
      </c>
      <c r="R281" s="54" t="str">
        <f t="shared" si="40"/>
        <v xml:space="preserve"> </v>
      </c>
      <c r="S281" s="55" t="str">
        <f t="shared" si="41"/>
        <v xml:space="preserve"> </v>
      </c>
      <c r="T281" s="56"/>
      <c r="U281" s="57" t="str">
        <f t="shared" si="42"/>
        <v xml:space="preserve"> </v>
      </c>
      <c r="V281" s="58" t="str">
        <f t="shared" si="43"/>
        <v xml:space="preserve"> </v>
      </c>
      <c r="W281" s="58" t="str">
        <f t="shared" si="44"/>
        <v xml:space="preserve"> </v>
      </c>
      <c r="X281" s="59" t="str">
        <f t="shared" si="45"/>
        <v>Mitigation</v>
      </c>
      <c r="Y281" s="60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16" t="s">
        <v>675</v>
      </c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5"/>
    </row>
    <row r="282" spans="1:92" ht="18" hidden="1" customHeight="1" x14ac:dyDescent="0.3">
      <c r="A282" s="81" t="s">
        <v>894</v>
      </c>
      <c r="B282" s="83" t="s">
        <v>1554</v>
      </c>
      <c r="C282" s="16" t="s">
        <v>2122</v>
      </c>
      <c r="D282" s="16" t="s">
        <v>1556</v>
      </c>
      <c r="E282" s="50">
        <v>64.5</v>
      </c>
      <c r="F282" s="50">
        <v>0</v>
      </c>
      <c r="G282" s="16">
        <v>7</v>
      </c>
      <c r="H282" s="16" t="s">
        <v>1105</v>
      </c>
      <c r="I282" s="16" t="s">
        <v>1016</v>
      </c>
      <c r="J282" s="16" t="s">
        <v>2382</v>
      </c>
      <c r="K282" s="16">
        <v>50</v>
      </c>
      <c r="L282" s="16">
        <v>50</v>
      </c>
      <c r="M282" s="64"/>
      <c r="N282" s="64"/>
      <c r="O282" s="49" t="str">
        <f t="shared" si="46"/>
        <v>YES</v>
      </c>
      <c r="P282" s="52"/>
      <c r="Q282" s="53">
        <f t="shared" si="39"/>
        <v>5000</v>
      </c>
      <c r="R282" s="54">
        <f t="shared" si="40"/>
        <v>3225</v>
      </c>
      <c r="S282" s="55" t="str">
        <f t="shared" si="41"/>
        <v xml:space="preserve"> </v>
      </c>
      <c r="T282" s="56"/>
      <c r="U282" s="57" t="str">
        <f t="shared" si="42"/>
        <v>100µg/100cm²</v>
      </c>
      <c r="V282" s="58">
        <f t="shared" si="43"/>
        <v>3225</v>
      </c>
      <c r="W282" s="57" t="str">
        <f t="shared" si="44"/>
        <v xml:space="preserve"> </v>
      </c>
      <c r="X282" s="59" t="str">
        <f t="shared" si="45"/>
        <v/>
      </c>
      <c r="Y282" s="60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82"/>
      <c r="AV282" s="82"/>
      <c r="AW282" s="82"/>
      <c r="AX282" s="64"/>
      <c r="AY282" s="16" t="s">
        <v>675</v>
      </c>
      <c r="AZ282" s="16" t="s">
        <v>675</v>
      </c>
      <c r="BA282" s="16" t="s">
        <v>675</v>
      </c>
      <c r="BB282" s="16" t="s">
        <v>675</v>
      </c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5"/>
    </row>
    <row r="283" spans="1:92" ht="18" hidden="1" customHeight="1" x14ac:dyDescent="0.3">
      <c r="A283" s="81" t="s">
        <v>895</v>
      </c>
      <c r="B283" s="99" t="s">
        <v>1555</v>
      </c>
      <c r="C283" s="16" t="s">
        <v>2123</v>
      </c>
      <c r="D283" s="16" t="s">
        <v>1556</v>
      </c>
      <c r="E283" s="50">
        <v>62.64</v>
      </c>
      <c r="F283" s="50">
        <v>0</v>
      </c>
      <c r="G283" s="16">
        <v>7</v>
      </c>
      <c r="H283" s="16" t="s">
        <v>1105</v>
      </c>
      <c r="I283" s="16" t="s">
        <v>1016</v>
      </c>
      <c r="J283" s="16" t="s">
        <v>2382</v>
      </c>
      <c r="K283" s="16">
        <v>50</v>
      </c>
      <c r="L283" s="16">
        <v>50</v>
      </c>
      <c r="M283" s="64"/>
      <c r="N283" s="64"/>
      <c r="O283" s="49" t="str">
        <f t="shared" si="46"/>
        <v>YES</v>
      </c>
      <c r="P283" s="52"/>
      <c r="Q283" s="53">
        <f t="shared" si="39"/>
        <v>5000</v>
      </c>
      <c r="R283" s="54">
        <f t="shared" si="40"/>
        <v>3132</v>
      </c>
      <c r="S283" s="55" t="str">
        <f t="shared" si="41"/>
        <v xml:space="preserve"> </v>
      </c>
      <c r="T283" s="56"/>
      <c r="U283" s="57" t="str">
        <f t="shared" si="42"/>
        <v>100µg/100cm²</v>
      </c>
      <c r="V283" s="58">
        <f t="shared" si="43"/>
        <v>3132</v>
      </c>
      <c r="W283" s="57" t="str">
        <f t="shared" si="44"/>
        <v xml:space="preserve"> </v>
      </c>
      <c r="X283" s="59" t="str">
        <f t="shared" si="45"/>
        <v/>
      </c>
      <c r="Y283" s="60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82"/>
      <c r="AV283" s="82"/>
      <c r="AW283" s="82"/>
      <c r="AX283" s="64"/>
      <c r="AY283" s="16" t="s">
        <v>675</v>
      </c>
      <c r="AZ283" s="16" t="s">
        <v>675</v>
      </c>
      <c r="BA283" s="16" t="s">
        <v>675</v>
      </c>
      <c r="BB283" s="16" t="s">
        <v>675</v>
      </c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5"/>
    </row>
    <row r="284" spans="1:92" ht="18" hidden="1" customHeight="1" x14ac:dyDescent="0.3">
      <c r="A284" s="81" t="s">
        <v>257</v>
      </c>
      <c r="B284" s="76" t="s">
        <v>459</v>
      </c>
      <c r="C284" s="16" t="s">
        <v>1502</v>
      </c>
      <c r="D284" s="16" t="s">
        <v>1484</v>
      </c>
      <c r="E284" s="50">
        <v>50</v>
      </c>
      <c r="F284" s="50">
        <v>0</v>
      </c>
      <c r="G284" s="16">
        <v>1</v>
      </c>
      <c r="H284" s="16" t="s">
        <v>1023</v>
      </c>
      <c r="I284" s="16" t="s">
        <v>1016</v>
      </c>
      <c r="J284" s="16" t="s">
        <v>2382</v>
      </c>
      <c r="K284" s="16">
        <v>50</v>
      </c>
      <c r="L284" s="16">
        <v>50</v>
      </c>
      <c r="M284" s="64"/>
      <c r="N284" s="64"/>
      <c r="O284" s="49" t="str">
        <f t="shared" si="46"/>
        <v>YES</v>
      </c>
      <c r="P284" s="52"/>
      <c r="Q284" s="53">
        <f t="shared" si="39"/>
        <v>5000</v>
      </c>
      <c r="R284" s="54">
        <f t="shared" si="40"/>
        <v>2500</v>
      </c>
      <c r="S284" s="55" t="str">
        <f t="shared" si="41"/>
        <v xml:space="preserve"> </v>
      </c>
      <c r="T284" s="56"/>
      <c r="U284" s="57" t="str">
        <f t="shared" si="42"/>
        <v>100µg/100cm²</v>
      </c>
      <c r="V284" s="58">
        <f t="shared" si="43"/>
        <v>2500</v>
      </c>
      <c r="W284" s="58" t="str">
        <f t="shared" si="44"/>
        <v xml:space="preserve"> </v>
      </c>
      <c r="X284" s="59" t="str">
        <f t="shared" si="45"/>
        <v/>
      </c>
      <c r="Y284" s="60"/>
      <c r="Z284" s="64"/>
      <c r="AA284" s="64"/>
      <c r="AB284" s="16" t="s">
        <v>675</v>
      </c>
      <c r="AC284" s="64"/>
      <c r="AD284" s="64"/>
      <c r="AE284" s="16" t="s">
        <v>675</v>
      </c>
      <c r="AF284" s="16" t="s">
        <v>675</v>
      </c>
      <c r="AG284" s="16" t="s">
        <v>675</v>
      </c>
      <c r="AH284" s="64"/>
      <c r="AI284" s="64"/>
      <c r="AJ284" s="64"/>
      <c r="AK284" s="64"/>
      <c r="AL284" s="64"/>
      <c r="AM284" s="16" t="s">
        <v>675</v>
      </c>
      <c r="AN284" s="64"/>
      <c r="AO284" s="64"/>
      <c r="AP284" s="64"/>
      <c r="AQ284" s="64"/>
      <c r="AR284" s="64"/>
      <c r="AS284" s="64"/>
      <c r="AT284" s="64"/>
      <c r="AU284" s="82"/>
      <c r="AV284" s="82"/>
      <c r="AW284" s="82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5"/>
    </row>
    <row r="285" spans="1:92" ht="18" hidden="1" customHeight="1" x14ac:dyDescent="0.3">
      <c r="A285" s="81" t="s">
        <v>258</v>
      </c>
      <c r="B285" s="76" t="s">
        <v>459</v>
      </c>
      <c r="C285" s="16" t="s">
        <v>1502</v>
      </c>
      <c r="D285" s="16" t="s">
        <v>1484</v>
      </c>
      <c r="E285" s="50">
        <v>50</v>
      </c>
      <c r="F285" s="50">
        <v>0</v>
      </c>
      <c r="G285" s="16">
        <v>1</v>
      </c>
      <c r="H285" s="16" t="s">
        <v>1023</v>
      </c>
      <c r="I285" s="16" t="s">
        <v>1016</v>
      </c>
      <c r="J285" s="16" t="s">
        <v>2382</v>
      </c>
      <c r="K285" s="16">
        <v>50</v>
      </c>
      <c r="L285" s="16">
        <v>50</v>
      </c>
      <c r="M285" s="64"/>
      <c r="N285" s="64"/>
      <c r="O285" s="49" t="str">
        <f t="shared" si="46"/>
        <v>YES</v>
      </c>
      <c r="P285" s="52"/>
      <c r="Q285" s="53">
        <f t="shared" si="39"/>
        <v>5000</v>
      </c>
      <c r="R285" s="54">
        <f t="shared" si="40"/>
        <v>2500</v>
      </c>
      <c r="S285" s="55" t="str">
        <f t="shared" si="41"/>
        <v xml:space="preserve"> </v>
      </c>
      <c r="T285" s="56"/>
      <c r="U285" s="57" t="str">
        <f t="shared" si="42"/>
        <v>100µg/100cm²</v>
      </c>
      <c r="V285" s="58">
        <f t="shared" si="43"/>
        <v>2500</v>
      </c>
      <c r="W285" s="58" t="str">
        <f t="shared" si="44"/>
        <v xml:space="preserve"> </v>
      </c>
      <c r="X285" s="59" t="str">
        <f t="shared" si="45"/>
        <v/>
      </c>
      <c r="Y285" s="60"/>
      <c r="Z285" s="64"/>
      <c r="AA285" s="64"/>
      <c r="AB285" s="16" t="s">
        <v>675</v>
      </c>
      <c r="AC285" s="64"/>
      <c r="AD285" s="64"/>
      <c r="AE285" s="16" t="s">
        <v>675</v>
      </c>
      <c r="AF285" s="16" t="s">
        <v>675</v>
      </c>
      <c r="AG285" s="16" t="s">
        <v>675</v>
      </c>
      <c r="AH285" s="64"/>
      <c r="AI285" s="64"/>
      <c r="AJ285" s="64"/>
      <c r="AK285" s="64"/>
      <c r="AL285" s="64"/>
      <c r="AM285" s="16" t="s">
        <v>675</v>
      </c>
      <c r="AN285" s="16" t="s">
        <v>675</v>
      </c>
      <c r="AO285" s="16" t="s">
        <v>675</v>
      </c>
      <c r="AP285" s="16" t="s">
        <v>675</v>
      </c>
      <c r="AQ285" s="64"/>
      <c r="AR285" s="64"/>
      <c r="AS285" s="64"/>
      <c r="AT285" s="64"/>
      <c r="AU285" s="82"/>
      <c r="AV285" s="82"/>
      <c r="AW285" s="82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5"/>
    </row>
    <row r="286" spans="1:92" ht="18" hidden="1" customHeight="1" x14ac:dyDescent="0.3">
      <c r="A286" s="81" t="s">
        <v>259</v>
      </c>
      <c r="B286" s="76" t="s">
        <v>459</v>
      </c>
      <c r="C286" s="16" t="s">
        <v>1502</v>
      </c>
      <c r="D286" s="16" t="s">
        <v>1484</v>
      </c>
      <c r="E286" s="50">
        <v>50</v>
      </c>
      <c r="F286" s="50">
        <v>0</v>
      </c>
      <c r="G286" s="16">
        <v>1</v>
      </c>
      <c r="H286" s="16" t="s">
        <v>1023</v>
      </c>
      <c r="I286" s="16" t="s">
        <v>1016</v>
      </c>
      <c r="J286" s="16" t="s">
        <v>2382</v>
      </c>
      <c r="K286" s="16">
        <v>50</v>
      </c>
      <c r="L286" s="16">
        <v>50</v>
      </c>
      <c r="M286" s="64"/>
      <c r="N286" s="64"/>
      <c r="O286" s="49" t="str">
        <f t="shared" si="46"/>
        <v>YES</v>
      </c>
      <c r="P286" s="52"/>
      <c r="Q286" s="53">
        <f t="shared" si="39"/>
        <v>5000</v>
      </c>
      <c r="R286" s="54">
        <f t="shared" si="40"/>
        <v>2500</v>
      </c>
      <c r="S286" s="55" t="str">
        <f t="shared" si="41"/>
        <v xml:space="preserve"> </v>
      </c>
      <c r="T286" s="56"/>
      <c r="U286" s="57" t="str">
        <f t="shared" si="42"/>
        <v>100µg/100cm²</v>
      </c>
      <c r="V286" s="58">
        <f t="shared" si="43"/>
        <v>2500</v>
      </c>
      <c r="W286" s="58" t="str">
        <f t="shared" si="44"/>
        <v xml:space="preserve"> </v>
      </c>
      <c r="X286" s="59" t="str">
        <f t="shared" si="45"/>
        <v/>
      </c>
      <c r="Y286" s="60"/>
      <c r="Z286" s="64"/>
      <c r="AA286" s="64"/>
      <c r="AB286" s="64"/>
      <c r="AC286" s="64"/>
      <c r="AD286" s="64"/>
      <c r="AE286" s="16" t="s">
        <v>675</v>
      </c>
      <c r="AF286" s="16" t="s">
        <v>675</v>
      </c>
      <c r="AG286" s="16" t="s">
        <v>675</v>
      </c>
      <c r="AH286" s="64"/>
      <c r="AI286" s="64"/>
      <c r="AJ286" s="64"/>
      <c r="AK286" s="64"/>
      <c r="AL286" s="64"/>
      <c r="AM286" s="16" t="s">
        <v>675</v>
      </c>
      <c r="AN286" s="16" t="s">
        <v>675</v>
      </c>
      <c r="AO286" s="16" t="s">
        <v>675</v>
      </c>
      <c r="AP286" s="16" t="s">
        <v>675</v>
      </c>
      <c r="AQ286" s="64"/>
      <c r="AR286" s="64"/>
      <c r="AS286" s="64"/>
      <c r="AT286" s="64"/>
      <c r="AU286" s="82"/>
      <c r="AV286" s="82"/>
      <c r="AW286" s="82"/>
      <c r="AX286" s="64"/>
      <c r="AY286" s="64"/>
      <c r="AZ286" s="64"/>
      <c r="BA286" s="64"/>
      <c r="BB286" s="64"/>
      <c r="BC286" s="64"/>
      <c r="BD286" s="16" t="s">
        <v>675</v>
      </c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5"/>
    </row>
    <row r="287" spans="1:92" ht="18" hidden="1" customHeight="1" x14ac:dyDescent="0.3">
      <c r="A287" s="81" t="s">
        <v>260</v>
      </c>
      <c r="B287" s="76" t="s">
        <v>459</v>
      </c>
      <c r="C287" s="16" t="s">
        <v>1502</v>
      </c>
      <c r="D287" s="16" t="s">
        <v>1484</v>
      </c>
      <c r="E287" s="50">
        <v>50</v>
      </c>
      <c r="F287" s="50">
        <v>0</v>
      </c>
      <c r="G287" s="16">
        <v>1</v>
      </c>
      <c r="H287" s="16" t="s">
        <v>1023</v>
      </c>
      <c r="I287" s="16" t="s">
        <v>1016</v>
      </c>
      <c r="J287" s="16" t="s">
        <v>2382</v>
      </c>
      <c r="K287" s="16">
        <v>50</v>
      </c>
      <c r="L287" s="16">
        <v>50</v>
      </c>
      <c r="M287" s="64"/>
      <c r="N287" s="64"/>
      <c r="O287" s="49" t="str">
        <f t="shared" si="46"/>
        <v>YES</v>
      </c>
      <c r="P287" s="52"/>
      <c r="Q287" s="53">
        <f t="shared" si="39"/>
        <v>5000</v>
      </c>
      <c r="R287" s="54">
        <f t="shared" si="40"/>
        <v>2500</v>
      </c>
      <c r="S287" s="55" t="str">
        <f t="shared" si="41"/>
        <v xml:space="preserve"> </v>
      </c>
      <c r="T287" s="56"/>
      <c r="U287" s="57" t="str">
        <f t="shared" si="42"/>
        <v>100µg/100cm²</v>
      </c>
      <c r="V287" s="58">
        <f t="shared" si="43"/>
        <v>2500</v>
      </c>
      <c r="W287" s="58" t="str">
        <f t="shared" si="44"/>
        <v xml:space="preserve"> </v>
      </c>
      <c r="X287" s="59" t="str">
        <f t="shared" si="45"/>
        <v/>
      </c>
      <c r="Y287" s="60"/>
      <c r="Z287" s="16" t="s">
        <v>675</v>
      </c>
      <c r="AA287" s="64"/>
      <c r="AB287" s="64"/>
      <c r="AC287" s="64"/>
      <c r="AD287" s="64"/>
      <c r="AE287" s="16" t="s">
        <v>675</v>
      </c>
      <c r="AF287" s="16" t="s">
        <v>675</v>
      </c>
      <c r="AG287" s="16" t="s">
        <v>675</v>
      </c>
      <c r="AH287" s="64"/>
      <c r="AI287" s="64"/>
      <c r="AJ287" s="64"/>
      <c r="AK287" s="64"/>
      <c r="AL287" s="64"/>
      <c r="AM287" s="16" t="s">
        <v>675</v>
      </c>
      <c r="AN287" s="16" t="s">
        <v>675</v>
      </c>
      <c r="AO287" s="16" t="s">
        <v>675</v>
      </c>
      <c r="AP287" s="16" t="s">
        <v>675</v>
      </c>
      <c r="AQ287" s="64"/>
      <c r="AR287" s="64"/>
      <c r="AS287" s="64"/>
      <c r="AT287" s="64"/>
      <c r="AU287" s="82"/>
      <c r="AV287" s="82"/>
      <c r="AW287" s="82"/>
      <c r="AX287" s="64"/>
      <c r="AY287" s="64"/>
      <c r="AZ287" s="64"/>
      <c r="BA287" s="64"/>
      <c r="BB287" s="64"/>
      <c r="BC287" s="64"/>
      <c r="BD287" s="16" t="s">
        <v>675</v>
      </c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5"/>
    </row>
    <row r="288" spans="1:92" ht="18" hidden="1" customHeight="1" x14ac:dyDescent="0.3">
      <c r="A288" s="89" t="s">
        <v>1758</v>
      </c>
      <c r="B288" s="16" t="s">
        <v>1759</v>
      </c>
      <c r="C288" s="16" t="s">
        <v>1760</v>
      </c>
      <c r="D288" s="16" t="s">
        <v>1268</v>
      </c>
      <c r="E288" s="50">
        <v>83.9</v>
      </c>
      <c r="F288" s="50">
        <v>0</v>
      </c>
      <c r="G288" s="16">
        <v>7</v>
      </c>
      <c r="H288" s="16" t="s">
        <v>1271</v>
      </c>
      <c r="I288" s="48" t="s">
        <v>1474</v>
      </c>
      <c r="J288" s="16" t="s">
        <v>2389</v>
      </c>
      <c r="K288" s="16">
        <v>50000</v>
      </c>
      <c r="L288" s="16">
        <v>50000</v>
      </c>
      <c r="M288" s="64"/>
      <c r="N288" s="16" t="s">
        <v>2390</v>
      </c>
      <c r="O288" s="63" t="str">
        <f t="shared" si="46"/>
        <v>NO</v>
      </c>
      <c r="P288" s="73"/>
      <c r="Q288" s="53">
        <f t="shared" si="39"/>
        <v>5000</v>
      </c>
      <c r="R288" s="54">
        <f t="shared" si="40"/>
        <v>4195</v>
      </c>
      <c r="S288" s="55" t="str">
        <f t="shared" si="41"/>
        <v xml:space="preserve"> </v>
      </c>
      <c r="T288" s="56"/>
      <c r="U288" s="57" t="str">
        <f t="shared" si="42"/>
        <v>100µg/100cm²</v>
      </c>
      <c r="V288" s="58">
        <f t="shared" si="43"/>
        <v>4195</v>
      </c>
      <c r="W288" s="57" t="str">
        <f t="shared" si="44"/>
        <v xml:space="preserve"> </v>
      </c>
      <c r="X288" s="59" t="str">
        <f t="shared" si="45"/>
        <v/>
      </c>
      <c r="Y288" s="60"/>
      <c r="Z288" s="64"/>
      <c r="AA288" s="64"/>
      <c r="AB288" s="64"/>
      <c r="AC288" s="64"/>
      <c r="AD288" s="64"/>
      <c r="AE288" s="16" t="s">
        <v>675</v>
      </c>
      <c r="AF288" s="64"/>
      <c r="AG288" s="64"/>
      <c r="AH288" s="64"/>
      <c r="AI288" s="64"/>
      <c r="AJ288" s="16" t="s">
        <v>675</v>
      </c>
      <c r="AK288" s="16" t="s">
        <v>675</v>
      </c>
      <c r="AL288" s="16" t="s">
        <v>675</v>
      </c>
      <c r="AM288" s="16" t="s">
        <v>675</v>
      </c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</row>
    <row r="289" spans="1:72" ht="18" hidden="1" customHeight="1" x14ac:dyDescent="0.3">
      <c r="A289" s="47" t="s">
        <v>724</v>
      </c>
      <c r="B289" s="48" t="s">
        <v>564</v>
      </c>
      <c r="C289" s="16" t="s">
        <v>1252</v>
      </c>
      <c r="D289" s="70" t="s">
        <v>1114</v>
      </c>
      <c r="E289" s="50">
        <v>15.32</v>
      </c>
      <c r="F289" s="50">
        <v>0</v>
      </c>
      <c r="G289" s="61">
        <v>3</v>
      </c>
      <c r="H289" s="68" t="s">
        <v>1226</v>
      </c>
      <c r="I289" s="48" t="s">
        <v>1196</v>
      </c>
      <c r="J289" s="16" t="s">
        <v>1253</v>
      </c>
      <c r="K289" s="49">
        <v>4100</v>
      </c>
      <c r="L289" s="49">
        <v>37100</v>
      </c>
      <c r="M289" s="49" t="s">
        <v>1014</v>
      </c>
      <c r="N289" s="51"/>
      <c r="O289" s="49" t="str">
        <f t="shared" si="46"/>
        <v>YES</v>
      </c>
      <c r="P289" s="52"/>
      <c r="Q289" s="53">
        <f t="shared" si="39"/>
        <v>5000</v>
      </c>
      <c r="R289" s="54">
        <f t="shared" si="40"/>
        <v>766</v>
      </c>
      <c r="S289" s="55" t="str">
        <f t="shared" si="41"/>
        <v xml:space="preserve"> </v>
      </c>
      <c r="T289" s="56"/>
      <c r="U289" s="57" t="str">
        <f t="shared" si="42"/>
        <v>100µg/100cm²</v>
      </c>
      <c r="V289" s="58">
        <f t="shared" si="43"/>
        <v>766</v>
      </c>
      <c r="W289" s="58" t="str">
        <f t="shared" si="44"/>
        <v xml:space="preserve"> </v>
      </c>
      <c r="X289" s="59" t="str">
        <f t="shared" si="45"/>
        <v/>
      </c>
      <c r="Y289" s="60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16" t="s">
        <v>675</v>
      </c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5"/>
    </row>
    <row r="290" spans="1:72" ht="18" hidden="1" customHeight="1" x14ac:dyDescent="0.3">
      <c r="A290" s="47" t="s">
        <v>1661</v>
      </c>
      <c r="B290" s="48" t="s">
        <v>1798</v>
      </c>
      <c r="C290" s="49" t="s">
        <v>1469</v>
      </c>
      <c r="D290" s="16" t="s">
        <v>1417</v>
      </c>
      <c r="E290" s="50">
        <v>61</v>
      </c>
      <c r="F290" s="50">
        <v>0</v>
      </c>
      <c r="G290" s="61">
        <v>2</v>
      </c>
      <c r="H290" s="16">
        <v>100</v>
      </c>
      <c r="I290" s="70" t="s">
        <v>1474</v>
      </c>
      <c r="J290" s="16" t="s">
        <v>1662</v>
      </c>
      <c r="K290" s="49">
        <v>6000</v>
      </c>
      <c r="L290" s="49">
        <v>54000</v>
      </c>
      <c r="M290" s="49" t="s">
        <v>1014</v>
      </c>
      <c r="N290" s="51"/>
      <c r="O290" s="49" t="str">
        <f t="shared" si="46"/>
        <v>YES</v>
      </c>
      <c r="P290" s="52"/>
      <c r="Q290" s="53">
        <f t="shared" si="39"/>
        <v>5000</v>
      </c>
      <c r="R290" s="54">
        <f t="shared" si="40"/>
        <v>3050</v>
      </c>
      <c r="S290" s="55" t="str">
        <f t="shared" si="41"/>
        <v xml:space="preserve"> </v>
      </c>
      <c r="T290" s="56"/>
      <c r="U290" s="57" t="str">
        <f t="shared" si="42"/>
        <v>100µg/100cm²</v>
      </c>
      <c r="V290" s="58">
        <f t="shared" si="43"/>
        <v>3050</v>
      </c>
      <c r="W290" s="58" t="str">
        <f t="shared" si="44"/>
        <v xml:space="preserve"> </v>
      </c>
      <c r="X290" s="59" t="str">
        <f t="shared" si="45"/>
        <v/>
      </c>
      <c r="Y290" s="60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16" t="s">
        <v>675</v>
      </c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5"/>
    </row>
    <row r="291" spans="1:72" ht="18" hidden="1" customHeight="1" x14ac:dyDescent="0.3">
      <c r="A291" s="81" t="s">
        <v>896</v>
      </c>
      <c r="B291" s="76" t="s">
        <v>459</v>
      </c>
      <c r="C291" s="16" t="s">
        <v>1500</v>
      </c>
      <c r="D291" s="16" t="s">
        <v>1485</v>
      </c>
      <c r="E291" s="50">
        <v>50</v>
      </c>
      <c r="F291" s="50">
        <v>0</v>
      </c>
      <c r="G291" s="16">
        <v>1</v>
      </c>
      <c r="H291" s="16" t="s">
        <v>1023</v>
      </c>
      <c r="I291" s="16" t="s">
        <v>1016</v>
      </c>
      <c r="J291" s="16" t="s">
        <v>2382</v>
      </c>
      <c r="K291" s="16">
        <v>50</v>
      </c>
      <c r="L291" s="16">
        <v>50</v>
      </c>
      <c r="M291" s="64"/>
      <c r="N291" s="64"/>
      <c r="O291" s="49" t="str">
        <f t="shared" si="46"/>
        <v>YES</v>
      </c>
      <c r="P291" s="52"/>
      <c r="Q291" s="53">
        <f t="shared" si="39"/>
        <v>5000</v>
      </c>
      <c r="R291" s="54">
        <f t="shared" si="40"/>
        <v>2500</v>
      </c>
      <c r="S291" s="55" t="str">
        <f t="shared" si="41"/>
        <v xml:space="preserve"> </v>
      </c>
      <c r="T291" s="56"/>
      <c r="U291" s="57" t="str">
        <f t="shared" si="42"/>
        <v>100µg/100cm²</v>
      </c>
      <c r="V291" s="58">
        <f t="shared" si="43"/>
        <v>2500</v>
      </c>
      <c r="W291" s="58" t="str">
        <f t="shared" si="44"/>
        <v xml:space="preserve"> </v>
      </c>
      <c r="X291" s="59" t="str">
        <f t="shared" si="45"/>
        <v/>
      </c>
      <c r="Y291" s="60"/>
      <c r="Z291" s="64"/>
      <c r="AA291" s="64"/>
      <c r="AB291" s="64"/>
      <c r="AC291" s="64"/>
      <c r="AD291" s="64"/>
      <c r="AE291" s="16" t="s">
        <v>675</v>
      </c>
      <c r="AF291" s="64"/>
      <c r="AG291" s="64"/>
      <c r="AH291" s="64"/>
      <c r="AI291" s="64"/>
      <c r="AJ291" s="64"/>
      <c r="AK291" s="64"/>
      <c r="AL291" s="64"/>
      <c r="AM291" s="16" t="s">
        <v>675</v>
      </c>
      <c r="AN291" s="64"/>
      <c r="AO291" s="64"/>
      <c r="AP291" s="64"/>
      <c r="AQ291" s="64"/>
      <c r="AR291" s="64"/>
      <c r="AS291" s="64"/>
      <c r="AT291" s="64"/>
      <c r="AU291" s="82"/>
      <c r="AV291" s="82"/>
      <c r="AW291" s="82"/>
      <c r="AX291" s="64"/>
      <c r="AY291" s="16" t="s">
        <v>675</v>
      </c>
      <c r="AZ291" s="16" t="s">
        <v>675</v>
      </c>
      <c r="BA291" s="16" t="s">
        <v>675</v>
      </c>
      <c r="BB291" s="16" t="s">
        <v>675</v>
      </c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5"/>
    </row>
    <row r="292" spans="1:72" ht="18" hidden="1" customHeight="1" x14ac:dyDescent="0.3">
      <c r="A292" s="81" t="s">
        <v>897</v>
      </c>
      <c r="B292" s="76" t="s">
        <v>459</v>
      </c>
      <c r="C292" s="16" t="s">
        <v>1499</v>
      </c>
      <c r="D292" s="16" t="s">
        <v>1495</v>
      </c>
      <c r="E292" s="50">
        <v>10</v>
      </c>
      <c r="F292" s="50">
        <v>0</v>
      </c>
      <c r="G292" s="16">
        <v>7</v>
      </c>
      <c r="H292" s="16" t="s">
        <v>1428</v>
      </c>
      <c r="I292" s="16" t="s">
        <v>1016</v>
      </c>
      <c r="J292" s="16" t="s">
        <v>2382</v>
      </c>
      <c r="K292" s="16">
        <v>50</v>
      </c>
      <c r="L292" s="16">
        <v>50</v>
      </c>
      <c r="M292" s="64"/>
      <c r="N292" s="64"/>
      <c r="O292" s="49" t="str">
        <f t="shared" si="46"/>
        <v>YES</v>
      </c>
      <c r="P292" s="52"/>
      <c r="Q292" s="53">
        <f t="shared" si="39"/>
        <v>5000</v>
      </c>
      <c r="R292" s="54">
        <f t="shared" si="40"/>
        <v>500</v>
      </c>
      <c r="S292" s="55" t="str">
        <f t="shared" si="41"/>
        <v xml:space="preserve"> </v>
      </c>
      <c r="T292" s="56"/>
      <c r="U292" s="57" t="str">
        <f t="shared" si="42"/>
        <v>100µg/100cm²</v>
      </c>
      <c r="V292" s="58">
        <f t="shared" si="43"/>
        <v>500</v>
      </c>
      <c r="W292" s="58" t="str">
        <f t="shared" si="44"/>
        <v xml:space="preserve"> </v>
      </c>
      <c r="X292" s="59" t="str">
        <f t="shared" si="45"/>
        <v/>
      </c>
      <c r="Y292" s="60"/>
      <c r="Z292" s="64"/>
      <c r="AA292" s="64"/>
      <c r="AB292" s="64"/>
      <c r="AC292" s="16" t="s">
        <v>675</v>
      </c>
      <c r="AD292" s="16" t="s">
        <v>675</v>
      </c>
      <c r="AE292" s="64"/>
      <c r="AF292" s="64"/>
      <c r="AG292" s="64"/>
      <c r="AH292" s="64"/>
      <c r="AI292" s="64"/>
      <c r="AJ292" s="64"/>
      <c r="AK292" s="64"/>
      <c r="AL292" s="64"/>
      <c r="AM292" s="16" t="s">
        <v>675</v>
      </c>
      <c r="AN292" s="64"/>
      <c r="AO292" s="64"/>
      <c r="AP292" s="64"/>
      <c r="AQ292" s="64"/>
      <c r="AR292" s="64"/>
      <c r="AS292" s="64"/>
      <c r="AT292" s="64"/>
      <c r="AU292" s="82"/>
      <c r="AV292" s="82"/>
      <c r="AW292" s="82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5"/>
    </row>
    <row r="293" spans="1:72" ht="18" hidden="1" customHeight="1" x14ac:dyDescent="0.3">
      <c r="A293" s="98" t="s">
        <v>470</v>
      </c>
      <c r="B293" s="99" t="s">
        <v>459</v>
      </c>
      <c r="C293" s="16" t="s">
        <v>1499</v>
      </c>
      <c r="D293" s="16" t="s">
        <v>1495</v>
      </c>
      <c r="E293" s="50">
        <v>10</v>
      </c>
      <c r="F293" s="50">
        <v>0</v>
      </c>
      <c r="G293" s="16">
        <v>7</v>
      </c>
      <c r="H293" s="16" t="s">
        <v>1428</v>
      </c>
      <c r="I293" s="16" t="s">
        <v>1016</v>
      </c>
      <c r="J293" s="16" t="s">
        <v>2382</v>
      </c>
      <c r="K293" s="16">
        <v>50</v>
      </c>
      <c r="L293" s="16">
        <v>50</v>
      </c>
      <c r="M293" s="64"/>
      <c r="N293" s="64"/>
      <c r="O293" s="49" t="str">
        <f t="shared" si="46"/>
        <v>YES</v>
      </c>
      <c r="P293" s="52"/>
      <c r="Q293" s="53">
        <f t="shared" si="39"/>
        <v>5000</v>
      </c>
      <c r="R293" s="54">
        <f t="shared" si="40"/>
        <v>500</v>
      </c>
      <c r="S293" s="55" t="str">
        <f t="shared" si="41"/>
        <v xml:space="preserve"> </v>
      </c>
      <c r="T293" s="56"/>
      <c r="U293" s="57" t="str">
        <f t="shared" si="42"/>
        <v>100µg/100cm²</v>
      </c>
      <c r="V293" s="58">
        <f t="shared" si="43"/>
        <v>500</v>
      </c>
      <c r="W293" s="58" t="str">
        <f t="shared" si="44"/>
        <v xml:space="preserve"> </v>
      </c>
      <c r="X293" s="59" t="str">
        <f t="shared" si="45"/>
        <v/>
      </c>
      <c r="Y293" s="60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16" t="s">
        <v>675</v>
      </c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5"/>
    </row>
    <row r="294" spans="1:72" ht="18" hidden="1" customHeight="1" x14ac:dyDescent="0.3">
      <c r="A294" s="27" t="s">
        <v>845</v>
      </c>
      <c r="B294" s="71" t="s">
        <v>846</v>
      </c>
      <c r="C294" s="16" t="s">
        <v>1620</v>
      </c>
      <c r="D294" s="16" t="s">
        <v>1973</v>
      </c>
      <c r="E294" s="50">
        <v>46.9</v>
      </c>
      <c r="F294" s="50">
        <v>0</v>
      </c>
      <c r="G294" s="16">
        <v>5</v>
      </c>
      <c r="H294" s="16" t="s">
        <v>1812</v>
      </c>
      <c r="I294" s="16" t="s">
        <v>1016</v>
      </c>
      <c r="J294" s="16" t="s">
        <v>2386</v>
      </c>
      <c r="K294" s="16">
        <v>50</v>
      </c>
      <c r="L294" s="16">
        <v>50</v>
      </c>
      <c r="M294" s="64"/>
      <c r="N294" s="64"/>
      <c r="O294" s="49" t="str">
        <f t="shared" si="46"/>
        <v>YES</v>
      </c>
      <c r="P294" s="52"/>
      <c r="Q294" s="53">
        <f t="shared" si="39"/>
        <v>5000</v>
      </c>
      <c r="R294" s="54">
        <f t="shared" si="40"/>
        <v>2345</v>
      </c>
      <c r="S294" s="55" t="str">
        <f t="shared" si="41"/>
        <v xml:space="preserve"> </v>
      </c>
      <c r="T294" s="56"/>
      <c r="U294" s="57" t="str">
        <f t="shared" si="42"/>
        <v>100µg/100cm²</v>
      </c>
      <c r="V294" s="58">
        <f t="shared" si="43"/>
        <v>2345</v>
      </c>
      <c r="W294" s="58" t="str">
        <f t="shared" si="44"/>
        <v xml:space="preserve"> </v>
      </c>
      <c r="X294" s="59" t="str">
        <f t="shared" si="45"/>
        <v/>
      </c>
      <c r="Y294" s="60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16" t="s">
        <v>675</v>
      </c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16" t="s">
        <v>675</v>
      </c>
      <c r="BT294" s="65"/>
    </row>
    <row r="295" spans="1:72" ht="18" hidden="1" customHeight="1" x14ac:dyDescent="0.3">
      <c r="A295" s="81" t="s">
        <v>575</v>
      </c>
      <c r="B295" s="76" t="s">
        <v>459</v>
      </c>
      <c r="C295" s="16" t="s">
        <v>1503</v>
      </c>
      <c r="D295" s="16" t="s">
        <v>1494</v>
      </c>
      <c r="E295" s="50">
        <v>50</v>
      </c>
      <c r="F295" s="50">
        <v>0</v>
      </c>
      <c r="G295" s="16">
        <v>1</v>
      </c>
      <c r="H295" s="16" t="s">
        <v>1023</v>
      </c>
      <c r="I295" s="16" t="s">
        <v>1016</v>
      </c>
      <c r="J295" s="16" t="s">
        <v>2382</v>
      </c>
      <c r="K295" s="16">
        <v>50</v>
      </c>
      <c r="L295" s="16">
        <v>50</v>
      </c>
      <c r="M295" s="64"/>
      <c r="N295" s="64"/>
      <c r="O295" s="49" t="str">
        <f t="shared" si="46"/>
        <v>YES</v>
      </c>
      <c r="P295" s="52"/>
      <c r="Q295" s="53">
        <f t="shared" si="39"/>
        <v>5000</v>
      </c>
      <c r="R295" s="54">
        <f t="shared" si="40"/>
        <v>2500</v>
      </c>
      <c r="S295" s="55" t="str">
        <f t="shared" si="41"/>
        <v xml:space="preserve"> </v>
      </c>
      <c r="T295" s="56"/>
      <c r="U295" s="57" t="str">
        <f t="shared" si="42"/>
        <v>100µg/100cm²</v>
      </c>
      <c r="V295" s="58">
        <f t="shared" si="43"/>
        <v>2500</v>
      </c>
      <c r="W295" s="58" t="str">
        <f t="shared" si="44"/>
        <v xml:space="preserve"> </v>
      </c>
      <c r="X295" s="59" t="str">
        <f t="shared" si="45"/>
        <v/>
      </c>
      <c r="Y295" s="60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16" t="s">
        <v>675</v>
      </c>
      <c r="AT295" s="64"/>
      <c r="AU295" s="82"/>
      <c r="AV295" s="82"/>
      <c r="AW295" s="82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5"/>
    </row>
    <row r="296" spans="1:72" ht="18" hidden="1" customHeight="1" x14ac:dyDescent="0.3">
      <c r="A296" s="98" t="s">
        <v>576</v>
      </c>
      <c r="B296" s="99" t="s">
        <v>459</v>
      </c>
      <c r="C296" s="16" t="s">
        <v>1503</v>
      </c>
      <c r="D296" s="16" t="s">
        <v>1494</v>
      </c>
      <c r="E296" s="50">
        <v>50</v>
      </c>
      <c r="F296" s="50">
        <v>0</v>
      </c>
      <c r="G296" s="16">
        <v>1</v>
      </c>
      <c r="H296" s="16" t="s">
        <v>1023</v>
      </c>
      <c r="I296" s="16" t="s">
        <v>1016</v>
      </c>
      <c r="J296" s="16" t="s">
        <v>2382</v>
      </c>
      <c r="K296" s="16">
        <v>50</v>
      </c>
      <c r="L296" s="16">
        <v>50</v>
      </c>
      <c r="M296" s="64"/>
      <c r="N296" s="64"/>
      <c r="O296" s="49" t="str">
        <f t="shared" si="46"/>
        <v>YES</v>
      </c>
      <c r="P296" s="52"/>
      <c r="Q296" s="53">
        <f t="shared" si="39"/>
        <v>5000</v>
      </c>
      <c r="R296" s="54">
        <f t="shared" si="40"/>
        <v>2500</v>
      </c>
      <c r="S296" s="55" t="str">
        <f t="shared" si="41"/>
        <v xml:space="preserve"> </v>
      </c>
      <c r="T296" s="56"/>
      <c r="U296" s="57" t="str">
        <f t="shared" si="42"/>
        <v>100µg/100cm²</v>
      </c>
      <c r="V296" s="58">
        <f t="shared" si="43"/>
        <v>2500</v>
      </c>
      <c r="W296" s="58" t="str">
        <f t="shared" si="44"/>
        <v xml:space="preserve"> </v>
      </c>
      <c r="X296" s="59" t="str">
        <f t="shared" si="45"/>
        <v/>
      </c>
      <c r="Y296" s="60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16" t="s">
        <v>675</v>
      </c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5"/>
    </row>
    <row r="297" spans="1:72" ht="18" hidden="1" customHeight="1" x14ac:dyDescent="0.3">
      <c r="A297" s="81" t="s">
        <v>577</v>
      </c>
      <c r="B297" s="99" t="s">
        <v>459</v>
      </c>
      <c r="C297" s="16" t="s">
        <v>1503</v>
      </c>
      <c r="D297" s="16" t="s">
        <v>1494</v>
      </c>
      <c r="E297" s="50">
        <v>50</v>
      </c>
      <c r="F297" s="50">
        <v>0</v>
      </c>
      <c r="G297" s="16">
        <v>1</v>
      </c>
      <c r="H297" s="16" t="s">
        <v>1023</v>
      </c>
      <c r="I297" s="16" t="s">
        <v>1016</v>
      </c>
      <c r="J297" s="16" t="s">
        <v>2382</v>
      </c>
      <c r="K297" s="16">
        <v>50</v>
      </c>
      <c r="L297" s="16">
        <v>50</v>
      </c>
      <c r="M297" s="64"/>
      <c r="N297" s="64"/>
      <c r="O297" s="49" t="str">
        <f t="shared" si="46"/>
        <v>YES</v>
      </c>
      <c r="P297" s="52"/>
      <c r="Q297" s="53">
        <f t="shared" si="39"/>
        <v>5000</v>
      </c>
      <c r="R297" s="54">
        <f t="shared" si="40"/>
        <v>2500</v>
      </c>
      <c r="S297" s="55" t="str">
        <f t="shared" si="41"/>
        <v xml:space="preserve"> </v>
      </c>
      <c r="T297" s="56"/>
      <c r="U297" s="57" t="str">
        <f t="shared" si="42"/>
        <v>100µg/100cm²</v>
      </c>
      <c r="V297" s="58">
        <f t="shared" si="43"/>
        <v>2500</v>
      </c>
      <c r="W297" s="58" t="str">
        <f t="shared" si="44"/>
        <v xml:space="preserve"> </v>
      </c>
      <c r="X297" s="59" t="str">
        <f t="shared" si="45"/>
        <v/>
      </c>
      <c r="Y297" s="60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16" t="s">
        <v>675</v>
      </c>
      <c r="AR297" s="64"/>
      <c r="AS297" s="16" t="s">
        <v>675</v>
      </c>
      <c r="AT297" s="64"/>
      <c r="AU297" s="82"/>
      <c r="AV297" s="82"/>
      <c r="AW297" s="82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5"/>
    </row>
    <row r="298" spans="1:72" ht="18" hidden="1" customHeight="1" x14ac:dyDescent="0.3">
      <c r="A298" s="81" t="s">
        <v>261</v>
      </c>
      <c r="B298" s="76" t="s">
        <v>459</v>
      </c>
      <c r="C298" s="16" t="s">
        <v>1502</v>
      </c>
      <c r="D298" s="16" t="s">
        <v>1484</v>
      </c>
      <c r="E298" s="50">
        <v>50</v>
      </c>
      <c r="F298" s="50">
        <v>0</v>
      </c>
      <c r="G298" s="16">
        <v>1</v>
      </c>
      <c r="H298" s="16" t="s">
        <v>1023</v>
      </c>
      <c r="I298" s="16" t="s">
        <v>1016</v>
      </c>
      <c r="J298" s="16" t="s">
        <v>2382</v>
      </c>
      <c r="K298" s="16">
        <v>50</v>
      </c>
      <c r="L298" s="16">
        <v>50</v>
      </c>
      <c r="M298" s="64"/>
      <c r="N298" s="64"/>
      <c r="O298" s="49" t="str">
        <f t="shared" si="46"/>
        <v>YES</v>
      </c>
      <c r="P298" s="52"/>
      <c r="Q298" s="53">
        <f t="shared" si="39"/>
        <v>5000</v>
      </c>
      <c r="R298" s="54">
        <f t="shared" si="40"/>
        <v>2500</v>
      </c>
      <c r="S298" s="55" t="str">
        <f t="shared" si="41"/>
        <v xml:space="preserve"> </v>
      </c>
      <c r="T298" s="56"/>
      <c r="U298" s="57" t="str">
        <f t="shared" si="42"/>
        <v>100µg/100cm²</v>
      </c>
      <c r="V298" s="58">
        <f t="shared" si="43"/>
        <v>2500</v>
      </c>
      <c r="W298" s="58" t="str">
        <f t="shared" si="44"/>
        <v xml:space="preserve"> </v>
      </c>
      <c r="X298" s="59" t="str">
        <f t="shared" si="45"/>
        <v/>
      </c>
      <c r="Y298" s="60"/>
      <c r="Z298" s="64"/>
      <c r="AA298" s="64"/>
      <c r="AB298" s="64"/>
      <c r="AC298" s="16" t="s">
        <v>675</v>
      </c>
      <c r="AD298" s="16" t="s">
        <v>675</v>
      </c>
      <c r="AE298" s="16" t="s">
        <v>675</v>
      </c>
      <c r="AF298" s="16" t="s">
        <v>675</v>
      </c>
      <c r="AG298" s="16" t="s">
        <v>675</v>
      </c>
      <c r="AH298" s="64"/>
      <c r="AI298" s="64"/>
      <c r="AJ298" s="64"/>
      <c r="AK298" s="64"/>
      <c r="AL298" s="64"/>
      <c r="AM298" s="16" t="s">
        <v>675</v>
      </c>
      <c r="AN298" s="64"/>
      <c r="AO298" s="64"/>
      <c r="AP298" s="64"/>
      <c r="AQ298" s="64"/>
      <c r="AR298" s="64"/>
      <c r="AS298" s="64"/>
      <c r="AT298" s="64"/>
      <c r="AU298" s="82"/>
      <c r="AV298" s="82"/>
      <c r="AW298" s="82"/>
      <c r="AX298" s="16" t="s">
        <v>675</v>
      </c>
      <c r="AY298" s="64"/>
      <c r="AZ298" s="64"/>
      <c r="BA298" s="64"/>
      <c r="BB298" s="64"/>
      <c r="BC298" s="64"/>
      <c r="BD298" s="16" t="s">
        <v>675</v>
      </c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5"/>
    </row>
    <row r="299" spans="1:72" ht="18" hidden="1" customHeight="1" x14ac:dyDescent="0.3">
      <c r="A299" s="81" t="s">
        <v>262</v>
      </c>
      <c r="B299" s="76" t="s">
        <v>459</v>
      </c>
      <c r="C299" s="16" t="s">
        <v>1502</v>
      </c>
      <c r="D299" s="16" t="s">
        <v>1484</v>
      </c>
      <c r="E299" s="50">
        <v>50</v>
      </c>
      <c r="F299" s="50">
        <v>0</v>
      </c>
      <c r="G299" s="16">
        <v>1</v>
      </c>
      <c r="H299" s="16" t="s">
        <v>1023</v>
      </c>
      <c r="I299" s="16" t="s">
        <v>1016</v>
      </c>
      <c r="J299" s="16" t="s">
        <v>2382</v>
      </c>
      <c r="K299" s="16">
        <v>50</v>
      </c>
      <c r="L299" s="16">
        <v>50</v>
      </c>
      <c r="M299" s="64"/>
      <c r="N299" s="64"/>
      <c r="O299" s="49" t="str">
        <f t="shared" si="46"/>
        <v>YES</v>
      </c>
      <c r="P299" s="52"/>
      <c r="Q299" s="53">
        <f t="shared" si="39"/>
        <v>5000</v>
      </c>
      <c r="R299" s="54">
        <f t="shared" si="40"/>
        <v>2500</v>
      </c>
      <c r="S299" s="55" t="str">
        <f t="shared" si="41"/>
        <v xml:space="preserve"> </v>
      </c>
      <c r="T299" s="56"/>
      <c r="U299" s="57" t="str">
        <f t="shared" si="42"/>
        <v>100µg/100cm²</v>
      </c>
      <c r="V299" s="58">
        <f t="shared" si="43"/>
        <v>2500</v>
      </c>
      <c r="W299" s="58" t="str">
        <f t="shared" si="44"/>
        <v xml:space="preserve"> </v>
      </c>
      <c r="X299" s="59" t="str">
        <f t="shared" si="45"/>
        <v/>
      </c>
      <c r="Y299" s="60"/>
      <c r="Z299" s="64"/>
      <c r="AA299" s="64"/>
      <c r="AB299" s="64"/>
      <c r="AC299" s="16" t="s">
        <v>675</v>
      </c>
      <c r="AD299" s="16" t="s">
        <v>675</v>
      </c>
      <c r="AE299" s="16" t="s">
        <v>675</v>
      </c>
      <c r="AF299" s="16" t="s">
        <v>675</v>
      </c>
      <c r="AG299" s="16" t="s">
        <v>675</v>
      </c>
      <c r="AH299" s="64"/>
      <c r="AI299" s="64"/>
      <c r="AJ299" s="64"/>
      <c r="AK299" s="64"/>
      <c r="AL299" s="64"/>
      <c r="AM299" s="16" t="s">
        <v>675</v>
      </c>
      <c r="AN299" s="64"/>
      <c r="AO299" s="64"/>
      <c r="AP299" s="64"/>
      <c r="AQ299" s="64"/>
      <c r="AR299" s="64"/>
      <c r="AS299" s="64"/>
      <c r="AT299" s="64"/>
      <c r="AU299" s="82"/>
      <c r="AV299" s="82"/>
      <c r="AW299" s="82"/>
      <c r="AX299" s="16" t="s">
        <v>675</v>
      </c>
      <c r="AY299" s="64"/>
      <c r="AZ299" s="64"/>
      <c r="BA299" s="64"/>
      <c r="BB299" s="64"/>
      <c r="BC299" s="64"/>
      <c r="BD299" s="16" t="s">
        <v>675</v>
      </c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5"/>
    </row>
    <row r="300" spans="1:72" ht="18" hidden="1" customHeight="1" x14ac:dyDescent="0.3">
      <c r="A300" s="98" t="s">
        <v>534</v>
      </c>
      <c r="B300" s="99" t="s">
        <v>535</v>
      </c>
      <c r="C300" s="16" t="s">
        <v>1604</v>
      </c>
      <c r="D300" s="16" t="s">
        <v>438</v>
      </c>
      <c r="E300" s="50">
        <v>53</v>
      </c>
      <c r="F300" s="50">
        <v>0</v>
      </c>
      <c r="G300" s="16">
        <v>2</v>
      </c>
      <c r="H300" s="16">
        <v>300</v>
      </c>
      <c r="I300" s="99" t="s">
        <v>1016</v>
      </c>
      <c r="J300" s="16" t="s">
        <v>2382</v>
      </c>
      <c r="K300" s="16">
        <v>50</v>
      </c>
      <c r="L300" s="16">
        <v>50</v>
      </c>
      <c r="M300" s="64"/>
      <c r="N300" s="64"/>
      <c r="O300" s="49" t="str">
        <f t="shared" si="46"/>
        <v>YES</v>
      </c>
      <c r="P300" s="52"/>
      <c r="Q300" s="53">
        <f t="shared" si="39"/>
        <v>5000</v>
      </c>
      <c r="R300" s="54">
        <f t="shared" si="40"/>
        <v>2650</v>
      </c>
      <c r="S300" s="55" t="str">
        <f t="shared" si="41"/>
        <v xml:space="preserve"> </v>
      </c>
      <c r="T300" s="56"/>
      <c r="U300" s="57" t="str">
        <f t="shared" si="42"/>
        <v>100µg/100cm²</v>
      </c>
      <c r="V300" s="58">
        <f t="shared" si="43"/>
        <v>2650</v>
      </c>
      <c r="W300" s="58" t="str">
        <f t="shared" si="44"/>
        <v xml:space="preserve"> </v>
      </c>
      <c r="X300" s="59" t="str">
        <f t="shared" si="45"/>
        <v/>
      </c>
      <c r="Y300" s="60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16" t="s">
        <v>675</v>
      </c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5"/>
    </row>
    <row r="301" spans="1:72" ht="18" customHeight="1" x14ac:dyDescent="0.3">
      <c r="A301" s="47" t="s">
        <v>2277</v>
      </c>
      <c r="B301" s="49" t="s">
        <v>2278</v>
      </c>
      <c r="C301" s="49" t="s">
        <v>2336</v>
      </c>
      <c r="D301" s="16" t="s">
        <v>1498</v>
      </c>
      <c r="E301" s="50">
        <v>0</v>
      </c>
      <c r="F301" s="50">
        <v>0</v>
      </c>
      <c r="G301" s="16">
        <v>3</v>
      </c>
      <c r="H301" s="16">
        <v>30</v>
      </c>
      <c r="I301" s="70" t="s">
        <v>2247</v>
      </c>
      <c r="J301" s="76" t="s">
        <v>2279</v>
      </c>
      <c r="K301" s="49">
        <v>1.5</v>
      </c>
      <c r="L301" s="49">
        <v>1.5</v>
      </c>
      <c r="M301" s="49" t="s">
        <v>1036</v>
      </c>
      <c r="N301" s="64"/>
      <c r="O301" s="49" t="str">
        <f t="shared" si="46"/>
        <v>YES</v>
      </c>
      <c r="P301" s="73"/>
      <c r="Q301" s="53">
        <f t="shared" si="39"/>
        <v>273.7</v>
      </c>
      <c r="R301" s="54" t="str">
        <f t="shared" si="40"/>
        <v xml:space="preserve"> </v>
      </c>
      <c r="S301" s="55" t="str">
        <f t="shared" si="41"/>
        <v xml:space="preserve"> </v>
      </c>
      <c r="T301" s="105"/>
      <c r="U301" s="57" t="str">
        <f t="shared" si="42"/>
        <v xml:space="preserve"> </v>
      </c>
      <c r="V301" s="58" t="str">
        <f t="shared" si="43"/>
        <v xml:space="preserve"> </v>
      </c>
      <c r="W301" s="57" t="str">
        <f t="shared" si="44"/>
        <v xml:space="preserve"> </v>
      </c>
      <c r="X301" s="59" t="str">
        <f t="shared" si="45"/>
        <v>Mitigation</v>
      </c>
      <c r="Y301" s="106"/>
      <c r="Z301" s="16" t="s">
        <v>1987</v>
      </c>
      <c r="AA301" s="16" t="s">
        <v>1987</v>
      </c>
      <c r="AB301" s="16" t="s">
        <v>1987</v>
      </c>
      <c r="AC301" s="16" t="s">
        <v>1987</v>
      </c>
      <c r="AD301" s="16" t="s">
        <v>1987</v>
      </c>
      <c r="AE301" s="16" t="s">
        <v>1987</v>
      </c>
      <c r="AF301" s="16" t="s">
        <v>1987</v>
      </c>
      <c r="AG301" s="16" t="s">
        <v>1987</v>
      </c>
      <c r="AH301" s="16" t="s">
        <v>1987</v>
      </c>
      <c r="AI301" s="16" t="s">
        <v>1987</v>
      </c>
      <c r="AJ301" s="16" t="s">
        <v>1987</v>
      </c>
      <c r="AK301" s="16" t="s">
        <v>1987</v>
      </c>
      <c r="AL301" s="16" t="s">
        <v>1987</v>
      </c>
      <c r="AM301" s="16" t="s">
        <v>1987</v>
      </c>
      <c r="AN301" s="16" t="s">
        <v>1987</v>
      </c>
      <c r="AO301" s="16" t="s">
        <v>1987</v>
      </c>
      <c r="AP301" s="16" t="s">
        <v>1987</v>
      </c>
      <c r="AQ301" s="16" t="s">
        <v>1987</v>
      </c>
      <c r="AR301" s="16" t="s">
        <v>1987</v>
      </c>
      <c r="AS301" s="16" t="s">
        <v>1987</v>
      </c>
      <c r="AT301" s="16" t="s">
        <v>1987</v>
      </c>
      <c r="AU301" s="16" t="s">
        <v>1987</v>
      </c>
      <c r="AV301" s="16" t="s">
        <v>1987</v>
      </c>
      <c r="AW301" s="16" t="s">
        <v>1987</v>
      </c>
      <c r="AX301" s="16" t="s">
        <v>1987</v>
      </c>
      <c r="AY301" s="16" t="s">
        <v>1987</v>
      </c>
      <c r="AZ301" s="16" t="s">
        <v>1987</v>
      </c>
      <c r="BA301" s="16" t="s">
        <v>1987</v>
      </c>
      <c r="BB301" s="16" t="s">
        <v>1987</v>
      </c>
      <c r="BC301" s="16" t="s">
        <v>1987</v>
      </c>
      <c r="BD301" s="16" t="s">
        <v>1987</v>
      </c>
      <c r="BE301" s="16" t="s">
        <v>1987</v>
      </c>
      <c r="BF301" s="16" t="s">
        <v>1987</v>
      </c>
      <c r="BG301" s="16" t="s">
        <v>1987</v>
      </c>
      <c r="BH301" s="16" t="s">
        <v>1987</v>
      </c>
      <c r="BI301" s="16" t="s">
        <v>1987</v>
      </c>
      <c r="BJ301" s="16" t="s">
        <v>1987</v>
      </c>
      <c r="BK301" s="16" t="s">
        <v>1987</v>
      </c>
      <c r="BL301" s="16" t="s">
        <v>1987</v>
      </c>
      <c r="BM301" s="16" t="s">
        <v>1987</v>
      </c>
      <c r="BN301" s="16" t="s">
        <v>1987</v>
      </c>
      <c r="BO301" s="16" t="s">
        <v>1987</v>
      </c>
      <c r="BP301" s="16" t="s">
        <v>1987</v>
      </c>
      <c r="BQ301" s="16" t="s">
        <v>1987</v>
      </c>
      <c r="BR301" s="16" t="s">
        <v>1987</v>
      </c>
      <c r="BS301" s="16" t="s">
        <v>1987</v>
      </c>
      <c r="BT301" s="16" t="s">
        <v>1987</v>
      </c>
    </row>
    <row r="302" spans="1:72" ht="18" hidden="1" customHeight="1" x14ac:dyDescent="0.3">
      <c r="A302" s="80" t="s">
        <v>1803</v>
      </c>
      <c r="B302" s="16" t="s">
        <v>1761</v>
      </c>
      <c r="C302" s="16" t="s">
        <v>1976</v>
      </c>
      <c r="D302" s="49" t="s">
        <v>1268</v>
      </c>
      <c r="E302" s="50">
        <v>82.3</v>
      </c>
      <c r="F302" s="50">
        <v>0</v>
      </c>
      <c r="G302" s="16">
        <v>7</v>
      </c>
      <c r="H302" s="16" t="s">
        <v>1612</v>
      </c>
      <c r="I302" s="48" t="s">
        <v>1474</v>
      </c>
      <c r="J302" s="16" t="s">
        <v>2018</v>
      </c>
      <c r="K302" s="16" t="s">
        <v>2027</v>
      </c>
      <c r="L302" s="16" t="s">
        <v>2027</v>
      </c>
      <c r="M302" s="64"/>
      <c r="N302" s="64"/>
      <c r="O302" s="16" t="s">
        <v>2027</v>
      </c>
      <c r="P302" s="73"/>
      <c r="Q302" s="53" t="str">
        <f t="shared" si="39"/>
        <v>Pending</v>
      </c>
      <c r="R302" s="54" t="str">
        <f t="shared" si="40"/>
        <v>Pending</v>
      </c>
      <c r="S302" s="55" t="str">
        <f t="shared" si="41"/>
        <v>Pending</v>
      </c>
      <c r="T302" s="56"/>
      <c r="U302" s="57" t="str">
        <f t="shared" si="42"/>
        <v>Pending</v>
      </c>
      <c r="V302" s="58" t="str">
        <f t="shared" si="43"/>
        <v>Pending</v>
      </c>
      <c r="W302" s="57" t="str">
        <f t="shared" si="44"/>
        <v>Pending</v>
      </c>
      <c r="X302" s="59" t="str">
        <f t="shared" si="45"/>
        <v/>
      </c>
      <c r="Y302" s="60"/>
      <c r="Z302" s="64"/>
      <c r="AA302" s="64"/>
      <c r="AB302" s="64"/>
      <c r="AC302" s="64"/>
      <c r="AD302" s="64"/>
      <c r="AE302" s="16" t="s">
        <v>675</v>
      </c>
      <c r="AF302" s="64"/>
      <c r="AG302" s="64"/>
      <c r="AH302" s="64"/>
      <c r="AI302" s="64"/>
      <c r="AJ302" s="16" t="s">
        <v>675</v>
      </c>
      <c r="AK302" s="16" t="s">
        <v>675</v>
      </c>
      <c r="AL302" s="16" t="s">
        <v>675</v>
      </c>
      <c r="AM302" s="16" t="s">
        <v>675</v>
      </c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5"/>
    </row>
    <row r="303" spans="1:72" ht="18" hidden="1" customHeight="1" x14ac:dyDescent="0.3">
      <c r="A303" s="27" t="s">
        <v>1746</v>
      </c>
      <c r="B303" s="48" t="s">
        <v>1799</v>
      </c>
      <c r="C303" s="49" t="s">
        <v>1800</v>
      </c>
      <c r="D303" s="16" t="s">
        <v>1268</v>
      </c>
      <c r="E303" s="50">
        <v>84.2</v>
      </c>
      <c r="F303" s="50">
        <v>0</v>
      </c>
      <c r="G303" s="16">
        <v>7</v>
      </c>
      <c r="H303" s="16">
        <v>6.0000000000000001E-3</v>
      </c>
      <c r="I303" s="70" t="s">
        <v>1474</v>
      </c>
      <c r="J303" s="16" t="s">
        <v>2018</v>
      </c>
      <c r="K303" s="16" t="s">
        <v>2027</v>
      </c>
      <c r="L303" s="16" t="s">
        <v>2027</v>
      </c>
      <c r="M303" s="64"/>
      <c r="N303" s="64"/>
      <c r="O303" s="16" t="s">
        <v>2027</v>
      </c>
      <c r="P303" s="73"/>
      <c r="Q303" s="53" t="str">
        <f t="shared" si="39"/>
        <v>Pending</v>
      </c>
      <c r="R303" s="54" t="str">
        <f t="shared" si="40"/>
        <v>Pending</v>
      </c>
      <c r="S303" s="55" t="str">
        <f t="shared" si="41"/>
        <v>Pending</v>
      </c>
      <c r="T303" s="56"/>
      <c r="U303" s="57" t="str">
        <f t="shared" si="42"/>
        <v>Pending</v>
      </c>
      <c r="V303" s="58" t="str">
        <f t="shared" si="43"/>
        <v>Pending</v>
      </c>
      <c r="W303" s="57" t="str">
        <f t="shared" si="44"/>
        <v>Pending</v>
      </c>
      <c r="X303" s="59" t="str">
        <f t="shared" si="45"/>
        <v/>
      </c>
      <c r="Y303" s="60"/>
      <c r="Z303" s="16" t="s">
        <v>675</v>
      </c>
      <c r="AA303" s="16" t="s">
        <v>675</v>
      </c>
      <c r="AB303" s="64"/>
      <c r="AC303" s="64"/>
      <c r="AD303" s="64"/>
      <c r="AE303" s="16" t="s">
        <v>675</v>
      </c>
      <c r="AF303" s="16" t="s">
        <v>675</v>
      </c>
      <c r="AG303" s="16" t="s">
        <v>675</v>
      </c>
      <c r="AH303" s="16" t="s">
        <v>675</v>
      </c>
      <c r="AI303" s="64"/>
      <c r="AJ303" s="16" t="s">
        <v>675</v>
      </c>
      <c r="AK303" s="64"/>
      <c r="AL303" s="64"/>
      <c r="AM303" s="16" t="s">
        <v>675</v>
      </c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5"/>
    </row>
    <row r="304" spans="1:72" ht="18" hidden="1" customHeight="1" x14ac:dyDescent="0.3">
      <c r="A304" s="47" t="s">
        <v>332</v>
      </c>
      <c r="B304" s="49" t="s">
        <v>333</v>
      </c>
      <c r="C304" s="16" t="s">
        <v>2124</v>
      </c>
      <c r="D304" s="49" t="s">
        <v>1051</v>
      </c>
      <c r="E304" s="50">
        <v>69.61</v>
      </c>
      <c r="F304" s="50">
        <v>0</v>
      </c>
      <c r="G304" s="61">
        <v>6</v>
      </c>
      <c r="H304" s="16">
        <v>0.28000000000000003</v>
      </c>
      <c r="I304" s="49" t="s">
        <v>1016</v>
      </c>
      <c r="J304" s="16" t="s">
        <v>1052</v>
      </c>
      <c r="K304" s="49">
        <v>0.2</v>
      </c>
      <c r="L304" s="49">
        <v>1.8</v>
      </c>
      <c r="M304" s="62" t="s">
        <v>1053</v>
      </c>
      <c r="N304" s="62" t="s">
        <v>2358</v>
      </c>
      <c r="O304" s="63" t="str">
        <f t="shared" ref="O304:O350" si="47">IF(AND(ISBLANK(K304),ISBLANK(N304))," ",IF(ISBLANK(N304),"YES","NO"))</f>
        <v>NO</v>
      </c>
      <c r="P304" s="52"/>
      <c r="Q304" s="53">
        <f t="shared" si="39"/>
        <v>0.2</v>
      </c>
      <c r="R304" s="54">
        <f t="shared" si="40"/>
        <v>0.1</v>
      </c>
      <c r="S304" s="55" t="str">
        <f t="shared" si="41"/>
        <v xml:space="preserve"> </v>
      </c>
      <c r="T304" s="56"/>
      <c r="U304" s="57" t="str">
        <f t="shared" si="42"/>
        <v>Mitigation</v>
      </c>
      <c r="V304" s="58">
        <f t="shared" si="43"/>
        <v>0.1</v>
      </c>
      <c r="W304" s="58" t="str">
        <f t="shared" si="44"/>
        <v xml:space="preserve"> </v>
      </c>
      <c r="X304" s="59" t="str">
        <f t="shared" si="45"/>
        <v/>
      </c>
      <c r="Y304" s="60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16" t="s">
        <v>675</v>
      </c>
      <c r="AP304" s="16" t="s">
        <v>675</v>
      </c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16" t="s">
        <v>675</v>
      </c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5"/>
    </row>
    <row r="305" spans="1:92" ht="18" customHeight="1" x14ac:dyDescent="0.3">
      <c r="A305" s="66" t="s">
        <v>1713</v>
      </c>
      <c r="B305" s="69" t="s">
        <v>1714</v>
      </c>
      <c r="C305" s="67" t="s">
        <v>1715</v>
      </c>
      <c r="D305" s="16" t="s">
        <v>1011</v>
      </c>
      <c r="E305" s="50">
        <v>0</v>
      </c>
      <c r="F305" s="50">
        <v>0</v>
      </c>
      <c r="G305" s="61">
        <v>1</v>
      </c>
      <c r="H305" s="68" t="s">
        <v>1418</v>
      </c>
      <c r="I305" s="70" t="s">
        <v>1474</v>
      </c>
      <c r="J305" s="16" t="s">
        <v>1716</v>
      </c>
      <c r="K305" s="49">
        <v>26</v>
      </c>
      <c r="L305" s="49">
        <v>237</v>
      </c>
      <c r="M305" s="48" t="s">
        <v>1267</v>
      </c>
      <c r="N305" s="94"/>
      <c r="O305" s="49" t="str">
        <f t="shared" si="47"/>
        <v>YES</v>
      </c>
      <c r="P305" s="52"/>
      <c r="Q305" s="53">
        <f t="shared" si="39"/>
        <v>4745</v>
      </c>
      <c r="R305" s="54" t="str">
        <f t="shared" si="40"/>
        <v xml:space="preserve"> </v>
      </c>
      <c r="S305" s="55" t="str">
        <f t="shared" si="41"/>
        <v xml:space="preserve"> </v>
      </c>
      <c r="T305" s="56"/>
      <c r="U305" s="57" t="str">
        <f t="shared" si="42"/>
        <v xml:space="preserve"> </v>
      </c>
      <c r="V305" s="58" t="str">
        <f t="shared" si="43"/>
        <v xml:space="preserve"> </v>
      </c>
      <c r="W305" s="58" t="str">
        <f t="shared" si="44"/>
        <v xml:space="preserve"> </v>
      </c>
      <c r="X305" s="59" t="str">
        <f t="shared" si="45"/>
        <v>Mitigation</v>
      </c>
      <c r="Y305" s="60"/>
      <c r="Z305" s="16" t="s">
        <v>675</v>
      </c>
      <c r="AA305" s="16" t="s">
        <v>675</v>
      </c>
      <c r="AB305" s="64"/>
      <c r="AC305" s="64"/>
      <c r="AD305" s="64"/>
      <c r="AE305" s="16" t="s">
        <v>675</v>
      </c>
      <c r="AF305" s="64"/>
      <c r="AG305" s="64"/>
      <c r="AH305" s="64"/>
      <c r="AI305" s="64"/>
      <c r="AJ305" s="16" t="s">
        <v>675</v>
      </c>
      <c r="AK305" s="64"/>
      <c r="AL305" s="64"/>
      <c r="AM305" s="16" t="s">
        <v>675</v>
      </c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5"/>
    </row>
    <row r="306" spans="1:92" ht="18" customHeight="1" x14ac:dyDescent="0.3">
      <c r="A306" s="47" t="s">
        <v>387</v>
      </c>
      <c r="B306" s="48" t="s">
        <v>388</v>
      </c>
      <c r="C306" s="49" t="s">
        <v>1200</v>
      </c>
      <c r="D306" s="49" t="s">
        <v>1201</v>
      </c>
      <c r="E306" s="50">
        <v>0</v>
      </c>
      <c r="F306" s="50">
        <v>0</v>
      </c>
      <c r="G306" s="61">
        <v>1</v>
      </c>
      <c r="H306" s="16">
        <v>1000</v>
      </c>
      <c r="I306" s="48" t="s">
        <v>1012</v>
      </c>
      <c r="J306" s="16" t="s">
        <v>1202</v>
      </c>
      <c r="K306" s="49">
        <v>400</v>
      </c>
      <c r="L306" s="49">
        <v>3600</v>
      </c>
      <c r="M306" s="62" t="s">
        <v>1014</v>
      </c>
      <c r="N306" s="62" t="s">
        <v>2378</v>
      </c>
      <c r="O306" s="63" t="str">
        <f t="shared" si="47"/>
        <v>NO</v>
      </c>
      <c r="P306" s="52"/>
      <c r="Q306" s="53">
        <f t="shared" si="39"/>
        <v>400</v>
      </c>
      <c r="R306" s="54" t="str">
        <f t="shared" si="40"/>
        <v xml:space="preserve"> </v>
      </c>
      <c r="S306" s="55" t="str">
        <f t="shared" si="41"/>
        <v xml:space="preserve"> </v>
      </c>
      <c r="T306" s="56"/>
      <c r="U306" s="57" t="str">
        <f t="shared" si="42"/>
        <v xml:space="preserve"> </v>
      </c>
      <c r="V306" s="58" t="str">
        <f t="shared" si="43"/>
        <v xml:space="preserve"> </v>
      </c>
      <c r="W306" s="58" t="str">
        <f t="shared" si="44"/>
        <v xml:space="preserve"> </v>
      </c>
      <c r="X306" s="59" t="str">
        <f t="shared" si="45"/>
        <v>Mitigation</v>
      </c>
      <c r="Y306" s="60"/>
      <c r="Z306" s="64"/>
      <c r="AA306" s="16" t="s">
        <v>675</v>
      </c>
      <c r="AB306" s="64"/>
      <c r="AC306" s="64"/>
      <c r="AD306" s="64"/>
      <c r="AE306" s="64"/>
      <c r="AF306" s="64"/>
      <c r="AG306" s="64"/>
      <c r="AH306" s="64"/>
      <c r="AI306" s="64"/>
      <c r="AJ306" s="16" t="s">
        <v>675</v>
      </c>
      <c r="AK306" s="64"/>
      <c r="AL306" s="64"/>
      <c r="AM306" s="16" t="s">
        <v>675</v>
      </c>
      <c r="AN306" s="64"/>
      <c r="AO306" s="64"/>
      <c r="AP306" s="64"/>
      <c r="AQ306" s="64"/>
      <c r="AR306" s="16" t="s">
        <v>675</v>
      </c>
      <c r="AS306" s="16" t="s">
        <v>675</v>
      </c>
      <c r="AT306" s="16" t="s">
        <v>675</v>
      </c>
      <c r="AU306" s="64"/>
      <c r="AV306" s="64"/>
      <c r="AW306" s="64"/>
      <c r="AX306" s="64"/>
      <c r="AY306" s="16" t="s">
        <v>675</v>
      </c>
      <c r="AZ306" s="16" t="s">
        <v>675</v>
      </c>
      <c r="BA306" s="16" t="s">
        <v>675</v>
      </c>
      <c r="BB306" s="16" t="s">
        <v>675</v>
      </c>
      <c r="BC306" s="16" t="s">
        <v>675</v>
      </c>
      <c r="BD306" s="64"/>
      <c r="BE306" s="16" t="s">
        <v>675</v>
      </c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16" t="s">
        <v>675</v>
      </c>
      <c r="BT306" s="65"/>
    </row>
    <row r="307" spans="1:92" ht="18" customHeight="1" x14ac:dyDescent="0.3">
      <c r="A307" s="47" t="s">
        <v>316</v>
      </c>
      <c r="B307" s="49" t="s">
        <v>317</v>
      </c>
      <c r="C307" s="49" t="s">
        <v>1356</v>
      </c>
      <c r="D307" s="83" t="s">
        <v>1305</v>
      </c>
      <c r="E307" s="50">
        <v>0</v>
      </c>
      <c r="F307" s="50">
        <v>0</v>
      </c>
      <c r="G307" s="61">
        <v>7</v>
      </c>
      <c r="H307" s="16" t="s">
        <v>1105</v>
      </c>
      <c r="I307" s="48" t="s">
        <v>1016</v>
      </c>
      <c r="J307" s="16" t="s">
        <v>2386</v>
      </c>
      <c r="K307" s="49">
        <v>50</v>
      </c>
      <c r="L307" s="49">
        <v>50</v>
      </c>
      <c r="M307" s="64"/>
      <c r="N307" s="64"/>
      <c r="O307" s="49" t="str">
        <f t="shared" si="47"/>
        <v>YES</v>
      </c>
      <c r="P307" s="52"/>
      <c r="Q307" s="53">
        <f t="shared" si="39"/>
        <v>5000</v>
      </c>
      <c r="R307" s="54" t="str">
        <f t="shared" si="40"/>
        <v xml:space="preserve"> </v>
      </c>
      <c r="S307" s="55" t="str">
        <f t="shared" si="41"/>
        <v xml:space="preserve"> </v>
      </c>
      <c r="T307" s="56"/>
      <c r="U307" s="57" t="str">
        <f t="shared" si="42"/>
        <v xml:space="preserve"> </v>
      </c>
      <c r="V307" s="58" t="str">
        <f t="shared" si="43"/>
        <v xml:space="preserve"> </v>
      </c>
      <c r="W307" s="58" t="str">
        <f t="shared" si="44"/>
        <v xml:space="preserve"> </v>
      </c>
      <c r="X307" s="59" t="str">
        <f t="shared" si="45"/>
        <v>Mitigation</v>
      </c>
      <c r="Y307" s="60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16" t="s">
        <v>675</v>
      </c>
      <c r="AK307" s="64"/>
      <c r="AL307" s="64"/>
      <c r="AM307" s="16" t="s">
        <v>675</v>
      </c>
      <c r="AN307" s="64"/>
      <c r="AO307" s="64"/>
      <c r="AP307" s="64"/>
      <c r="AQ307" s="64"/>
      <c r="AR307" s="64"/>
      <c r="AS307" s="64"/>
      <c r="AT307" s="64"/>
      <c r="AU307" s="16" t="s">
        <v>675</v>
      </c>
      <c r="AV307" s="64"/>
      <c r="AW307" s="16" t="s">
        <v>675</v>
      </c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5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</row>
    <row r="308" spans="1:92" ht="18" customHeight="1" x14ac:dyDescent="0.3">
      <c r="A308" s="47" t="s">
        <v>114</v>
      </c>
      <c r="B308" s="49" t="s">
        <v>115</v>
      </c>
      <c r="C308" s="16" t="s">
        <v>1593</v>
      </c>
      <c r="D308" s="83" t="s">
        <v>1305</v>
      </c>
      <c r="E308" s="50">
        <v>0</v>
      </c>
      <c r="F308" s="50">
        <v>0</v>
      </c>
      <c r="G308" s="61">
        <v>7</v>
      </c>
      <c r="H308" s="16" t="s">
        <v>1105</v>
      </c>
      <c r="I308" s="48" t="s">
        <v>1016</v>
      </c>
      <c r="J308" s="16" t="s">
        <v>2386</v>
      </c>
      <c r="K308" s="49">
        <v>50</v>
      </c>
      <c r="L308" s="49">
        <v>50</v>
      </c>
      <c r="M308" s="64"/>
      <c r="N308" s="64"/>
      <c r="O308" s="49" t="str">
        <f t="shared" si="47"/>
        <v>YES</v>
      </c>
      <c r="P308" s="52"/>
      <c r="Q308" s="53">
        <f t="shared" si="39"/>
        <v>5000</v>
      </c>
      <c r="R308" s="54" t="str">
        <f t="shared" si="40"/>
        <v xml:space="preserve"> </v>
      </c>
      <c r="S308" s="55" t="str">
        <f t="shared" si="41"/>
        <v xml:space="preserve"> </v>
      </c>
      <c r="T308" s="56"/>
      <c r="U308" s="57" t="str">
        <f t="shared" si="42"/>
        <v xml:space="preserve"> </v>
      </c>
      <c r="V308" s="58" t="str">
        <f t="shared" si="43"/>
        <v xml:space="preserve"> </v>
      </c>
      <c r="W308" s="58" t="str">
        <f t="shared" si="44"/>
        <v xml:space="preserve"> </v>
      </c>
      <c r="X308" s="59" t="str">
        <f t="shared" si="45"/>
        <v>Mitigation</v>
      </c>
      <c r="Y308" s="60"/>
      <c r="Z308" s="64"/>
      <c r="AA308" s="64"/>
      <c r="AB308" s="64"/>
      <c r="AC308" s="16" t="s">
        <v>675</v>
      </c>
      <c r="AD308" s="16" t="s">
        <v>675</v>
      </c>
      <c r="AE308" s="64"/>
      <c r="AF308" s="64"/>
      <c r="AG308" s="64"/>
      <c r="AH308" s="64"/>
      <c r="AI308" s="64"/>
      <c r="AJ308" s="64"/>
      <c r="AK308" s="64"/>
      <c r="AL308" s="64"/>
      <c r="AM308" s="16" t="s">
        <v>675</v>
      </c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16" t="s">
        <v>675</v>
      </c>
      <c r="BL308" s="64"/>
      <c r="BM308" s="64"/>
      <c r="BN308" s="64"/>
      <c r="BO308" s="64"/>
      <c r="BP308" s="64"/>
      <c r="BQ308" s="64"/>
      <c r="BR308" s="64"/>
      <c r="BS308" s="16" t="s">
        <v>675</v>
      </c>
      <c r="BT308" s="65"/>
    </row>
    <row r="309" spans="1:92" ht="18" customHeight="1" x14ac:dyDescent="0.3">
      <c r="A309" s="47" t="s">
        <v>116</v>
      </c>
      <c r="B309" s="49" t="s">
        <v>115</v>
      </c>
      <c r="C309" s="16" t="s">
        <v>1593</v>
      </c>
      <c r="D309" s="83" t="s">
        <v>1305</v>
      </c>
      <c r="E309" s="50">
        <v>0</v>
      </c>
      <c r="F309" s="50">
        <v>0</v>
      </c>
      <c r="G309" s="61">
        <v>7</v>
      </c>
      <c r="H309" s="16" t="s">
        <v>1105</v>
      </c>
      <c r="I309" s="48" t="s">
        <v>1016</v>
      </c>
      <c r="J309" s="16" t="s">
        <v>2386</v>
      </c>
      <c r="K309" s="49">
        <v>50</v>
      </c>
      <c r="L309" s="49">
        <v>50</v>
      </c>
      <c r="M309" s="64"/>
      <c r="N309" s="64"/>
      <c r="O309" s="49" t="str">
        <f t="shared" si="47"/>
        <v>YES</v>
      </c>
      <c r="P309" s="123"/>
      <c r="Q309" s="53">
        <f t="shared" si="39"/>
        <v>5000</v>
      </c>
      <c r="R309" s="54" t="str">
        <f t="shared" si="40"/>
        <v xml:space="preserve"> </v>
      </c>
      <c r="S309" s="55" t="str">
        <f t="shared" si="41"/>
        <v xml:space="preserve"> </v>
      </c>
      <c r="T309" s="100"/>
      <c r="U309" s="57" t="str">
        <f t="shared" si="42"/>
        <v xml:space="preserve"> </v>
      </c>
      <c r="V309" s="58" t="str">
        <f t="shared" si="43"/>
        <v xml:space="preserve"> </v>
      </c>
      <c r="W309" s="58" t="str">
        <f t="shared" si="44"/>
        <v xml:space="preserve"> </v>
      </c>
      <c r="X309" s="59" t="str">
        <f t="shared" si="45"/>
        <v>Mitigation</v>
      </c>
      <c r="Y309" s="60"/>
      <c r="Z309" s="64"/>
      <c r="AA309" s="64"/>
      <c r="AB309" s="64"/>
      <c r="AC309" s="16" t="s">
        <v>675</v>
      </c>
      <c r="AD309" s="64"/>
      <c r="AE309" s="64"/>
      <c r="AF309" s="64"/>
      <c r="AG309" s="64"/>
      <c r="AH309" s="64"/>
      <c r="AI309" s="64"/>
      <c r="AJ309" s="64"/>
      <c r="AK309" s="64"/>
      <c r="AL309" s="64"/>
      <c r="AM309" s="16" t="s">
        <v>675</v>
      </c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5"/>
    </row>
    <row r="310" spans="1:92" ht="18" hidden="1" customHeight="1" x14ac:dyDescent="0.3">
      <c r="A310" s="47" t="s">
        <v>185</v>
      </c>
      <c r="B310" s="48" t="s">
        <v>186</v>
      </c>
      <c r="C310" s="16" t="s">
        <v>2125</v>
      </c>
      <c r="D310" s="49" t="s">
        <v>1060</v>
      </c>
      <c r="E310" s="50">
        <v>45.8</v>
      </c>
      <c r="F310" s="50">
        <v>0</v>
      </c>
      <c r="G310" s="61">
        <v>2</v>
      </c>
      <c r="H310" s="16">
        <v>361.1</v>
      </c>
      <c r="I310" s="48" t="s">
        <v>1016</v>
      </c>
      <c r="J310" s="16" t="s">
        <v>2386</v>
      </c>
      <c r="K310" s="49">
        <v>50</v>
      </c>
      <c r="L310" s="49">
        <v>50</v>
      </c>
      <c r="M310" s="64"/>
      <c r="N310" s="64"/>
      <c r="O310" s="49" t="str">
        <f t="shared" si="47"/>
        <v>YES</v>
      </c>
      <c r="P310" s="123"/>
      <c r="Q310" s="53">
        <f t="shared" si="39"/>
        <v>5000</v>
      </c>
      <c r="R310" s="54">
        <f t="shared" si="40"/>
        <v>2290</v>
      </c>
      <c r="S310" s="55" t="str">
        <f t="shared" si="41"/>
        <v xml:space="preserve"> </v>
      </c>
      <c r="T310" s="100"/>
      <c r="U310" s="57" t="str">
        <f t="shared" si="42"/>
        <v>100µg/100cm²</v>
      </c>
      <c r="V310" s="58">
        <f t="shared" si="43"/>
        <v>2290</v>
      </c>
      <c r="W310" s="58" t="str">
        <f t="shared" si="44"/>
        <v xml:space="preserve"> </v>
      </c>
      <c r="X310" s="59" t="str">
        <f t="shared" si="45"/>
        <v/>
      </c>
      <c r="Y310" s="60"/>
      <c r="Z310" s="64"/>
      <c r="AA310" s="64"/>
      <c r="AB310" s="64"/>
      <c r="AC310" s="64"/>
      <c r="AD310" s="64"/>
      <c r="AE310" s="16" t="s">
        <v>675</v>
      </c>
      <c r="AF310" s="16" t="s">
        <v>675</v>
      </c>
      <c r="AG310" s="64"/>
      <c r="AH310" s="64"/>
      <c r="AI310" s="16" t="s">
        <v>675</v>
      </c>
      <c r="AJ310" s="64"/>
      <c r="AK310" s="64"/>
      <c r="AL310" s="64"/>
      <c r="AM310" s="16" t="s">
        <v>675</v>
      </c>
      <c r="AN310" s="16" t="s">
        <v>675</v>
      </c>
      <c r="AO310" s="64"/>
      <c r="AP310" s="16" t="s">
        <v>675</v>
      </c>
      <c r="AQ310" s="64"/>
      <c r="AR310" s="64"/>
      <c r="AS310" s="16" t="s">
        <v>675</v>
      </c>
      <c r="AT310" s="16" t="s">
        <v>675</v>
      </c>
      <c r="AU310" s="64"/>
      <c r="AV310" s="64"/>
      <c r="AW310" s="64"/>
      <c r="AX310" s="16" t="s">
        <v>675</v>
      </c>
      <c r="AY310" s="64"/>
      <c r="AZ310" s="64"/>
      <c r="BA310" s="64"/>
      <c r="BB310" s="64"/>
      <c r="BC310" s="64"/>
      <c r="BD310" s="64"/>
      <c r="BE310" s="64"/>
      <c r="BF310" s="64"/>
      <c r="BG310" s="16" t="s">
        <v>675</v>
      </c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16" t="s">
        <v>675</v>
      </c>
      <c r="BT310" s="65"/>
    </row>
    <row r="311" spans="1:92" ht="18" hidden="1" customHeight="1" x14ac:dyDescent="0.3">
      <c r="A311" s="47" t="s">
        <v>529</v>
      </c>
      <c r="B311" s="48" t="s">
        <v>530</v>
      </c>
      <c r="C311" s="16" t="s">
        <v>2126</v>
      </c>
      <c r="D311" s="49" t="s">
        <v>1174</v>
      </c>
      <c r="E311" s="50">
        <v>44.12</v>
      </c>
      <c r="F311" s="50">
        <v>0</v>
      </c>
      <c r="G311" s="61">
        <v>6</v>
      </c>
      <c r="H311" s="16">
        <v>0.71</v>
      </c>
      <c r="I311" s="48" t="s">
        <v>1016</v>
      </c>
      <c r="J311" s="16" t="s">
        <v>1180</v>
      </c>
      <c r="K311" s="49">
        <v>62.5</v>
      </c>
      <c r="L311" s="49">
        <v>562.5</v>
      </c>
      <c r="M311" s="62" t="s">
        <v>1021</v>
      </c>
      <c r="N311" s="51"/>
      <c r="O311" s="49" t="str">
        <f t="shared" si="47"/>
        <v>YES</v>
      </c>
      <c r="P311" s="52"/>
      <c r="Q311" s="53">
        <f t="shared" si="39"/>
        <v>5000</v>
      </c>
      <c r="R311" s="54">
        <f t="shared" si="40"/>
        <v>2206</v>
      </c>
      <c r="S311" s="55" t="str">
        <f t="shared" si="41"/>
        <v xml:space="preserve"> </v>
      </c>
      <c r="T311" s="56"/>
      <c r="U311" s="57" t="str">
        <f t="shared" si="42"/>
        <v>100µg/100cm²</v>
      </c>
      <c r="V311" s="58">
        <f t="shared" si="43"/>
        <v>2206</v>
      </c>
      <c r="W311" s="58" t="str">
        <f t="shared" si="44"/>
        <v xml:space="preserve"> </v>
      </c>
      <c r="X311" s="59" t="str">
        <f t="shared" si="45"/>
        <v/>
      </c>
      <c r="Y311" s="60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16" t="s">
        <v>675</v>
      </c>
      <c r="AT311" s="16" t="s">
        <v>675</v>
      </c>
      <c r="AU311" s="64"/>
      <c r="AV311" s="64"/>
      <c r="AW311" s="64"/>
      <c r="AX311" s="16" t="s">
        <v>675</v>
      </c>
      <c r="AY311" s="64"/>
      <c r="AZ311" s="64"/>
      <c r="BA311" s="64"/>
      <c r="BB311" s="64"/>
      <c r="BC311" s="64"/>
      <c r="BD311" s="64"/>
      <c r="BE311" s="64"/>
      <c r="BF311" s="64"/>
      <c r="BG311" s="16" t="s">
        <v>675</v>
      </c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16" t="s">
        <v>675</v>
      </c>
      <c r="BT311" s="65"/>
    </row>
    <row r="312" spans="1:92" ht="18" hidden="1" customHeight="1" x14ac:dyDescent="0.3">
      <c r="A312" s="47" t="s">
        <v>216</v>
      </c>
      <c r="B312" s="48" t="s">
        <v>217</v>
      </c>
      <c r="C312" s="49" t="s">
        <v>1403</v>
      </c>
      <c r="D312" s="49" t="s">
        <v>1174</v>
      </c>
      <c r="E312" s="50">
        <v>37.74</v>
      </c>
      <c r="F312" s="50">
        <v>0</v>
      </c>
      <c r="G312" s="61">
        <v>5</v>
      </c>
      <c r="H312" s="16">
        <v>5</v>
      </c>
      <c r="I312" s="48" t="s">
        <v>1016</v>
      </c>
      <c r="J312" s="16" t="s">
        <v>2386</v>
      </c>
      <c r="K312" s="49">
        <v>50</v>
      </c>
      <c r="L312" s="49">
        <v>50</v>
      </c>
      <c r="M312" s="51"/>
      <c r="N312" s="51"/>
      <c r="O312" s="49" t="str">
        <f t="shared" si="47"/>
        <v>YES</v>
      </c>
      <c r="P312" s="52"/>
      <c r="Q312" s="53">
        <f t="shared" si="39"/>
        <v>5000</v>
      </c>
      <c r="R312" s="54">
        <f t="shared" si="40"/>
        <v>1887</v>
      </c>
      <c r="S312" s="55" t="str">
        <f t="shared" si="41"/>
        <v xml:space="preserve"> </v>
      </c>
      <c r="T312" s="56"/>
      <c r="U312" s="57" t="str">
        <f t="shared" si="42"/>
        <v>100µg/100cm²</v>
      </c>
      <c r="V312" s="58">
        <f t="shared" si="43"/>
        <v>1887</v>
      </c>
      <c r="W312" s="58" t="str">
        <f t="shared" si="44"/>
        <v xml:space="preserve"> </v>
      </c>
      <c r="X312" s="59" t="str">
        <f t="shared" si="45"/>
        <v/>
      </c>
      <c r="Y312" s="60"/>
      <c r="Z312" s="64"/>
      <c r="AA312" s="64"/>
      <c r="AB312" s="64"/>
      <c r="AC312" s="64"/>
      <c r="AD312" s="64"/>
      <c r="AE312" s="16" t="s">
        <v>675</v>
      </c>
      <c r="AF312" s="16" t="s">
        <v>675</v>
      </c>
      <c r="AG312" s="64"/>
      <c r="AH312" s="64"/>
      <c r="AI312" s="64"/>
      <c r="AJ312" s="64"/>
      <c r="AK312" s="64"/>
      <c r="AL312" s="64"/>
      <c r="AM312" s="16" t="s">
        <v>675</v>
      </c>
      <c r="AN312" s="16" t="s">
        <v>675</v>
      </c>
      <c r="AO312" s="64"/>
      <c r="AP312" s="16" t="s">
        <v>675</v>
      </c>
      <c r="AQ312" s="64"/>
      <c r="AR312" s="64"/>
      <c r="AS312" s="16" t="s">
        <v>675</v>
      </c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16" t="s">
        <v>675</v>
      </c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16" t="s">
        <v>675</v>
      </c>
      <c r="BT312" s="65"/>
    </row>
    <row r="313" spans="1:92" ht="18" hidden="1" customHeight="1" x14ac:dyDescent="0.3">
      <c r="A313" s="81" t="s">
        <v>898</v>
      </c>
      <c r="B313" s="76" t="s">
        <v>459</v>
      </c>
      <c r="C313" s="16" t="s">
        <v>1502</v>
      </c>
      <c r="D313" s="16" t="s">
        <v>1484</v>
      </c>
      <c r="E313" s="50">
        <v>50</v>
      </c>
      <c r="F313" s="50">
        <v>0</v>
      </c>
      <c r="G313" s="16">
        <v>1</v>
      </c>
      <c r="H313" s="16" t="s">
        <v>1023</v>
      </c>
      <c r="I313" s="16" t="s">
        <v>1016</v>
      </c>
      <c r="J313" s="16" t="s">
        <v>2382</v>
      </c>
      <c r="K313" s="16">
        <v>50</v>
      </c>
      <c r="L313" s="16">
        <v>50</v>
      </c>
      <c r="M313" s="64"/>
      <c r="N313" s="64"/>
      <c r="O313" s="49" t="str">
        <f t="shared" si="47"/>
        <v>YES</v>
      </c>
      <c r="P313" s="52"/>
      <c r="Q313" s="53">
        <f t="shared" si="39"/>
        <v>5000</v>
      </c>
      <c r="R313" s="54">
        <f t="shared" si="40"/>
        <v>2500</v>
      </c>
      <c r="S313" s="55" t="str">
        <f t="shared" si="41"/>
        <v xml:space="preserve"> </v>
      </c>
      <c r="T313" s="56"/>
      <c r="U313" s="57" t="str">
        <f t="shared" si="42"/>
        <v>100µg/100cm²</v>
      </c>
      <c r="V313" s="58">
        <f t="shared" si="43"/>
        <v>2500</v>
      </c>
      <c r="W313" s="58" t="str">
        <f t="shared" si="44"/>
        <v xml:space="preserve"> </v>
      </c>
      <c r="X313" s="59" t="str">
        <f t="shared" si="45"/>
        <v/>
      </c>
      <c r="Y313" s="60"/>
      <c r="Z313" s="64"/>
      <c r="AA313" s="64"/>
      <c r="AB313" s="64"/>
      <c r="AC313" s="16" t="s">
        <v>675</v>
      </c>
      <c r="AD313" s="64"/>
      <c r="AE313" s="16" t="s">
        <v>675</v>
      </c>
      <c r="AF313" s="64"/>
      <c r="AG313" s="64"/>
      <c r="AH313" s="64"/>
      <c r="AI313" s="64"/>
      <c r="AJ313" s="64"/>
      <c r="AK313" s="64"/>
      <c r="AL313" s="64"/>
      <c r="AM313" s="16" t="s">
        <v>675</v>
      </c>
      <c r="AN313" s="64"/>
      <c r="AO313" s="64"/>
      <c r="AP313" s="64"/>
      <c r="AQ313" s="64"/>
      <c r="AR313" s="64"/>
      <c r="AS313" s="64"/>
      <c r="AT313" s="64"/>
      <c r="AU313" s="82"/>
      <c r="AV313" s="82"/>
      <c r="AW313" s="82"/>
      <c r="AX313" s="16" t="s">
        <v>675</v>
      </c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5"/>
    </row>
    <row r="314" spans="1:92" ht="18" hidden="1" customHeight="1" x14ac:dyDescent="0.3">
      <c r="A314" s="47" t="s">
        <v>70</v>
      </c>
      <c r="B314" s="48" t="s">
        <v>71</v>
      </c>
      <c r="C314" s="16" t="s">
        <v>2072</v>
      </c>
      <c r="D314" s="49" t="s">
        <v>1174</v>
      </c>
      <c r="E314" s="50">
        <v>40</v>
      </c>
      <c r="F314" s="50">
        <v>0</v>
      </c>
      <c r="G314" s="61">
        <v>2</v>
      </c>
      <c r="H314" s="16">
        <v>140</v>
      </c>
      <c r="I314" s="48" t="s">
        <v>1016</v>
      </c>
      <c r="J314" s="16" t="s">
        <v>2386</v>
      </c>
      <c r="K314" s="49">
        <v>50</v>
      </c>
      <c r="L314" s="49">
        <v>50</v>
      </c>
      <c r="M314" s="64"/>
      <c r="N314" s="64"/>
      <c r="O314" s="49" t="str">
        <f t="shared" si="47"/>
        <v>YES</v>
      </c>
      <c r="P314" s="52"/>
      <c r="Q314" s="53">
        <f t="shared" si="39"/>
        <v>5000</v>
      </c>
      <c r="R314" s="54">
        <f t="shared" si="40"/>
        <v>2000</v>
      </c>
      <c r="S314" s="55" t="str">
        <f t="shared" si="41"/>
        <v xml:space="preserve"> </v>
      </c>
      <c r="T314" s="56"/>
      <c r="U314" s="57" t="str">
        <f t="shared" si="42"/>
        <v>100µg/100cm²</v>
      </c>
      <c r="V314" s="58">
        <f t="shared" si="43"/>
        <v>2000</v>
      </c>
      <c r="W314" s="58" t="str">
        <f t="shared" si="44"/>
        <v xml:space="preserve"> </v>
      </c>
      <c r="X314" s="59" t="str">
        <f t="shared" si="45"/>
        <v/>
      </c>
      <c r="Y314" s="60"/>
      <c r="Z314" s="16" t="s">
        <v>675</v>
      </c>
      <c r="AA314" s="16" t="s">
        <v>675</v>
      </c>
      <c r="AB314" s="16" t="s">
        <v>675</v>
      </c>
      <c r="AC314" s="64"/>
      <c r="AD314" s="16" t="s">
        <v>675</v>
      </c>
      <c r="AE314" s="16" t="s">
        <v>675</v>
      </c>
      <c r="AF314" s="16" t="s">
        <v>675</v>
      </c>
      <c r="AG314" s="64"/>
      <c r="AH314" s="16" t="s">
        <v>675</v>
      </c>
      <c r="AI314" s="16" t="s">
        <v>675</v>
      </c>
      <c r="AJ314" s="64"/>
      <c r="AK314" s="16" t="s">
        <v>675</v>
      </c>
      <c r="AL314" s="16" t="s">
        <v>675</v>
      </c>
      <c r="AM314" s="16" t="s">
        <v>675</v>
      </c>
      <c r="AN314" s="16" t="s">
        <v>675</v>
      </c>
      <c r="AO314" s="64"/>
      <c r="AP314" s="16" t="s">
        <v>675</v>
      </c>
      <c r="AQ314" s="64"/>
      <c r="AR314" s="64"/>
      <c r="AS314" s="16" t="s">
        <v>675</v>
      </c>
      <c r="AT314" s="16" t="s">
        <v>675</v>
      </c>
      <c r="AU314" s="64"/>
      <c r="AV314" s="64"/>
      <c r="AW314" s="64"/>
      <c r="AX314" s="16" t="s">
        <v>675</v>
      </c>
      <c r="AY314" s="64"/>
      <c r="AZ314" s="64"/>
      <c r="BA314" s="64"/>
      <c r="BB314" s="64"/>
      <c r="BC314" s="64"/>
      <c r="BD314" s="64"/>
      <c r="BE314" s="64"/>
      <c r="BF314" s="64"/>
      <c r="BG314" s="16" t="s">
        <v>675</v>
      </c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16" t="s">
        <v>675</v>
      </c>
      <c r="BT314" s="65"/>
    </row>
    <row r="315" spans="1:92" ht="18" hidden="1" customHeight="1" x14ac:dyDescent="0.3">
      <c r="A315" s="47" t="s">
        <v>100</v>
      </c>
      <c r="B315" s="48" t="s">
        <v>101</v>
      </c>
      <c r="C315" s="49" t="s">
        <v>1059</v>
      </c>
      <c r="D315" s="49" t="s">
        <v>1603</v>
      </c>
      <c r="E315" s="50">
        <v>53.1</v>
      </c>
      <c r="F315" s="50">
        <v>0</v>
      </c>
      <c r="G315" s="61">
        <v>3</v>
      </c>
      <c r="H315" s="16" t="s">
        <v>1038</v>
      </c>
      <c r="I315" s="48" t="s">
        <v>1016</v>
      </c>
      <c r="J315" s="16" t="s">
        <v>1061</v>
      </c>
      <c r="K315" s="49">
        <v>8.5000000000000006E-2</v>
      </c>
      <c r="L315" s="49">
        <v>0.76500000000000001</v>
      </c>
      <c r="M315" s="62" t="s">
        <v>1062</v>
      </c>
      <c r="N315" s="49" t="s">
        <v>1063</v>
      </c>
      <c r="O315" s="63" t="str">
        <f t="shared" si="47"/>
        <v>NO</v>
      </c>
      <c r="P315" s="52"/>
      <c r="Q315" s="53">
        <f t="shared" si="39"/>
        <v>8.5000000000000006E-2</v>
      </c>
      <c r="R315" s="54">
        <f t="shared" si="40"/>
        <v>0</v>
      </c>
      <c r="S315" s="55" t="str">
        <f t="shared" si="41"/>
        <v xml:space="preserve"> </v>
      </c>
      <c r="T315" s="56"/>
      <c r="U315" s="57" t="str">
        <f t="shared" si="42"/>
        <v>Mitigation</v>
      </c>
      <c r="V315" s="58" t="str">
        <f t="shared" si="43"/>
        <v xml:space="preserve"> </v>
      </c>
      <c r="W315" s="58" t="str">
        <f t="shared" si="44"/>
        <v xml:space="preserve"> </v>
      </c>
      <c r="X315" s="59" t="str">
        <f t="shared" si="45"/>
        <v/>
      </c>
      <c r="Y315" s="60"/>
      <c r="Z315" s="64"/>
      <c r="AA315" s="64"/>
      <c r="AB315" s="64"/>
      <c r="AC315" s="16" t="s">
        <v>675</v>
      </c>
      <c r="AD315" s="64"/>
      <c r="AE315" s="64"/>
      <c r="AF315" s="64"/>
      <c r="AG315" s="64"/>
      <c r="AH315" s="64"/>
      <c r="AI315" s="64"/>
      <c r="AJ315" s="64"/>
      <c r="AK315" s="16" t="s">
        <v>675</v>
      </c>
      <c r="AL315" s="16" t="s">
        <v>675</v>
      </c>
      <c r="AM315" s="16" t="s">
        <v>675</v>
      </c>
      <c r="AN315" s="64"/>
      <c r="AO315" s="64"/>
      <c r="AP315" s="64"/>
      <c r="AQ315" s="64"/>
      <c r="AR315" s="64"/>
      <c r="AS315" s="16" t="s">
        <v>675</v>
      </c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5"/>
    </row>
    <row r="316" spans="1:92" ht="18" customHeight="1" x14ac:dyDescent="0.3">
      <c r="A316" s="66" t="s">
        <v>784</v>
      </c>
      <c r="B316" s="69" t="s">
        <v>540</v>
      </c>
      <c r="C316" s="49" t="s">
        <v>1434</v>
      </c>
      <c r="D316" s="49" t="s">
        <v>1432</v>
      </c>
      <c r="E316" s="50">
        <v>0</v>
      </c>
      <c r="F316" s="50">
        <v>0</v>
      </c>
      <c r="G316" s="61">
        <v>7</v>
      </c>
      <c r="H316" s="68" t="s">
        <v>1435</v>
      </c>
      <c r="I316" s="48" t="s">
        <v>1016</v>
      </c>
      <c r="J316" s="16" t="s">
        <v>2386</v>
      </c>
      <c r="K316" s="49">
        <v>50</v>
      </c>
      <c r="L316" s="49">
        <v>50</v>
      </c>
      <c r="M316" s="64"/>
      <c r="N316" s="64"/>
      <c r="O316" s="49" t="str">
        <f t="shared" si="47"/>
        <v>YES</v>
      </c>
      <c r="P316" s="52"/>
      <c r="Q316" s="53">
        <f t="shared" si="39"/>
        <v>5000</v>
      </c>
      <c r="R316" s="54" t="str">
        <f t="shared" si="40"/>
        <v xml:space="preserve"> </v>
      </c>
      <c r="S316" s="55" t="str">
        <f t="shared" si="41"/>
        <v xml:space="preserve"> </v>
      </c>
      <c r="T316" s="56"/>
      <c r="U316" s="57" t="str">
        <f t="shared" si="42"/>
        <v xml:space="preserve"> </v>
      </c>
      <c r="V316" s="58" t="str">
        <f t="shared" si="43"/>
        <v xml:space="preserve"> </v>
      </c>
      <c r="W316" s="58" t="str">
        <f t="shared" si="44"/>
        <v xml:space="preserve"> </v>
      </c>
      <c r="X316" s="59" t="str">
        <f t="shared" si="45"/>
        <v>Mitigation</v>
      </c>
      <c r="Y316" s="60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16" t="s">
        <v>675</v>
      </c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5"/>
    </row>
    <row r="317" spans="1:92" ht="18" customHeight="1" x14ac:dyDescent="0.3">
      <c r="A317" s="66" t="s">
        <v>779</v>
      </c>
      <c r="B317" s="69" t="s">
        <v>501</v>
      </c>
      <c r="C317" s="67" t="s">
        <v>1426</v>
      </c>
      <c r="D317" s="67" t="s">
        <v>1424</v>
      </c>
      <c r="E317" s="50">
        <v>0</v>
      </c>
      <c r="F317" s="50">
        <v>0</v>
      </c>
      <c r="G317" s="61">
        <v>1</v>
      </c>
      <c r="H317" s="16" t="s">
        <v>1261</v>
      </c>
      <c r="I317" s="48" t="s">
        <v>1016</v>
      </c>
      <c r="J317" s="16" t="s">
        <v>2386</v>
      </c>
      <c r="K317" s="49">
        <v>50</v>
      </c>
      <c r="L317" s="49">
        <v>50</v>
      </c>
      <c r="M317" s="64"/>
      <c r="N317" s="64"/>
      <c r="O317" s="49" t="str">
        <f t="shared" si="47"/>
        <v>YES</v>
      </c>
      <c r="P317" s="52"/>
      <c r="Q317" s="53">
        <f t="shared" si="39"/>
        <v>5000</v>
      </c>
      <c r="R317" s="54" t="str">
        <f t="shared" si="40"/>
        <v xml:space="preserve"> </v>
      </c>
      <c r="S317" s="55" t="str">
        <f t="shared" si="41"/>
        <v xml:space="preserve"> </v>
      </c>
      <c r="T317" s="56"/>
      <c r="U317" s="57" t="str">
        <f t="shared" si="42"/>
        <v xml:space="preserve"> </v>
      </c>
      <c r="V317" s="58" t="str">
        <f t="shared" si="43"/>
        <v xml:space="preserve"> </v>
      </c>
      <c r="W317" s="58" t="str">
        <f t="shared" si="44"/>
        <v xml:space="preserve"> </v>
      </c>
      <c r="X317" s="59" t="str">
        <f t="shared" si="45"/>
        <v>Water criteria (conductivity)</v>
      </c>
      <c r="Y317" s="60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16" t="s">
        <v>675</v>
      </c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5"/>
    </row>
    <row r="318" spans="1:92" ht="18" hidden="1" customHeight="1" x14ac:dyDescent="0.3">
      <c r="A318" s="81" t="s">
        <v>899</v>
      </c>
      <c r="B318" s="76" t="s">
        <v>459</v>
      </c>
      <c r="C318" s="16" t="s">
        <v>1502</v>
      </c>
      <c r="D318" s="16" t="s">
        <v>1484</v>
      </c>
      <c r="E318" s="50">
        <v>50</v>
      </c>
      <c r="F318" s="50">
        <v>0</v>
      </c>
      <c r="G318" s="16">
        <v>1</v>
      </c>
      <c r="H318" s="16" t="s">
        <v>1023</v>
      </c>
      <c r="I318" s="16" t="s">
        <v>1016</v>
      </c>
      <c r="J318" s="16" t="s">
        <v>2382</v>
      </c>
      <c r="K318" s="16">
        <v>50</v>
      </c>
      <c r="L318" s="16">
        <v>50</v>
      </c>
      <c r="M318" s="64"/>
      <c r="N318" s="64"/>
      <c r="O318" s="49" t="str">
        <f t="shared" si="47"/>
        <v>YES</v>
      </c>
      <c r="P318" s="52"/>
      <c r="Q318" s="53">
        <f t="shared" si="39"/>
        <v>5000</v>
      </c>
      <c r="R318" s="54">
        <f t="shared" si="40"/>
        <v>2500</v>
      </c>
      <c r="S318" s="55" t="str">
        <f t="shared" si="41"/>
        <v xml:space="preserve"> </v>
      </c>
      <c r="T318" s="56"/>
      <c r="U318" s="57" t="str">
        <f t="shared" si="42"/>
        <v>100µg/100cm²</v>
      </c>
      <c r="V318" s="58">
        <f t="shared" si="43"/>
        <v>2500</v>
      </c>
      <c r="W318" s="58" t="str">
        <f t="shared" si="44"/>
        <v xml:space="preserve"> </v>
      </c>
      <c r="X318" s="59" t="str">
        <f t="shared" si="45"/>
        <v/>
      </c>
      <c r="Y318" s="60"/>
      <c r="Z318" s="64"/>
      <c r="AA318" s="64"/>
      <c r="AB318" s="64"/>
      <c r="AC318" s="64"/>
      <c r="AD318" s="64"/>
      <c r="AE318" s="64"/>
      <c r="AF318" s="64"/>
      <c r="AG318" s="64"/>
      <c r="AH318" s="64"/>
      <c r="AI318" s="16" t="s">
        <v>675</v>
      </c>
      <c r="AJ318" s="64"/>
      <c r="AK318" s="64"/>
      <c r="AL318" s="64"/>
      <c r="AM318" s="16" t="s">
        <v>675</v>
      </c>
      <c r="AN318" s="16" t="s">
        <v>675</v>
      </c>
      <c r="AO318" s="16" t="s">
        <v>675</v>
      </c>
      <c r="AP318" s="16" t="s">
        <v>675</v>
      </c>
      <c r="AQ318" s="64"/>
      <c r="AR318" s="64"/>
      <c r="AS318" s="64"/>
      <c r="AT318" s="64"/>
      <c r="AU318" s="82"/>
      <c r="AV318" s="82"/>
      <c r="AW318" s="82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5"/>
    </row>
    <row r="319" spans="1:92" ht="18" hidden="1" customHeight="1" x14ac:dyDescent="0.3">
      <c r="A319" s="81" t="s">
        <v>900</v>
      </c>
      <c r="B319" s="76" t="s">
        <v>459</v>
      </c>
      <c r="C319" s="16" t="s">
        <v>1502</v>
      </c>
      <c r="D319" s="16" t="s">
        <v>1484</v>
      </c>
      <c r="E319" s="50">
        <v>50</v>
      </c>
      <c r="F319" s="50">
        <v>0</v>
      </c>
      <c r="G319" s="16">
        <v>1</v>
      </c>
      <c r="H319" s="16" t="s">
        <v>1023</v>
      </c>
      <c r="I319" s="16" t="s">
        <v>1016</v>
      </c>
      <c r="J319" s="16" t="s">
        <v>2382</v>
      </c>
      <c r="K319" s="16">
        <v>50</v>
      </c>
      <c r="L319" s="16">
        <v>50</v>
      </c>
      <c r="M319" s="64"/>
      <c r="N319" s="64"/>
      <c r="O319" s="49" t="str">
        <f t="shared" si="47"/>
        <v>YES</v>
      </c>
      <c r="P319" s="52"/>
      <c r="Q319" s="53">
        <f t="shared" si="39"/>
        <v>5000</v>
      </c>
      <c r="R319" s="54">
        <f t="shared" si="40"/>
        <v>2500</v>
      </c>
      <c r="S319" s="55" t="str">
        <f t="shared" si="41"/>
        <v xml:space="preserve"> </v>
      </c>
      <c r="T319" s="56"/>
      <c r="U319" s="57" t="str">
        <f t="shared" si="42"/>
        <v>100µg/100cm²</v>
      </c>
      <c r="V319" s="58">
        <f t="shared" si="43"/>
        <v>2500</v>
      </c>
      <c r="W319" s="58" t="str">
        <f t="shared" si="44"/>
        <v xml:space="preserve"> </v>
      </c>
      <c r="X319" s="59" t="str">
        <f t="shared" si="45"/>
        <v/>
      </c>
      <c r="Y319" s="60"/>
      <c r="Z319" s="64"/>
      <c r="AA319" s="64"/>
      <c r="AB319" s="64"/>
      <c r="AC319" s="64"/>
      <c r="AD319" s="64"/>
      <c r="AE319" s="64"/>
      <c r="AF319" s="64"/>
      <c r="AG319" s="64"/>
      <c r="AH319" s="64"/>
      <c r="AI319" s="16" t="s">
        <v>675</v>
      </c>
      <c r="AJ319" s="64"/>
      <c r="AK319" s="64"/>
      <c r="AL319" s="64"/>
      <c r="AM319" s="16" t="s">
        <v>675</v>
      </c>
      <c r="AN319" s="16" t="s">
        <v>675</v>
      </c>
      <c r="AO319" s="16" t="s">
        <v>675</v>
      </c>
      <c r="AP319" s="16" t="s">
        <v>675</v>
      </c>
      <c r="AQ319" s="64"/>
      <c r="AR319" s="64"/>
      <c r="AS319" s="64"/>
      <c r="AT319" s="64"/>
      <c r="AU319" s="82"/>
      <c r="AV319" s="82"/>
      <c r="AW319" s="82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5"/>
    </row>
    <row r="320" spans="1:92" ht="18" hidden="1" customHeight="1" x14ac:dyDescent="0.3">
      <c r="A320" s="81" t="s">
        <v>901</v>
      </c>
      <c r="B320" s="76" t="s">
        <v>459</v>
      </c>
      <c r="C320" s="16" t="s">
        <v>1502</v>
      </c>
      <c r="D320" s="16" t="s">
        <v>1484</v>
      </c>
      <c r="E320" s="50">
        <v>50</v>
      </c>
      <c r="F320" s="50">
        <v>0</v>
      </c>
      <c r="G320" s="16">
        <v>1</v>
      </c>
      <c r="H320" s="16" t="s">
        <v>1023</v>
      </c>
      <c r="I320" s="16" t="s">
        <v>1016</v>
      </c>
      <c r="J320" s="16" t="s">
        <v>2382</v>
      </c>
      <c r="K320" s="16">
        <v>50</v>
      </c>
      <c r="L320" s="16">
        <v>50</v>
      </c>
      <c r="M320" s="64"/>
      <c r="N320" s="64"/>
      <c r="O320" s="49" t="str">
        <f t="shared" si="47"/>
        <v>YES</v>
      </c>
      <c r="P320" s="52"/>
      <c r="Q320" s="53">
        <f t="shared" si="39"/>
        <v>5000</v>
      </c>
      <c r="R320" s="54">
        <f t="shared" si="40"/>
        <v>2500</v>
      </c>
      <c r="S320" s="55" t="str">
        <f t="shared" si="41"/>
        <v xml:space="preserve"> </v>
      </c>
      <c r="T320" s="56"/>
      <c r="U320" s="57" t="str">
        <f t="shared" si="42"/>
        <v>100µg/100cm²</v>
      </c>
      <c r="V320" s="58">
        <f t="shared" si="43"/>
        <v>2500</v>
      </c>
      <c r="W320" s="58" t="str">
        <f t="shared" si="44"/>
        <v xml:space="preserve"> </v>
      </c>
      <c r="X320" s="59" t="str">
        <f t="shared" si="45"/>
        <v/>
      </c>
      <c r="Y320" s="60"/>
      <c r="Z320" s="64"/>
      <c r="AA320" s="64"/>
      <c r="AB320" s="64"/>
      <c r="AC320" s="64"/>
      <c r="AD320" s="64"/>
      <c r="AE320" s="64"/>
      <c r="AF320" s="64"/>
      <c r="AG320" s="64"/>
      <c r="AH320" s="64"/>
      <c r="AI320" s="16" t="s">
        <v>675</v>
      </c>
      <c r="AJ320" s="64"/>
      <c r="AK320" s="64"/>
      <c r="AL320" s="64"/>
      <c r="AM320" s="16" t="s">
        <v>675</v>
      </c>
      <c r="AN320" s="16" t="s">
        <v>675</v>
      </c>
      <c r="AO320" s="16" t="s">
        <v>675</v>
      </c>
      <c r="AP320" s="16" t="s">
        <v>675</v>
      </c>
      <c r="AQ320" s="64"/>
      <c r="AR320" s="64"/>
      <c r="AS320" s="64"/>
      <c r="AT320" s="64"/>
      <c r="AU320" s="82"/>
      <c r="AV320" s="82"/>
      <c r="AW320" s="82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5"/>
    </row>
    <row r="321" spans="1:72" ht="18" hidden="1" customHeight="1" x14ac:dyDescent="0.3">
      <c r="A321" s="122" t="s">
        <v>1893</v>
      </c>
      <c r="B321" s="16" t="s">
        <v>1894</v>
      </c>
      <c r="C321" s="87" t="s">
        <v>1944</v>
      </c>
      <c r="D321" s="16" t="s">
        <v>1498</v>
      </c>
      <c r="E321" s="50">
        <v>24.08</v>
      </c>
      <c r="F321" s="50">
        <v>0</v>
      </c>
      <c r="G321" s="16">
        <v>3</v>
      </c>
      <c r="H321" s="16" t="s">
        <v>1567</v>
      </c>
      <c r="I321" s="16" t="s">
        <v>1016</v>
      </c>
      <c r="J321" s="17" t="s">
        <v>2020</v>
      </c>
      <c r="K321" s="16">
        <v>11900</v>
      </c>
      <c r="L321" s="16">
        <v>107000</v>
      </c>
      <c r="M321" s="16" t="s">
        <v>1014</v>
      </c>
      <c r="N321" s="51"/>
      <c r="O321" s="49" t="str">
        <f t="shared" si="47"/>
        <v>YES</v>
      </c>
      <c r="P321" s="52"/>
      <c r="Q321" s="53">
        <f t="shared" si="39"/>
        <v>5000</v>
      </c>
      <c r="R321" s="54">
        <f t="shared" si="40"/>
        <v>1204</v>
      </c>
      <c r="S321" s="55" t="str">
        <f t="shared" si="41"/>
        <v xml:space="preserve"> </v>
      </c>
      <c r="T321" s="56"/>
      <c r="U321" s="57" t="str">
        <f t="shared" si="42"/>
        <v>100µg/100cm²</v>
      </c>
      <c r="V321" s="58">
        <f t="shared" si="43"/>
        <v>1204</v>
      </c>
      <c r="W321" s="58" t="str">
        <f t="shared" si="44"/>
        <v xml:space="preserve"> </v>
      </c>
      <c r="X321" s="59" t="str">
        <f t="shared" si="45"/>
        <v/>
      </c>
      <c r="Y321" s="60"/>
      <c r="Z321" s="16" t="s">
        <v>1987</v>
      </c>
      <c r="AA321" s="16" t="s">
        <v>1987</v>
      </c>
      <c r="AB321" s="16" t="s">
        <v>1987</v>
      </c>
      <c r="AC321" s="16" t="s">
        <v>1987</v>
      </c>
      <c r="AD321" s="16" t="s">
        <v>1987</v>
      </c>
      <c r="AE321" s="16" t="s">
        <v>1987</v>
      </c>
      <c r="AF321" s="16" t="s">
        <v>1987</v>
      </c>
      <c r="AG321" s="16" t="s">
        <v>1987</v>
      </c>
      <c r="AH321" s="16" t="s">
        <v>1987</v>
      </c>
      <c r="AI321" s="16" t="s">
        <v>1987</v>
      </c>
      <c r="AJ321" s="16" t="s">
        <v>1987</v>
      </c>
      <c r="AK321" s="16" t="s">
        <v>1987</v>
      </c>
      <c r="AL321" s="16" t="s">
        <v>1987</v>
      </c>
      <c r="AM321" s="16" t="s">
        <v>1987</v>
      </c>
      <c r="AN321" s="16" t="s">
        <v>1987</v>
      </c>
      <c r="AO321" s="16" t="s">
        <v>1987</v>
      </c>
      <c r="AP321" s="16" t="s">
        <v>1987</v>
      </c>
      <c r="AQ321" s="16" t="s">
        <v>1987</v>
      </c>
      <c r="AR321" s="16" t="s">
        <v>1987</v>
      </c>
      <c r="AS321" s="16" t="s">
        <v>1987</v>
      </c>
      <c r="AT321" s="16" t="s">
        <v>1987</v>
      </c>
      <c r="AU321" s="16" t="s">
        <v>1987</v>
      </c>
      <c r="AV321" s="16" t="s">
        <v>1987</v>
      </c>
      <c r="AW321" s="16" t="s">
        <v>1987</v>
      </c>
      <c r="AX321" s="16" t="s">
        <v>1987</v>
      </c>
      <c r="AY321" s="16" t="s">
        <v>1987</v>
      </c>
      <c r="AZ321" s="16" t="s">
        <v>1987</v>
      </c>
      <c r="BA321" s="16" t="s">
        <v>1987</v>
      </c>
      <c r="BB321" s="16" t="s">
        <v>1987</v>
      </c>
      <c r="BC321" s="16" t="s">
        <v>1987</v>
      </c>
      <c r="BD321" s="16" t="s">
        <v>1987</v>
      </c>
      <c r="BE321" s="16" t="s">
        <v>1987</v>
      </c>
      <c r="BF321" s="16" t="s">
        <v>1987</v>
      </c>
      <c r="BG321" s="16" t="s">
        <v>1987</v>
      </c>
      <c r="BH321" s="16" t="s">
        <v>1987</v>
      </c>
      <c r="BI321" s="16" t="s">
        <v>1987</v>
      </c>
      <c r="BJ321" s="16" t="s">
        <v>1987</v>
      </c>
      <c r="BK321" s="16" t="s">
        <v>1987</v>
      </c>
      <c r="BL321" s="16" t="s">
        <v>1987</v>
      </c>
      <c r="BM321" s="16" t="s">
        <v>1987</v>
      </c>
      <c r="BN321" s="16" t="s">
        <v>1987</v>
      </c>
      <c r="BO321" s="16" t="s">
        <v>1987</v>
      </c>
      <c r="BP321" s="16" t="s">
        <v>1987</v>
      </c>
      <c r="BQ321" s="16" t="s">
        <v>1987</v>
      </c>
      <c r="BR321" s="16" t="s">
        <v>1987</v>
      </c>
      <c r="BS321" s="16" t="s">
        <v>1987</v>
      </c>
      <c r="BT321" s="16" t="s">
        <v>1987</v>
      </c>
    </row>
    <row r="322" spans="1:72" ht="18" customHeight="1" x14ac:dyDescent="0.3">
      <c r="A322" s="190" t="s">
        <v>1860</v>
      </c>
      <c r="B322" s="95" t="s">
        <v>1861</v>
      </c>
      <c r="C322" s="16" t="s">
        <v>1900</v>
      </c>
      <c r="D322" s="16" t="s">
        <v>1498</v>
      </c>
      <c r="E322" s="50">
        <v>0</v>
      </c>
      <c r="F322" s="50">
        <v>0</v>
      </c>
      <c r="G322" s="16">
        <v>2</v>
      </c>
      <c r="H322" s="16">
        <v>228</v>
      </c>
      <c r="I322" s="16" t="s">
        <v>1016</v>
      </c>
      <c r="J322" s="16" t="s">
        <v>2386</v>
      </c>
      <c r="K322" s="49">
        <v>50</v>
      </c>
      <c r="L322" s="49">
        <v>50</v>
      </c>
      <c r="M322" s="64"/>
      <c r="N322" s="64"/>
      <c r="O322" s="49" t="str">
        <f t="shared" si="47"/>
        <v>YES</v>
      </c>
      <c r="P322" s="52"/>
      <c r="Q322" s="53">
        <f t="shared" si="39"/>
        <v>5000</v>
      </c>
      <c r="R322" s="54" t="str">
        <f t="shared" si="40"/>
        <v xml:space="preserve"> </v>
      </c>
      <c r="S322" s="55" t="str">
        <f t="shared" si="41"/>
        <v xml:space="preserve"> </v>
      </c>
      <c r="T322" s="56"/>
      <c r="U322" s="57" t="str">
        <f t="shared" si="42"/>
        <v xml:space="preserve"> </v>
      </c>
      <c r="V322" s="58" t="str">
        <f t="shared" si="43"/>
        <v xml:space="preserve"> </v>
      </c>
      <c r="W322" s="58" t="str">
        <f t="shared" si="44"/>
        <v xml:space="preserve"> </v>
      </c>
      <c r="X322" s="59" t="str">
        <f t="shared" si="45"/>
        <v>Water criteria (conductivity)</v>
      </c>
      <c r="Y322" s="60"/>
      <c r="Z322" s="16" t="s">
        <v>1987</v>
      </c>
      <c r="AA322" s="16" t="s">
        <v>1987</v>
      </c>
      <c r="AB322" s="16" t="s">
        <v>1987</v>
      </c>
      <c r="AC322" s="16" t="s">
        <v>1987</v>
      </c>
      <c r="AD322" s="16" t="s">
        <v>1987</v>
      </c>
      <c r="AE322" s="16" t="s">
        <v>1987</v>
      </c>
      <c r="AF322" s="16" t="s">
        <v>1987</v>
      </c>
      <c r="AG322" s="16" t="s">
        <v>1987</v>
      </c>
      <c r="AH322" s="16" t="s">
        <v>1987</v>
      </c>
      <c r="AI322" s="16" t="s">
        <v>1987</v>
      </c>
      <c r="AJ322" s="16" t="s">
        <v>1987</v>
      </c>
      <c r="AK322" s="16" t="s">
        <v>1987</v>
      </c>
      <c r="AL322" s="16" t="s">
        <v>1987</v>
      </c>
      <c r="AM322" s="16" t="s">
        <v>1987</v>
      </c>
      <c r="AN322" s="16" t="s">
        <v>1987</v>
      </c>
      <c r="AO322" s="16" t="s">
        <v>1987</v>
      </c>
      <c r="AP322" s="16" t="s">
        <v>1987</v>
      </c>
      <c r="AQ322" s="16" t="s">
        <v>1987</v>
      </c>
      <c r="AR322" s="16" t="s">
        <v>1987</v>
      </c>
      <c r="AS322" s="16" t="s">
        <v>1987</v>
      </c>
      <c r="AT322" s="16" t="s">
        <v>1987</v>
      </c>
      <c r="AU322" s="16" t="s">
        <v>1987</v>
      </c>
      <c r="AV322" s="16" t="s">
        <v>1987</v>
      </c>
      <c r="AW322" s="16" t="s">
        <v>1987</v>
      </c>
      <c r="AX322" s="16" t="s">
        <v>1987</v>
      </c>
      <c r="AY322" s="16" t="s">
        <v>1987</v>
      </c>
      <c r="AZ322" s="16" t="s">
        <v>1987</v>
      </c>
      <c r="BA322" s="16" t="s">
        <v>1987</v>
      </c>
      <c r="BB322" s="16" t="s">
        <v>1987</v>
      </c>
      <c r="BC322" s="16" t="s">
        <v>1987</v>
      </c>
      <c r="BD322" s="16" t="s">
        <v>1987</v>
      </c>
      <c r="BE322" s="16" t="s">
        <v>1987</v>
      </c>
      <c r="BF322" s="16" t="s">
        <v>1987</v>
      </c>
      <c r="BG322" s="16" t="s">
        <v>1987</v>
      </c>
      <c r="BH322" s="16" t="s">
        <v>1987</v>
      </c>
      <c r="BI322" s="16" t="s">
        <v>1987</v>
      </c>
      <c r="BJ322" s="16" t="s">
        <v>1987</v>
      </c>
      <c r="BK322" s="16" t="s">
        <v>1987</v>
      </c>
      <c r="BL322" s="16" t="s">
        <v>1987</v>
      </c>
      <c r="BM322" s="16" t="s">
        <v>1987</v>
      </c>
      <c r="BN322" s="16" t="s">
        <v>1987</v>
      </c>
      <c r="BO322" s="16" t="s">
        <v>1987</v>
      </c>
      <c r="BP322" s="16" t="s">
        <v>1987</v>
      </c>
      <c r="BQ322" s="16" t="s">
        <v>1987</v>
      </c>
      <c r="BR322" s="16" t="s">
        <v>1987</v>
      </c>
      <c r="BS322" s="16" t="s">
        <v>1987</v>
      </c>
      <c r="BT322" s="16" t="s">
        <v>1987</v>
      </c>
    </row>
    <row r="323" spans="1:72" ht="18" hidden="1" customHeight="1" x14ac:dyDescent="0.3">
      <c r="A323" s="47" t="s">
        <v>409</v>
      </c>
      <c r="B323" s="48" t="s">
        <v>410</v>
      </c>
      <c r="C323" s="49" t="s">
        <v>1404</v>
      </c>
      <c r="D323" s="49" t="s">
        <v>1268</v>
      </c>
      <c r="E323" s="50">
        <v>82.76</v>
      </c>
      <c r="F323" s="50">
        <v>0</v>
      </c>
      <c r="G323" s="61">
        <v>7</v>
      </c>
      <c r="H323" s="16" t="s">
        <v>1211</v>
      </c>
      <c r="I323" s="48" t="s">
        <v>1196</v>
      </c>
      <c r="J323" s="16" t="s">
        <v>2386</v>
      </c>
      <c r="K323" s="49">
        <v>50</v>
      </c>
      <c r="L323" s="49">
        <v>50</v>
      </c>
      <c r="M323" s="64"/>
      <c r="N323" s="64"/>
      <c r="O323" s="49" t="str">
        <f t="shared" si="47"/>
        <v>YES</v>
      </c>
      <c r="P323" s="52"/>
      <c r="Q323" s="53">
        <f t="shared" si="39"/>
        <v>5000</v>
      </c>
      <c r="R323" s="54">
        <f t="shared" si="40"/>
        <v>4138</v>
      </c>
      <c r="S323" s="55" t="str">
        <f t="shared" si="41"/>
        <v xml:space="preserve"> </v>
      </c>
      <c r="T323" s="56"/>
      <c r="U323" s="57" t="str">
        <f t="shared" si="42"/>
        <v>100µg/100cm²</v>
      </c>
      <c r="V323" s="58">
        <f t="shared" si="43"/>
        <v>4138</v>
      </c>
      <c r="W323" s="58" t="str">
        <f t="shared" si="44"/>
        <v xml:space="preserve"> </v>
      </c>
      <c r="X323" s="59" t="str">
        <f t="shared" si="45"/>
        <v/>
      </c>
      <c r="Y323" s="60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16" t="s">
        <v>675</v>
      </c>
      <c r="AK323" s="64"/>
      <c r="AL323" s="64"/>
      <c r="AM323" s="16" t="s">
        <v>675</v>
      </c>
      <c r="AN323" s="64"/>
      <c r="AO323" s="64"/>
      <c r="AP323" s="64"/>
      <c r="AQ323" s="64"/>
      <c r="AR323" s="16" t="s">
        <v>675</v>
      </c>
      <c r="AS323" s="64"/>
      <c r="AT323" s="16" t="s">
        <v>675</v>
      </c>
      <c r="AU323" s="64"/>
      <c r="AV323" s="64"/>
      <c r="AW323" s="64"/>
      <c r="AX323" s="64"/>
      <c r="AY323" s="64"/>
      <c r="AZ323" s="64"/>
      <c r="BA323" s="64"/>
      <c r="BB323" s="64"/>
      <c r="BC323" s="16" t="s">
        <v>675</v>
      </c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5"/>
    </row>
    <row r="324" spans="1:72" ht="18" hidden="1" customHeight="1" x14ac:dyDescent="0.3">
      <c r="A324" s="47" t="s">
        <v>363</v>
      </c>
      <c r="B324" s="48" t="s">
        <v>151</v>
      </c>
      <c r="C324" s="16" t="s">
        <v>2127</v>
      </c>
      <c r="D324" s="49" t="s">
        <v>1028</v>
      </c>
      <c r="E324" s="50">
        <v>59.96</v>
      </c>
      <c r="F324" s="50">
        <v>0</v>
      </c>
      <c r="G324" s="61">
        <v>1</v>
      </c>
      <c r="H324" s="16" t="s">
        <v>1023</v>
      </c>
      <c r="I324" s="48" t="s">
        <v>1012</v>
      </c>
      <c r="J324" s="16" t="s">
        <v>2386</v>
      </c>
      <c r="K324" s="49">
        <v>50</v>
      </c>
      <c r="L324" s="49">
        <v>50</v>
      </c>
      <c r="M324" s="64"/>
      <c r="N324" s="64"/>
      <c r="O324" s="49" t="str">
        <f t="shared" si="47"/>
        <v>YES</v>
      </c>
      <c r="P324" s="52"/>
      <c r="Q324" s="53">
        <f t="shared" si="39"/>
        <v>5000</v>
      </c>
      <c r="R324" s="54">
        <f t="shared" si="40"/>
        <v>2998</v>
      </c>
      <c r="S324" s="55" t="str">
        <f t="shared" si="41"/>
        <v xml:space="preserve"> </v>
      </c>
      <c r="T324" s="56"/>
      <c r="U324" s="57" t="str">
        <f t="shared" si="42"/>
        <v>100µg/100cm²</v>
      </c>
      <c r="V324" s="58">
        <f t="shared" si="43"/>
        <v>2998</v>
      </c>
      <c r="W324" s="58" t="str">
        <f t="shared" si="44"/>
        <v xml:space="preserve"> </v>
      </c>
      <c r="X324" s="59" t="str">
        <f t="shared" si="45"/>
        <v/>
      </c>
      <c r="Y324" s="60"/>
      <c r="Z324" s="16" t="s">
        <v>675</v>
      </c>
      <c r="AA324" s="16" t="s">
        <v>675</v>
      </c>
      <c r="AB324" s="16" t="s">
        <v>675</v>
      </c>
      <c r="AC324" s="64"/>
      <c r="AD324" s="16" t="s">
        <v>675</v>
      </c>
      <c r="AE324" s="16" t="s">
        <v>675</v>
      </c>
      <c r="AF324" s="16" t="s">
        <v>675</v>
      </c>
      <c r="AG324" s="16" t="s">
        <v>675</v>
      </c>
      <c r="AH324" s="16" t="s">
        <v>675</v>
      </c>
      <c r="AI324" s="16" t="s">
        <v>675</v>
      </c>
      <c r="AJ324" s="16" t="s">
        <v>675</v>
      </c>
      <c r="AK324" s="16" t="s">
        <v>675</v>
      </c>
      <c r="AL324" s="16" t="s">
        <v>675</v>
      </c>
      <c r="AM324" s="16" t="s">
        <v>675</v>
      </c>
      <c r="AN324" s="16" t="s">
        <v>675</v>
      </c>
      <c r="AO324" s="16" t="s">
        <v>675</v>
      </c>
      <c r="AP324" s="16" t="s">
        <v>675</v>
      </c>
      <c r="AQ324" s="16" t="s">
        <v>675</v>
      </c>
      <c r="AR324" s="16" t="s">
        <v>675</v>
      </c>
      <c r="AS324" s="16" t="s">
        <v>675</v>
      </c>
      <c r="AT324" s="16" t="s">
        <v>675</v>
      </c>
      <c r="AU324" s="64"/>
      <c r="AV324" s="64"/>
      <c r="AW324" s="64"/>
      <c r="AX324" s="64"/>
      <c r="AY324" s="16" t="s">
        <v>675</v>
      </c>
      <c r="AZ324" s="16" t="s">
        <v>675</v>
      </c>
      <c r="BA324" s="16" t="s">
        <v>675</v>
      </c>
      <c r="BB324" s="16" t="s">
        <v>675</v>
      </c>
      <c r="BC324" s="16" t="s">
        <v>675</v>
      </c>
      <c r="BD324" s="64"/>
      <c r="BE324" s="64"/>
      <c r="BF324" s="64"/>
      <c r="BG324" s="64"/>
      <c r="BH324" s="64"/>
      <c r="BI324" s="64"/>
      <c r="BJ324" s="64"/>
      <c r="BK324" s="64"/>
      <c r="BL324" s="64"/>
      <c r="BM324" s="16" t="s">
        <v>675</v>
      </c>
      <c r="BN324" s="64"/>
      <c r="BO324" s="64"/>
      <c r="BP324" s="64"/>
      <c r="BQ324" s="64"/>
      <c r="BR324" s="64"/>
      <c r="BS324" s="16" t="s">
        <v>675</v>
      </c>
      <c r="BT324" s="65"/>
    </row>
    <row r="325" spans="1:72" ht="18" hidden="1" customHeight="1" x14ac:dyDescent="0.3">
      <c r="A325" s="47" t="s">
        <v>622</v>
      </c>
      <c r="B325" s="49" t="s">
        <v>448</v>
      </c>
      <c r="C325" s="16" t="s">
        <v>2128</v>
      </c>
      <c r="D325" s="49" t="s">
        <v>1243</v>
      </c>
      <c r="E325" s="50">
        <v>45.38</v>
      </c>
      <c r="F325" s="50">
        <v>0</v>
      </c>
      <c r="G325" s="61">
        <v>4</v>
      </c>
      <c r="H325" s="16">
        <v>23.83</v>
      </c>
      <c r="I325" s="49" t="s">
        <v>1016</v>
      </c>
      <c r="J325" s="16" t="s">
        <v>2386</v>
      </c>
      <c r="K325" s="49">
        <v>50</v>
      </c>
      <c r="L325" s="49">
        <v>50</v>
      </c>
      <c r="M325" s="64"/>
      <c r="N325" s="64"/>
      <c r="O325" s="49" t="str">
        <f t="shared" si="47"/>
        <v>YES</v>
      </c>
      <c r="P325" s="52"/>
      <c r="Q325" s="53">
        <f t="shared" si="39"/>
        <v>5000</v>
      </c>
      <c r="R325" s="54">
        <f t="shared" si="40"/>
        <v>2269</v>
      </c>
      <c r="S325" s="55" t="str">
        <f t="shared" si="41"/>
        <v xml:space="preserve"> </v>
      </c>
      <c r="T325" s="56"/>
      <c r="U325" s="57" t="str">
        <f t="shared" si="42"/>
        <v>100µg/100cm²</v>
      </c>
      <c r="V325" s="58">
        <f t="shared" si="43"/>
        <v>2269</v>
      </c>
      <c r="W325" s="58" t="str">
        <f t="shared" si="44"/>
        <v xml:space="preserve"> </v>
      </c>
      <c r="X325" s="59" t="str">
        <f t="shared" si="45"/>
        <v/>
      </c>
      <c r="Y325" s="60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16" t="s">
        <v>675</v>
      </c>
      <c r="AT325" s="64"/>
      <c r="AU325" s="16" t="s">
        <v>675</v>
      </c>
      <c r="AV325" s="64"/>
      <c r="AW325" s="16" t="s">
        <v>675</v>
      </c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5"/>
    </row>
    <row r="326" spans="1:72" ht="18" hidden="1" customHeight="1" x14ac:dyDescent="0.3">
      <c r="A326" s="47" t="s">
        <v>761</v>
      </c>
      <c r="B326" s="48" t="s">
        <v>762</v>
      </c>
      <c r="C326" s="49" t="s">
        <v>1409</v>
      </c>
      <c r="D326" s="49" t="s">
        <v>1163</v>
      </c>
      <c r="E326" s="50">
        <v>60.62</v>
      </c>
      <c r="F326" s="50">
        <v>0</v>
      </c>
      <c r="G326" s="61">
        <v>3</v>
      </c>
      <c r="H326" s="68" t="s">
        <v>1410</v>
      </c>
      <c r="I326" s="48" t="s">
        <v>1189</v>
      </c>
      <c r="J326" s="16" t="s">
        <v>2386</v>
      </c>
      <c r="K326" s="49">
        <v>50</v>
      </c>
      <c r="L326" s="49">
        <v>50</v>
      </c>
      <c r="M326" s="64"/>
      <c r="N326" s="64"/>
      <c r="O326" s="49" t="str">
        <f t="shared" si="47"/>
        <v>YES</v>
      </c>
      <c r="P326" s="52"/>
      <c r="Q326" s="53">
        <f t="shared" si="39"/>
        <v>5000</v>
      </c>
      <c r="R326" s="54">
        <f t="shared" si="40"/>
        <v>3031</v>
      </c>
      <c r="S326" s="55" t="str">
        <f t="shared" si="41"/>
        <v xml:space="preserve"> </v>
      </c>
      <c r="T326" s="56"/>
      <c r="U326" s="57" t="str">
        <f t="shared" si="42"/>
        <v>100µg/100cm²</v>
      </c>
      <c r="V326" s="58">
        <f t="shared" si="43"/>
        <v>3031</v>
      </c>
      <c r="W326" s="58" t="str">
        <f t="shared" si="44"/>
        <v xml:space="preserve"> </v>
      </c>
      <c r="X326" s="59" t="str">
        <f t="shared" si="45"/>
        <v/>
      </c>
      <c r="Y326" s="60"/>
      <c r="Z326" s="16" t="s">
        <v>1987</v>
      </c>
      <c r="AA326" s="16" t="s">
        <v>1987</v>
      </c>
      <c r="AB326" s="16" t="s">
        <v>1987</v>
      </c>
      <c r="AC326" s="16" t="s">
        <v>1987</v>
      </c>
      <c r="AD326" s="16" t="s">
        <v>1987</v>
      </c>
      <c r="AE326" s="16" t="s">
        <v>1987</v>
      </c>
      <c r="AF326" s="16" t="s">
        <v>1987</v>
      </c>
      <c r="AG326" s="16" t="s">
        <v>1987</v>
      </c>
      <c r="AH326" s="16" t="s">
        <v>1987</v>
      </c>
      <c r="AI326" s="16" t="s">
        <v>1987</v>
      </c>
      <c r="AJ326" s="16" t="s">
        <v>1987</v>
      </c>
      <c r="AK326" s="16" t="s">
        <v>1987</v>
      </c>
      <c r="AL326" s="16" t="s">
        <v>1987</v>
      </c>
      <c r="AM326" s="16" t="s">
        <v>1987</v>
      </c>
      <c r="AN326" s="16" t="s">
        <v>1987</v>
      </c>
      <c r="AO326" s="16" t="s">
        <v>1987</v>
      </c>
      <c r="AP326" s="16" t="s">
        <v>1987</v>
      </c>
      <c r="AQ326" s="16" t="s">
        <v>1987</v>
      </c>
      <c r="AR326" s="16" t="s">
        <v>1987</v>
      </c>
      <c r="AS326" s="16" t="s">
        <v>1987</v>
      </c>
      <c r="AT326" s="16" t="s">
        <v>1987</v>
      </c>
      <c r="AU326" s="16" t="s">
        <v>1987</v>
      </c>
      <c r="AV326" s="16" t="s">
        <v>1987</v>
      </c>
      <c r="AW326" s="16" t="s">
        <v>1987</v>
      </c>
      <c r="AX326" s="16" t="s">
        <v>1987</v>
      </c>
      <c r="AY326" s="16" t="s">
        <v>1987</v>
      </c>
      <c r="AZ326" s="16" t="s">
        <v>1987</v>
      </c>
      <c r="BA326" s="16" t="s">
        <v>1987</v>
      </c>
      <c r="BB326" s="16" t="s">
        <v>1987</v>
      </c>
      <c r="BC326" s="16" t="s">
        <v>1987</v>
      </c>
      <c r="BD326" s="16" t="s">
        <v>1987</v>
      </c>
      <c r="BE326" s="16" t="s">
        <v>1987</v>
      </c>
      <c r="BF326" s="16" t="s">
        <v>1987</v>
      </c>
      <c r="BG326" s="16" t="s">
        <v>1987</v>
      </c>
      <c r="BH326" s="16" t="s">
        <v>1987</v>
      </c>
      <c r="BI326" s="16" t="s">
        <v>1987</v>
      </c>
      <c r="BJ326" s="16" t="s">
        <v>1987</v>
      </c>
      <c r="BK326" s="16" t="s">
        <v>1987</v>
      </c>
      <c r="BL326" s="16" t="s">
        <v>1987</v>
      </c>
      <c r="BM326" s="16" t="s">
        <v>1987</v>
      </c>
      <c r="BN326" s="16" t="s">
        <v>1987</v>
      </c>
      <c r="BO326" s="16" t="s">
        <v>1987</v>
      </c>
      <c r="BP326" s="16" t="s">
        <v>1987</v>
      </c>
      <c r="BQ326" s="16" t="s">
        <v>1987</v>
      </c>
      <c r="BR326" s="16" t="s">
        <v>1987</v>
      </c>
      <c r="BS326" s="16" t="s">
        <v>1987</v>
      </c>
      <c r="BT326" s="16" t="s">
        <v>1987</v>
      </c>
    </row>
    <row r="327" spans="1:72" ht="18" hidden="1" customHeight="1" x14ac:dyDescent="0.3">
      <c r="A327" s="81" t="s">
        <v>263</v>
      </c>
      <c r="B327" s="76" t="s">
        <v>459</v>
      </c>
      <c r="C327" s="16" t="s">
        <v>1502</v>
      </c>
      <c r="D327" s="16" t="s">
        <v>1484</v>
      </c>
      <c r="E327" s="50">
        <v>50</v>
      </c>
      <c r="F327" s="50">
        <v>0</v>
      </c>
      <c r="G327" s="16">
        <v>1</v>
      </c>
      <c r="H327" s="16" t="s">
        <v>1023</v>
      </c>
      <c r="I327" s="16" t="s">
        <v>1016</v>
      </c>
      <c r="J327" s="16" t="s">
        <v>2382</v>
      </c>
      <c r="K327" s="16">
        <v>50</v>
      </c>
      <c r="L327" s="16">
        <v>50</v>
      </c>
      <c r="M327" s="64"/>
      <c r="N327" s="64"/>
      <c r="O327" s="49" t="str">
        <f t="shared" si="47"/>
        <v>YES</v>
      </c>
      <c r="P327" s="52"/>
      <c r="Q327" s="53">
        <f t="shared" si="39"/>
        <v>5000</v>
      </c>
      <c r="R327" s="54">
        <f t="shared" si="40"/>
        <v>2500</v>
      </c>
      <c r="S327" s="55" t="str">
        <f t="shared" si="41"/>
        <v xml:space="preserve"> </v>
      </c>
      <c r="T327" s="56"/>
      <c r="U327" s="57" t="str">
        <f t="shared" si="42"/>
        <v>100µg/100cm²</v>
      </c>
      <c r="V327" s="58">
        <f t="shared" si="43"/>
        <v>2500</v>
      </c>
      <c r="W327" s="58" t="str">
        <f t="shared" si="44"/>
        <v xml:space="preserve"> </v>
      </c>
      <c r="X327" s="59" t="str">
        <f t="shared" si="45"/>
        <v/>
      </c>
      <c r="Y327" s="60"/>
      <c r="Z327" s="64"/>
      <c r="AA327" s="64"/>
      <c r="AB327" s="64"/>
      <c r="AC327" s="64"/>
      <c r="AD327" s="64"/>
      <c r="AE327" s="16" t="s">
        <v>675</v>
      </c>
      <c r="AF327" s="16" t="s">
        <v>675</v>
      </c>
      <c r="AG327" s="16" t="s">
        <v>675</v>
      </c>
      <c r="AH327" s="64"/>
      <c r="AI327" s="64"/>
      <c r="AJ327" s="64"/>
      <c r="AK327" s="64"/>
      <c r="AL327" s="64"/>
      <c r="AM327" s="16" t="s">
        <v>675</v>
      </c>
      <c r="AN327" s="16" t="s">
        <v>675</v>
      </c>
      <c r="AO327" s="16" t="s">
        <v>675</v>
      </c>
      <c r="AP327" s="16" t="s">
        <v>675</v>
      </c>
      <c r="AQ327" s="64"/>
      <c r="AR327" s="64"/>
      <c r="AS327" s="64"/>
      <c r="AT327" s="64"/>
      <c r="AU327" s="82"/>
      <c r="AV327" s="82"/>
      <c r="AW327" s="82"/>
      <c r="AX327" s="16" t="s">
        <v>675</v>
      </c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5"/>
    </row>
    <row r="328" spans="1:72" ht="18" hidden="1" customHeight="1" x14ac:dyDescent="0.3">
      <c r="A328" s="81" t="s">
        <v>264</v>
      </c>
      <c r="B328" s="76" t="s">
        <v>459</v>
      </c>
      <c r="C328" s="16" t="s">
        <v>1502</v>
      </c>
      <c r="D328" s="16" t="s">
        <v>1484</v>
      </c>
      <c r="E328" s="50">
        <v>50</v>
      </c>
      <c r="F328" s="50">
        <v>0</v>
      </c>
      <c r="G328" s="16">
        <v>1</v>
      </c>
      <c r="H328" s="16" t="s">
        <v>1023</v>
      </c>
      <c r="I328" s="16" t="s">
        <v>1016</v>
      </c>
      <c r="J328" s="16" t="s">
        <v>2382</v>
      </c>
      <c r="K328" s="16">
        <v>50</v>
      </c>
      <c r="L328" s="16">
        <v>50</v>
      </c>
      <c r="M328" s="64"/>
      <c r="N328" s="64"/>
      <c r="O328" s="49" t="str">
        <f t="shared" si="47"/>
        <v>YES</v>
      </c>
      <c r="P328" s="52"/>
      <c r="Q328" s="53">
        <f t="shared" ref="Q328:Q391" si="48">IF(K328="Pending","Pending",IF(AND(K328&lt;5000,O328="YES"),MIN(ROUNDDOWN(K328*25550/140,1),5000),IF(AND(K328&lt;5000,O328="NO"),K328,IF(K328&gt;=5000,5000))))</f>
        <v>5000</v>
      </c>
      <c r="R328" s="54">
        <f t="shared" ref="R328:R391" si="49">IF(Q328="Pending","Pending",IF(E328=0," ",ROUNDDOWN(Q328*E328/100,1)))</f>
        <v>2500</v>
      </c>
      <c r="S328" s="55" t="str">
        <f t="shared" ref="S328:S391" si="50">IF(Q328="Pending","Pending",IF(F328=0, " ",ROUNDDOWN(Q328*F328/100,1)))</f>
        <v xml:space="preserve"> </v>
      </c>
      <c r="T328" s="56"/>
      <c r="U328" s="57" t="str">
        <f t="shared" ref="U328:U391" si="51">IF(Q328="Pending","Pending",IF(R328= " ", " ", IF(R328&lt;20, "Mitigation", "100µg/100cm²")))</f>
        <v>100µg/100cm²</v>
      </c>
      <c r="V328" s="58">
        <f t="shared" ref="V328:V391" si="52">IF(R328=0, " ", R328)</f>
        <v>2500</v>
      </c>
      <c r="W328" s="58" t="str">
        <f t="shared" ref="W328:W391" si="53">IF(Q328="Pending","Pending",IF(S328= " ", " ", IF(S328&lt;20, "Mitigation", "100µg/100cm²")))</f>
        <v xml:space="preserve"> </v>
      </c>
      <c r="X328" s="59" t="str">
        <f t="shared" ref="X328:X391" si="54">IF(K328="","Pending",IF(AND(Q328=5000,G328&lt;4,SUM(E328,F328)=0),"Water criteria (conductivity)",IF(AND(Q328=5000,G328&gt;3,SUM(E328,F328)=0),"Mitigation",IF(AND(Q328&lt;5000,G328&gt;0,SUM(E328,F328)=0),"Mitigation",""))))</f>
        <v/>
      </c>
      <c r="Y328" s="60"/>
      <c r="Z328" s="64"/>
      <c r="AA328" s="64"/>
      <c r="AB328" s="64"/>
      <c r="AC328" s="64"/>
      <c r="AD328" s="64"/>
      <c r="AE328" s="16" t="s">
        <v>675</v>
      </c>
      <c r="AF328" s="16" t="s">
        <v>675</v>
      </c>
      <c r="AG328" s="16" t="s">
        <v>675</v>
      </c>
      <c r="AH328" s="64"/>
      <c r="AI328" s="64"/>
      <c r="AJ328" s="64"/>
      <c r="AK328" s="64"/>
      <c r="AL328" s="64"/>
      <c r="AM328" s="16" t="s">
        <v>675</v>
      </c>
      <c r="AN328" s="16" t="s">
        <v>675</v>
      </c>
      <c r="AO328" s="16" t="s">
        <v>675</v>
      </c>
      <c r="AP328" s="16" t="s">
        <v>675</v>
      </c>
      <c r="AQ328" s="64"/>
      <c r="AR328" s="64"/>
      <c r="AS328" s="64"/>
      <c r="AT328" s="64"/>
      <c r="AU328" s="82"/>
      <c r="AV328" s="82"/>
      <c r="AW328" s="82"/>
      <c r="AX328" s="16" t="s">
        <v>675</v>
      </c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5"/>
    </row>
    <row r="329" spans="1:72" ht="18" hidden="1" customHeight="1" x14ac:dyDescent="0.3">
      <c r="A329" s="81" t="s">
        <v>265</v>
      </c>
      <c r="B329" s="76" t="s">
        <v>459</v>
      </c>
      <c r="C329" s="16" t="s">
        <v>1502</v>
      </c>
      <c r="D329" s="16" t="s">
        <v>1484</v>
      </c>
      <c r="E329" s="50">
        <v>50</v>
      </c>
      <c r="F329" s="50">
        <v>0</v>
      </c>
      <c r="G329" s="16">
        <v>1</v>
      </c>
      <c r="H329" s="16" t="s">
        <v>1023</v>
      </c>
      <c r="I329" s="16" t="s">
        <v>1016</v>
      </c>
      <c r="J329" s="16" t="s">
        <v>2382</v>
      </c>
      <c r="K329" s="16">
        <v>50</v>
      </c>
      <c r="L329" s="16">
        <v>50</v>
      </c>
      <c r="M329" s="64"/>
      <c r="N329" s="64"/>
      <c r="O329" s="49" t="str">
        <f t="shared" si="47"/>
        <v>YES</v>
      </c>
      <c r="P329" s="52"/>
      <c r="Q329" s="53">
        <f t="shared" si="48"/>
        <v>5000</v>
      </c>
      <c r="R329" s="54">
        <f t="shared" si="49"/>
        <v>2500</v>
      </c>
      <c r="S329" s="55" t="str">
        <f t="shared" si="50"/>
        <v xml:space="preserve"> </v>
      </c>
      <c r="T329" s="56"/>
      <c r="U329" s="57" t="str">
        <f t="shared" si="51"/>
        <v>100µg/100cm²</v>
      </c>
      <c r="V329" s="58">
        <f t="shared" si="52"/>
        <v>2500</v>
      </c>
      <c r="W329" s="58" t="str">
        <f t="shared" si="53"/>
        <v xml:space="preserve"> </v>
      </c>
      <c r="X329" s="59" t="str">
        <f t="shared" si="54"/>
        <v/>
      </c>
      <c r="Y329" s="60"/>
      <c r="Z329" s="64"/>
      <c r="AA329" s="64"/>
      <c r="AB329" s="64"/>
      <c r="AC329" s="64"/>
      <c r="AD329" s="64"/>
      <c r="AE329" s="16" t="s">
        <v>675</v>
      </c>
      <c r="AF329" s="16" t="s">
        <v>675</v>
      </c>
      <c r="AG329" s="16" t="s">
        <v>675</v>
      </c>
      <c r="AH329" s="64"/>
      <c r="AI329" s="64"/>
      <c r="AJ329" s="64"/>
      <c r="AK329" s="64"/>
      <c r="AL329" s="64"/>
      <c r="AM329" s="16" t="s">
        <v>675</v>
      </c>
      <c r="AN329" s="16" t="s">
        <v>675</v>
      </c>
      <c r="AO329" s="16" t="s">
        <v>675</v>
      </c>
      <c r="AP329" s="16" t="s">
        <v>675</v>
      </c>
      <c r="AQ329" s="64"/>
      <c r="AR329" s="64"/>
      <c r="AS329" s="64"/>
      <c r="AT329" s="64"/>
      <c r="AU329" s="82"/>
      <c r="AV329" s="82"/>
      <c r="AW329" s="82"/>
      <c r="AX329" s="16" t="s">
        <v>675</v>
      </c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5"/>
    </row>
    <row r="330" spans="1:72" ht="18" hidden="1" customHeight="1" x14ac:dyDescent="0.3">
      <c r="A330" s="66" t="s">
        <v>617</v>
      </c>
      <c r="B330" s="69" t="s">
        <v>521</v>
      </c>
      <c r="C330" s="67" t="s">
        <v>1309</v>
      </c>
      <c r="D330" s="67" t="s">
        <v>1073</v>
      </c>
      <c r="E330" s="50">
        <v>31.73411046643853</v>
      </c>
      <c r="F330" s="50">
        <v>0</v>
      </c>
      <c r="G330" s="61">
        <v>3</v>
      </c>
      <c r="H330" s="16">
        <v>50</v>
      </c>
      <c r="I330" s="48" t="s">
        <v>1016</v>
      </c>
      <c r="J330" s="16" t="s">
        <v>1310</v>
      </c>
      <c r="K330" s="49">
        <v>12</v>
      </c>
      <c r="L330" s="49">
        <v>108</v>
      </c>
      <c r="M330" s="62" t="s">
        <v>1053</v>
      </c>
      <c r="N330" s="62" t="s">
        <v>2360</v>
      </c>
      <c r="O330" s="63" t="str">
        <f t="shared" si="47"/>
        <v>NO</v>
      </c>
      <c r="P330" s="123"/>
      <c r="Q330" s="53">
        <f t="shared" si="48"/>
        <v>12</v>
      </c>
      <c r="R330" s="54">
        <f t="shared" si="49"/>
        <v>3.8</v>
      </c>
      <c r="S330" s="55" t="str">
        <f t="shared" si="50"/>
        <v xml:space="preserve"> </v>
      </c>
      <c r="T330" s="100"/>
      <c r="U330" s="57" t="str">
        <f t="shared" si="51"/>
        <v>Mitigation</v>
      </c>
      <c r="V330" s="58">
        <f t="shared" si="52"/>
        <v>3.8</v>
      </c>
      <c r="W330" s="58" t="str">
        <f t="shared" si="53"/>
        <v xml:space="preserve"> </v>
      </c>
      <c r="X330" s="59" t="str">
        <f t="shared" si="54"/>
        <v/>
      </c>
      <c r="Y330" s="60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16" t="s">
        <v>675</v>
      </c>
      <c r="AT330" s="64"/>
      <c r="AU330" s="16" t="s">
        <v>675</v>
      </c>
      <c r="AV330" s="64"/>
      <c r="AW330" s="16" t="s">
        <v>675</v>
      </c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16" t="s">
        <v>675</v>
      </c>
      <c r="BL330" s="64"/>
      <c r="BM330" s="64"/>
      <c r="BN330" s="64"/>
      <c r="BO330" s="64"/>
      <c r="BP330" s="64"/>
      <c r="BQ330" s="64"/>
      <c r="BR330" s="64"/>
      <c r="BS330" s="16" t="s">
        <v>675</v>
      </c>
      <c r="BT330" s="65"/>
    </row>
    <row r="331" spans="1:72" ht="18" hidden="1" customHeight="1" x14ac:dyDescent="0.3">
      <c r="A331" s="90" t="s">
        <v>648</v>
      </c>
      <c r="B331" s="48" t="s">
        <v>503</v>
      </c>
      <c r="C331" s="16" t="s">
        <v>2129</v>
      </c>
      <c r="D331" s="70" t="s">
        <v>1073</v>
      </c>
      <c r="E331" s="50">
        <v>37.11</v>
      </c>
      <c r="F331" s="50">
        <v>0</v>
      </c>
      <c r="G331" s="61">
        <v>3</v>
      </c>
      <c r="H331" s="16">
        <v>50</v>
      </c>
      <c r="I331" s="49" t="s">
        <v>1016</v>
      </c>
      <c r="J331" s="16" t="s">
        <v>1075</v>
      </c>
      <c r="K331" s="49">
        <v>12</v>
      </c>
      <c r="L331" s="49">
        <v>108</v>
      </c>
      <c r="M331" s="62" t="s">
        <v>1053</v>
      </c>
      <c r="N331" s="49" t="s">
        <v>2358</v>
      </c>
      <c r="O331" s="63" t="str">
        <f t="shared" si="47"/>
        <v>NO</v>
      </c>
      <c r="P331" s="52"/>
      <c r="Q331" s="53">
        <f t="shared" si="48"/>
        <v>12</v>
      </c>
      <c r="R331" s="54">
        <f t="shared" si="49"/>
        <v>4.4000000000000004</v>
      </c>
      <c r="S331" s="55" t="str">
        <f t="shared" si="50"/>
        <v xml:space="preserve"> </v>
      </c>
      <c r="T331" s="56"/>
      <c r="U331" s="57" t="str">
        <f t="shared" si="51"/>
        <v>Mitigation</v>
      </c>
      <c r="V331" s="58">
        <f t="shared" si="52"/>
        <v>4.4000000000000004</v>
      </c>
      <c r="W331" s="58" t="str">
        <f t="shared" si="53"/>
        <v xml:space="preserve"> </v>
      </c>
      <c r="X331" s="59" t="str">
        <f t="shared" si="54"/>
        <v/>
      </c>
      <c r="Y331" s="60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16" t="s">
        <v>675</v>
      </c>
      <c r="AT331" s="64"/>
      <c r="AU331" s="64"/>
      <c r="AV331" s="64"/>
      <c r="AW331" s="64"/>
      <c r="AX331" s="64"/>
      <c r="AY331" s="64"/>
      <c r="AZ331" s="64"/>
      <c r="BA331" s="16" t="s">
        <v>675</v>
      </c>
      <c r="BB331" s="16" t="s">
        <v>675</v>
      </c>
      <c r="BC331" s="64"/>
      <c r="BD331" s="16" t="s">
        <v>675</v>
      </c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5"/>
    </row>
    <row r="332" spans="1:72" ht="18" hidden="1" customHeight="1" x14ac:dyDescent="0.3">
      <c r="A332" s="80" t="s">
        <v>665</v>
      </c>
      <c r="B332" s="97" t="s">
        <v>666</v>
      </c>
      <c r="C332" s="16" t="s">
        <v>2130</v>
      </c>
      <c r="D332" s="49" t="s">
        <v>1060</v>
      </c>
      <c r="E332" s="50">
        <v>31.99</v>
      </c>
      <c r="F332" s="50">
        <v>0</v>
      </c>
      <c r="G332" s="61">
        <v>4</v>
      </c>
      <c r="H332" s="16">
        <v>20</v>
      </c>
      <c r="I332" s="48" t="s">
        <v>1016</v>
      </c>
      <c r="J332" s="16" t="s">
        <v>2386</v>
      </c>
      <c r="K332" s="49">
        <v>50</v>
      </c>
      <c r="L332" s="49">
        <v>50</v>
      </c>
      <c r="M332" s="64"/>
      <c r="N332" s="64"/>
      <c r="O332" s="49" t="str">
        <f t="shared" si="47"/>
        <v>YES</v>
      </c>
      <c r="P332" s="52"/>
      <c r="Q332" s="53">
        <f t="shared" si="48"/>
        <v>5000</v>
      </c>
      <c r="R332" s="54">
        <f t="shared" si="49"/>
        <v>1599.5</v>
      </c>
      <c r="S332" s="55" t="str">
        <f t="shared" si="50"/>
        <v xml:space="preserve"> </v>
      </c>
      <c r="T332" s="56"/>
      <c r="U332" s="57" t="str">
        <f t="shared" si="51"/>
        <v>100µg/100cm²</v>
      </c>
      <c r="V332" s="58">
        <f t="shared" si="52"/>
        <v>1599.5</v>
      </c>
      <c r="W332" s="58" t="str">
        <f t="shared" si="53"/>
        <v xml:space="preserve"> </v>
      </c>
      <c r="X332" s="59" t="str">
        <f t="shared" si="54"/>
        <v/>
      </c>
      <c r="Y332" s="60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16" t="s">
        <v>675</v>
      </c>
      <c r="BB332" s="16" t="s">
        <v>675</v>
      </c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5"/>
    </row>
    <row r="333" spans="1:72" ht="18" hidden="1" customHeight="1" x14ac:dyDescent="0.3">
      <c r="A333" s="47" t="s">
        <v>294</v>
      </c>
      <c r="B333" s="48" t="s">
        <v>295</v>
      </c>
      <c r="C333" s="16" t="s">
        <v>1502</v>
      </c>
      <c r="D333" s="49" t="s">
        <v>438</v>
      </c>
      <c r="E333" s="50">
        <v>53.04</v>
      </c>
      <c r="F333" s="50">
        <v>0</v>
      </c>
      <c r="G333" s="61">
        <v>5</v>
      </c>
      <c r="H333" s="16">
        <v>10</v>
      </c>
      <c r="I333" s="48" t="s">
        <v>1016</v>
      </c>
      <c r="J333" s="16" t="s">
        <v>1064</v>
      </c>
      <c r="K333" s="49">
        <v>18.149999999999999</v>
      </c>
      <c r="L333" s="49">
        <v>18.149999999999999</v>
      </c>
      <c r="M333" s="62" t="s">
        <v>1065</v>
      </c>
      <c r="N333" s="62" t="s">
        <v>1066</v>
      </c>
      <c r="O333" s="63" t="str">
        <f t="shared" si="47"/>
        <v>NO</v>
      </c>
      <c r="P333" s="52"/>
      <c r="Q333" s="53">
        <f t="shared" si="48"/>
        <v>18.149999999999999</v>
      </c>
      <c r="R333" s="54">
        <f t="shared" si="49"/>
        <v>9.6</v>
      </c>
      <c r="S333" s="55" t="str">
        <f t="shared" si="50"/>
        <v xml:space="preserve"> </v>
      </c>
      <c r="T333" s="56"/>
      <c r="U333" s="57" t="str">
        <f t="shared" si="51"/>
        <v>Mitigation</v>
      </c>
      <c r="V333" s="58">
        <f t="shared" si="52"/>
        <v>9.6</v>
      </c>
      <c r="W333" s="58" t="str">
        <f t="shared" si="53"/>
        <v xml:space="preserve"> </v>
      </c>
      <c r="X333" s="59" t="str">
        <f t="shared" si="54"/>
        <v/>
      </c>
      <c r="Y333" s="60"/>
      <c r="Z333" s="64"/>
      <c r="AA333" s="64"/>
      <c r="AB333" s="64"/>
      <c r="AC333" s="64"/>
      <c r="AD333" s="64"/>
      <c r="AE333" s="64"/>
      <c r="AF333" s="64"/>
      <c r="AG333" s="64"/>
      <c r="AH333" s="64"/>
      <c r="AI333" s="16" t="s">
        <v>675</v>
      </c>
      <c r="AJ333" s="64"/>
      <c r="AK333" s="16" t="s">
        <v>675</v>
      </c>
      <c r="AL333" s="16" t="s">
        <v>675</v>
      </c>
      <c r="AM333" s="16" t="s">
        <v>675</v>
      </c>
      <c r="AN333" s="64"/>
      <c r="AO333" s="64"/>
      <c r="AP333" s="64"/>
      <c r="AQ333" s="64"/>
      <c r="AR333" s="64"/>
      <c r="AS333" s="16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16" t="s">
        <v>675</v>
      </c>
      <c r="BL333" s="64"/>
      <c r="BM333" s="64"/>
      <c r="BN333" s="64"/>
      <c r="BO333" s="64"/>
      <c r="BP333" s="64"/>
      <c r="BQ333" s="64"/>
      <c r="BR333" s="64"/>
      <c r="BS333" s="16" t="s">
        <v>675</v>
      </c>
      <c r="BT333" s="65"/>
    </row>
    <row r="334" spans="1:72" ht="18" hidden="1" customHeight="1" x14ac:dyDescent="0.3">
      <c r="A334" s="47" t="s">
        <v>378</v>
      </c>
      <c r="B334" s="48" t="s">
        <v>379</v>
      </c>
      <c r="C334" s="16" t="s">
        <v>2131</v>
      </c>
      <c r="D334" s="49" t="s">
        <v>1011</v>
      </c>
      <c r="E334" s="50">
        <v>40</v>
      </c>
      <c r="F334" s="50">
        <v>0</v>
      </c>
      <c r="G334" s="61">
        <v>3</v>
      </c>
      <c r="H334" s="16" t="s">
        <v>1263</v>
      </c>
      <c r="I334" s="48" t="s">
        <v>1016</v>
      </c>
      <c r="J334" s="16" t="s">
        <v>2386</v>
      </c>
      <c r="K334" s="49">
        <v>50</v>
      </c>
      <c r="L334" s="49">
        <v>50</v>
      </c>
      <c r="M334" s="64"/>
      <c r="N334" s="64"/>
      <c r="O334" s="63" t="str">
        <f t="shared" si="47"/>
        <v>YES</v>
      </c>
      <c r="P334" s="52"/>
      <c r="Q334" s="53">
        <f t="shared" si="48"/>
        <v>5000</v>
      </c>
      <c r="R334" s="54">
        <f t="shared" si="49"/>
        <v>2000</v>
      </c>
      <c r="S334" s="55" t="str">
        <f t="shared" si="50"/>
        <v xml:space="preserve"> </v>
      </c>
      <c r="T334" s="56"/>
      <c r="U334" s="57" t="str">
        <f t="shared" si="51"/>
        <v>100µg/100cm²</v>
      </c>
      <c r="V334" s="58">
        <f t="shared" si="52"/>
        <v>2000</v>
      </c>
      <c r="W334" s="58" t="str">
        <f t="shared" si="53"/>
        <v xml:space="preserve"> </v>
      </c>
      <c r="X334" s="59" t="str">
        <f t="shared" si="54"/>
        <v/>
      </c>
      <c r="Y334" s="60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16" t="s">
        <v>675</v>
      </c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5"/>
    </row>
    <row r="335" spans="1:72" ht="18" hidden="1" customHeight="1" x14ac:dyDescent="0.3">
      <c r="A335" s="66" t="s">
        <v>780</v>
      </c>
      <c r="B335" s="69" t="s">
        <v>499</v>
      </c>
      <c r="C335" s="16" t="s">
        <v>2132</v>
      </c>
      <c r="D335" s="67" t="s">
        <v>438</v>
      </c>
      <c r="E335" s="50">
        <v>54.2</v>
      </c>
      <c r="F335" s="50">
        <v>0</v>
      </c>
      <c r="G335" s="61">
        <v>5</v>
      </c>
      <c r="H335" s="16">
        <v>1</v>
      </c>
      <c r="I335" s="48" t="s">
        <v>1016</v>
      </c>
      <c r="J335" s="16" t="s">
        <v>2386</v>
      </c>
      <c r="K335" s="49">
        <v>50</v>
      </c>
      <c r="L335" s="49">
        <v>50</v>
      </c>
      <c r="M335" s="64"/>
      <c r="N335" s="64"/>
      <c r="O335" s="63" t="str">
        <f t="shared" si="47"/>
        <v>YES</v>
      </c>
      <c r="P335" s="52"/>
      <c r="Q335" s="53">
        <f t="shared" si="48"/>
        <v>5000</v>
      </c>
      <c r="R335" s="54">
        <f t="shared" si="49"/>
        <v>2710</v>
      </c>
      <c r="S335" s="55" t="str">
        <f t="shared" si="50"/>
        <v xml:space="preserve"> </v>
      </c>
      <c r="T335" s="56"/>
      <c r="U335" s="57" t="str">
        <f t="shared" si="51"/>
        <v>100µg/100cm²</v>
      </c>
      <c r="V335" s="58">
        <f t="shared" si="52"/>
        <v>2710</v>
      </c>
      <c r="W335" s="58" t="str">
        <f t="shared" si="53"/>
        <v xml:space="preserve"> </v>
      </c>
      <c r="X335" s="59" t="str">
        <f t="shared" si="54"/>
        <v/>
      </c>
      <c r="Y335" s="60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16" t="s">
        <v>675</v>
      </c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5"/>
    </row>
    <row r="336" spans="1:72" ht="18" hidden="1" customHeight="1" x14ac:dyDescent="0.3">
      <c r="A336" s="47" t="s">
        <v>206</v>
      </c>
      <c r="B336" s="48" t="s">
        <v>207</v>
      </c>
      <c r="C336" s="16" t="s">
        <v>2133</v>
      </c>
      <c r="D336" s="49" t="s">
        <v>1243</v>
      </c>
      <c r="E336" s="50">
        <v>42.11</v>
      </c>
      <c r="F336" s="50">
        <v>0</v>
      </c>
      <c r="G336" s="61">
        <v>2</v>
      </c>
      <c r="H336" s="16">
        <v>161</v>
      </c>
      <c r="I336" s="48" t="s">
        <v>1016</v>
      </c>
      <c r="J336" s="16" t="s">
        <v>2386</v>
      </c>
      <c r="K336" s="49">
        <v>50</v>
      </c>
      <c r="L336" s="49">
        <v>50</v>
      </c>
      <c r="M336" s="64"/>
      <c r="N336" s="64"/>
      <c r="O336" s="63" t="str">
        <f t="shared" si="47"/>
        <v>YES</v>
      </c>
      <c r="P336" s="52"/>
      <c r="Q336" s="53">
        <f t="shared" si="48"/>
        <v>5000</v>
      </c>
      <c r="R336" s="54">
        <f t="shared" si="49"/>
        <v>2105.5</v>
      </c>
      <c r="S336" s="55" t="str">
        <f t="shared" si="50"/>
        <v xml:space="preserve"> </v>
      </c>
      <c r="T336" s="56"/>
      <c r="U336" s="57" t="str">
        <f t="shared" si="51"/>
        <v>100µg/100cm²</v>
      </c>
      <c r="V336" s="58">
        <f t="shared" si="52"/>
        <v>2105.5</v>
      </c>
      <c r="W336" s="58" t="str">
        <f t="shared" si="53"/>
        <v xml:space="preserve"> </v>
      </c>
      <c r="X336" s="59" t="str">
        <f t="shared" si="54"/>
        <v/>
      </c>
      <c r="Y336" s="60"/>
      <c r="Z336" s="64"/>
      <c r="AA336" s="64"/>
      <c r="AB336" s="64"/>
      <c r="AC336" s="64"/>
      <c r="AD336" s="64"/>
      <c r="AE336" s="16" t="s">
        <v>675</v>
      </c>
      <c r="AF336" s="16" t="s">
        <v>675</v>
      </c>
      <c r="AG336" s="64"/>
      <c r="AH336" s="64"/>
      <c r="AI336" s="64"/>
      <c r="AJ336" s="64"/>
      <c r="AK336" s="16" t="s">
        <v>675</v>
      </c>
      <c r="AL336" s="16" t="s">
        <v>675</v>
      </c>
      <c r="AM336" s="16" t="s">
        <v>675</v>
      </c>
      <c r="AN336" s="64"/>
      <c r="AO336" s="64"/>
      <c r="AP336" s="64"/>
      <c r="AQ336" s="64"/>
      <c r="AR336" s="64"/>
      <c r="AS336" s="64"/>
      <c r="AT336" s="16" t="s">
        <v>675</v>
      </c>
      <c r="AU336" s="64"/>
      <c r="AV336" s="64"/>
      <c r="AW336" s="64"/>
      <c r="AX336" s="16" t="s">
        <v>675</v>
      </c>
      <c r="AY336" s="64"/>
      <c r="AZ336" s="64"/>
      <c r="BA336" s="64"/>
      <c r="BB336" s="64"/>
      <c r="BC336" s="64"/>
      <c r="BD336" s="64"/>
      <c r="BE336" s="64"/>
      <c r="BF336" s="64"/>
      <c r="BG336" s="16" t="s">
        <v>675</v>
      </c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16" t="s">
        <v>675</v>
      </c>
      <c r="BT336" s="65"/>
    </row>
    <row r="337" spans="1:72" ht="18" hidden="1" customHeight="1" x14ac:dyDescent="0.3">
      <c r="A337" s="77" t="s">
        <v>187</v>
      </c>
      <c r="B337" s="78" t="s">
        <v>188</v>
      </c>
      <c r="C337" s="16" t="s">
        <v>2074</v>
      </c>
      <c r="D337" s="49" t="s">
        <v>1060</v>
      </c>
      <c r="E337" s="50">
        <v>40.450000000000003</v>
      </c>
      <c r="F337" s="50">
        <v>0</v>
      </c>
      <c r="G337" s="61">
        <v>2</v>
      </c>
      <c r="H337" s="16">
        <v>166.5</v>
      </c>
      <c r="I337" s="78" t="s">
        <v>1016</v>
      </c>
      <c r="J337" s="16" t="s">
        <v>2386</v>
      </c>
      <c r="K337" s="49">
        <v>50</v>
      </c>
      <c r="L337" s="49">
        <v>50</v>
      </c>
      <c r="M337" s="64"/>
      <c r="N337" s="64"/>
      <c r="O337" s="63" t="str">
        <f t="shared" si="47"/>
        <v>YES</v>
      </c>
      <c r="P337" s="52"/>
      <c r="Q337" s="53">
        <f t="shared" si="48"/>
        <v>5000</v>
      </c>
      <c r="R337" s="54">
        <f t="shared" si="49"/>
        <v>2022.5</v>
      </c>
      <c r="S337" s="55" t="str">
        <f t="shared" si="50"/>
        <v xml:space="preserve"> </v>
      </c>
      <c r="T337" s="56"/>
      <c r="U337" s="57" t="str">
        <f t="shared" si="51"/>
        <v>100µg/100cm²</v>
      </c>
      <c r="V337" s="58">
        <f t="shared" si="52"/>
        <v>2022.5</v>
      </c>
      <c r="W337" s="58" t="str">
        <f t="shared" si="53"/>
        <v xml:space="preserve"> </v>
      </c>
      <c r="X337" s="59" t="str">
        <f t="shared" si="54"/>
        <v/>
      </c>
      <c r="Y337" s="60"/>
      <c r="Z337" s="64"/>
      <c r="AA337" s="64"/>
      <c r="AB337" s="64"/>
      <c r="AC337" s="64"/>
      <c r="AD337" s="64"/>
      <c r="AE337" s="16" t="s">
        <v>675</v>
      </c>
      <c r="AF337" s="16" t="s">
        <v>675</v>
      </c>
      <c r="AG337" s="64"/>
      <c r="AH337" s="64"/>
      <c r="AI337" s="16" t="s">
        <v>675</v>
      </c>
      <c r="AJ337" s="64"/>
      <c r="AK337" s="64"/>
      <c r="AL337" s="64"/>
      <c r="AM337" s="16" t="s">
        <v>675</v>
      </c>
      <c r="AN337" s="16" t="s">
        <v>675</v>
      </c>
      <c r="AO337" s="64"/>
      <c r="AP337" s="16" t="s">
        <v>675</v>
      </c>
      <c r="AQ337" s="16" t="s">
        <v>675</v>
      </c>
      <c r="AR337" s="64"/>
      <c r="AS337" s="16" t="s">
        <v>675</v>
      </c>
      <c r="AT337" s="16" t="s">
        <v>675</v>
      </c>
      <c r="AU337" s="64"/>
      <c r="AV337" s="64"/>
      <c r="AW337" s="64"/>
      <c r="AX337" s="16" t="s">
        <v>675</v>
      </c>
      <c r="AY337" s="64"/>
      <c r="AZ337" s="64"/>
      <c r="BA337" s="64"/>
      <c r="BB337" s="64"/>
      <c r="BC337" s="64"/>
      <c r="BD337" s="64"/>
      <c r="BE337" s="64"/>
      <c r="BF337" s="64"/>
      <c r="BG337" s="16" t="s">
        <v>675</v>
      </c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16" t="s">
        <v>675</v>
      </c>
      <c r="BT337" s="65"/>
    </row>
    <row r="338" spans="1:72" ht="18" hidden="1" customHeight="1" x14ac:dyDescent="0.3">
      <c r="A338" s="47" t="s">
        <v>1610</v>
      </c>
      <c r="B338" s="86" t="s">
        <v>238</v>
      </c>
      <c r="C338" s="16" t="s">
        <v>1611</v>
      </c>
      <c r="D338" s="49" t="s">
        <v>1104</v>
      </c>
      <c r="E338" s="50">
        <v>66.8</v>
      </c>
      <c r="F338" s="50">
        <v>0</v>
      </c>
      <c r="G338" s="16">
        <v>7</v>
      </c>
      <c r="H338" s="16" t="s">
        <v>1612</v>
      </c>
      <c r="I338" s="16" t="s">
        <v>1016</v>
      </c>
      <c r="J338" s="16" t="s">
        <v>1988</v>
      </c>
      <c r="K338" s="16">
        <v>1000</v>
      </c>
      <c r="L338" s="16" t="s">
        <v>1987</v>
      </c>
      <c r="M338" s="64"/>
      <c r="N338" s="64"/>
      <c r="O338" s="63" t="str">
        <f t="shared" si="47"/>
        <v>YES</v>
      </c>
      <c r="P338" s="52"/>
      <c r="Q338" s="53">
        <f t="shared" si="48"/>
        <v>5000</v>
      </c>
      <c r="R338" s="54">
        <f t="shared" si="49"/>
        <v>3340</v>
      </c>
      <c r="S338" s="55" t="str">
        <f t="shared" si="50"/>
        <v xml:space="preserve"> </v>
      </c>
      <c r="T338" s="56"/>
      <c r="U338" s="57" t="str">
        <f t="shared" si="51"/>
        <v>100µg/100cm²</v>
      </c>
      <c r="V338" s="58">
        <f t="shared" si="52"/>
        <v>3340</v>
      </c>
      <c r="W338" s="58" t="str">
        <f t="shared" si="53"/>
        <v xml:space="preserve"> </v>
      </c>
      <c r="X338" s="59" t="str">
        <f t="shared" si="54"/>
        <v/>
      </c>
      <c r="Y338" s="60"/>
      <c r="Z338" s="64"/>
      <c r="AA338" s="64"/>
      <c r="AB338" s="64"/>
      <c r="AC338" s="64"/>
      <c r="AD338" s="64"/>
      <c r="AE338" s="16" t="s">
        <v>675</v>
      </c>
      <c r="AF338" s="16" t="s">
        <v>675</v>
      </c>
      <c r="AG338" s="64"/>
      <c r="AH338" s="64"/>
      <c r="AI338" s="64"/>
      <c r="AJ338" s="64"/>
      <c r="AK338" s="64"/>
      <c r="AL338" s="64"/>
      <c r="AM338" s="16" t="s">
        <v>675</v>
      </c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5"/>
    </row>
    <row r="339" spans="1:72" ht="18" hidden="1" customHeight="1" x14ac:dyDescent="0.3">
      <c r="A339" s="47" t="s">
        <v>24</v>
      </c>
      <c r="B339" s="49" t="s">
        <v>25</v>
      </c>
      <c r="C339" s="16" t="s">
        <v>2134</v>
      </c>
      <c r="D339" s="49" t="s">
        <v>1060</v>
      </c>
      <c r="E339" s="50">
        <v>41.37</v>
      </c>
      <c r="F339" s="50">
        <v>0</v>
      </c>
      <c r="G339" s="61">
        <v>2</v>
      </c>
      <c r="H339" s="16">
        <v>148.69999999999999</v>
      </c>
      <c r="I339" s="48" t="s">
        <v>1016</v>
      </c>
      <c r="J339" s="16" t="s">
        <v>2386</v>
      </c>
      <c r="K339" s="49">
        <v>50</v>
      </c>
      <c r="L339" s="49">
        <v>50</v>
      </c>
      <c r="M339" s="64"/>
      <c r="N339" s="64"/>
      <c r="O339" s="63" t="str">
        <f t="shared" si="47"/>
        <v>YES</v>
      </c>
      <c r="P339" s="52"/>
      <c r="Q339" s="53">
        <f t="shared" si="48"/>
        <v>5000</v>
      </c>
      <c r="R339" s="54">
        <f t="shared" si="49"/>
        <v>2068.5</v>
      </c>
      <c r="S339" s="55" t="str">
        <f t="shared" si="50"/>
        <v xml:space="preserve"> </v>
      </c>
      <c r="T339" s="56"/>
      <c r="U339" s="57" t="str">
        <f t="shared" si="51"/>
        <v>100µg/100cm²</v>
      </c>
      <c r="V339" s="58">
        <f t="shared" si="52"/>
        <v>2068.5</v>
      </c>
      <c r="W339" s="58" t="str">
        <f t="shared" si="53"/>
        <v xml:space="preserve"> </v>
      </c>
      <c r="X339" s="59" t="str">
        <f t="shared" si="54"/>
        <v/>
      </c>
      <c r="Y339" s="60"/>
      <c r="Z339" s="64"/>
      <c r="AA339" s="64"/>
      <c r="AB339" s="16" t="s">
        <v>675</v>
      </c>
      <c r="AC339" s="64"/>
      <c r="AD339" s="64"/>
      <c r="AE339" s="64"/>
      <c r="AF339" s="16" t="s">
        <v>675</v>
      </c>
      <c r="AG339" s="64"/>
      <c r="AH339" s="16" t="s">
        <v>675</v>
      </c>
      <c r="AI339" s="16" t="s">
        <v>675</v>
      </c>
      <c r="AJ339" s="64"/>
      <c r="AK339" s="16" t="s">
        <v>675</v>
      </c>
      <c r="AL339" s="16" t="s">
        <v>675</v>
      </c>
      <c r="AM339" s="16" t="s">
        <v>675</v>
      </c>
      <c r="AN339" s="16" t="s">
        <v>675</v>
      </c>
      <c r="AO339" s="64"/>
      <c r="AP339" s="16" t="s">
        <v>675</v>
      </c>
      <c r="AQ339" s="16" t="s">
        <v>675</v>
      </c>
      <c r="AR339" s="64"/>
      <c r="AS339" s="16" t="s">
        <v>675</v>
      </c>
      <c r="AT339" s="16" t="s">
        <v>675</v>
      </c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16" t="s">
        <v>675</v>
      </c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16" t="s">
        <v>675</v>
      </c>
      <c r="BT339" s="65"/>
    </row>
    <row r="340" spans="1:72" ht="18" hidden="1" customHeight="1" x14ac:dyDescent="0.3">
      <c r="A340" s="77" t="s">
        <v>189</v>
      </c>
      <c r="B340" s="78" t="s">
        <v>166</v>
      </c>
      <c r="C340" s="16" t="s">
        <v>2135</v>
      </c>
      <c r="D340" s="49" t="s">
        <v>1060</v>
      </c>
      <c r="E340" s="50">
        <v>34.21</v>
      </c>
      <c r="F340" s="50">
        <v>0</v>
      </c>
      <c r="G340" s="61">
        <v>2</v>
      </c>
      <c r="H340" s="16" t="s">
        <v>1342</v>
      </c>
      <c r="I340" s="78" t="s">
        <v>1016</v>
      </c>
      <c r="J340" s="16" t="s">
        <v>2386</v>
      </c>
      <c r="K340" s="49">
        <v>50</v>
      </c>
      <c r="L340" s="49">
        <v>50</v>
      </c>
      <c r="M340" s="64"/>
      <c r="N340" s="64"/>
      <c r="O340" s="63" t="str">
        <f t="shared" si="47"/>
        <v>YES</v>
      </c>
      <c r="P340" s="52"/>
      <c r="Q340" s="53">
        <f t="shared" si="48"/>
        <v>5000</v>
      </c>
      <c r="R340" s="54">
        <f t="shared" si="49"/>
        <v>1710.5</v>
      </c>
      <c r="S340" s="55" t="str">
        <f t="shared" si="50"/>
        <v xml:space="preserve"> </v>
      </c>
      <c r="T340" s="56"/>
      <c r="U340" s="57" t="str">
        <f t="shared" si="51"/>
        <v>100µg/100cm²</v>
      </c>
      <c r="V340" s="58">
        <f t="shared" si="52"/>
        <v>1710.5</v>
      </c>
      <c r="W340" s="58" t="str">
        <f t="shared" si="53"/>
        <v xml:space="preserve"> </v>
      </c>
      <c r="X340" s="59" t="str">
        <f t="shared" si="54"/>
        <v/>
      </c>
      <c r="Y340" s="60"/>
      <c r="Z340" s="64"/>
      <c r="AA340" s="64"/>
      <c r="AB340" s="64"/>
      <c r="AC340" s="64"/>
      <c r="AD340" s="16" t="s">
        <v>675</v>
      </c>
      <c r="AE340" s="16" t="s">
        <v>675</v>
      </c>
      <c r="AF340" s="16" t="s">
        <v>675</v>
      </c>
      <c r="AG340" s="64"/>
      <c r="AH340" s="64"/>
      <c r="AI340" s="64"/>
      <c r="AJ340" s="64"/>
      <c r="AK340" s="64"/>
      <c r="AL340" s="64"/>
      <c r="AM340" s="16" t="s">
        <v>675</v>
      </c>
      <c r="AN340" s="16" t="s">
        <v>675</v>
      </c>
      <c r="AO340" s="64"/>
      <c r="AP340" s="16" t="s">
        <v>675</v>
      </c>
      <c r="AQ340" s="64"/>
      <c r="AR340" s="64"/>
      <c r="AS340" s="16" t="s">
        <v>675</v>
      </c>
      <c r="AT340" s="16" t="s">
        <v>675</v>
      </c>
      <c r="AU340" s="16" t="s">
        <v>675</v>
      </c>
      <c r="AV340" s="64"/>
      <c r="AW340" s="16" t="s">
        <v>675</v>
      </c>
      <c r="AX340" s="16" t="s">
        <v>675</v>
      </c>
      <c r="AY340" s="64"/>
      <c r="AZ340" s="64"/>
      <c r="BA340" s="64"/>
      <c r="BB340" s="64"/>
      <c r="BC340" s="64"/>
      <c r="BD340" s="64"/>
      <c r="BE340" s="16" t="s">
        <v>675</v>
      </c>
      <c r="BF340" s="64"/>
      <c r="BG340" s="16" t="s">
        <v>675</v>
      </c>
      <c r="BH340" s="64"/>
      <c r="BI340" s="64"/>
      <c r="BJ340" s="64"/>
      <c r="BK340" s="16" t="s">
        <v>675</v>
      </c>
      <c r="BL340" s="64"/>
      <c r="BM340" s="64"/>
      <c r="BN340" s="64"/>
      <c r="BO340" s="64"/>
      <c r="BP340" s="64"/>
      <c r="BQ340" s="64"/>
      <c r="BR340" s="64"/>
      <c r="BS340" s="16" t="s">
        <v>675</v>
      </c>
      <c r="BT340" s="65"/>
    </row>
    <row r="341" spans="1:72" ht="18" hidden="1" customHeight="1" x14ac:dyDescent="0.3">
      <c r="A341" s="47" t="s">
        <v>152</v>
      </c>
      <c r="B341" s="97" t="s">
        <v>153</v>
      </c>
      <c r="C341" s="16" t="s">
        <v>2136</v>
      </c>
      <c r="D341" s="49" t="s">
        <v>1060</v>
      </c>
      <c r="E341" s="50">
        <v>36.36</v>
      </c>
      <c r="F341" s="50">
        <v>0</v>
      </c>
      <c r="G341" s="61">
        <v>4</v>
      </c>
      <c r="H341" s="16">
        <v>20</v>
      </c>
      <c r="I341" s="48" t="s">
        <v>1016</v>
      </c>
      <c r="J341" s="16" t="s">
        <v>2386</v>
      </c>
      <c r="K341" s="49">
        <v>50</v>
      </c>
      <c r="L341" s="49">
        <v>50</v>
      </c>
      <c r="M341" s="64"/>
      <c r="N341" s="64"/>
      <c r="O341" s="63" t="str">
        <f t="shared" si="47"/>
        <v>YES</v>
      </c>
      <c r="P341" s="52"/>
      <c r="Q341" s="53">
        <f t="shared" si="48"/>
        <v>5000</v>
      </c>
      <c r="R341" s="54">
        <f t="shared" si="49"/>
        <v>1818</v>
      </c>
      <c r="S341" s="55" t="str">
        <f t="shared" si="50"/>
        <v xml:space="preserve"> </v>
      </c>
      <c r="T341" s="56"/>
      <c r="U341" s="57" t="str">
        <f t="shared" si="51"/>
        <v>100µg/100cm²</v>
      </c>
      <c r="V341" s="58">
        <f t="shared" si="52"/>
        <v>1818</v>
      </c>
      <c r="W341" s="58" t="str">
        <f t="shared" si="53"/>
        <v xml:space="preserve"> </v>
      </c>
      <c r="X341" s="59" t="str">
        <f t="shared" si="54"/>
        <v/>
      </c>
      <c r="Y341" s="60"/>
      <c r="Z341" s="64"/>
      <c r="AA341" s="64"/>
      <c r="AB341" s="64"/>
      <c r="AC341" s="64"/>
      <c r="AD341" s="16" t="s">
        <v>675</v>
      </c>
      <c r="AE341" s="64"/>
      <c r="AF341" s="64"/>
      <c r="AG341" s="64"/>
      <c r="AH341" s="64"/>
      <c r="AI341" s="64"/>
      <c r="AJ341" s="64"/>
      <c r="AK341" s="64"/>
      <c r="AL341" s="64"/>
      <c r="AM341" s="16" t="s">
        <v>675</v>
      </c>
      <c r="AN341" s="64"/>
      <c r="AO341" s="64"/>
      <c r="AP341" s="64"/>
      <c r="AQ341" s="64"/>
      <c r="AR341" s="64"/>
      <c r="AS341" s="16" t="s">
        <v>675</v>
      </c>
      <c r="AT341" s="64"/>
      <c r="AU341" s="64"/>
      <c r="AV341" s="64"/>
      <c r="AW341" s="64"/>
      <c r="AX341" s="64"/>
      <c r="AY341" s="64"/>
      <c r="AZ341" s="64"/>
      <c r="BA341" s="16" t="s">
        <v>675</v>
      </c>
      <c r="BB341" s="16" t="s">
        <v>675</v>
      </c>
      <c r="BC341" s="64"/>
      <c r="BD341" s="64"/>
      <c r="BE341" s="64"/>
      <c r="BF341" s="64"/>
      <c r="BG341" s="64"/>
      <c r="BH341" s="64"/>
      <c r="BI341" s="64"/>
      <c r="BJ341" s="64"/>
      <c r="BK341" s="16" t="s">
        <v>675</v>
      </c>
      <c r="BL341" s="64"/>
      <c r="BM341" s="64"/>
      <c r="BN341" s="64"/>
      <c r="BO341" s="64"/>
      <c r="BP341" s="64"/>
      <c r="BQ341" s="64"/>
      <c r="BR341" s="64"/>
      <c r="BS341" s="16" t="s">
        <v>675</v>
      </c>
      <c r="BT341" s="65"/>
    </row>
    <row r="342" spans="1:72" ht="18" hidden="1" customHeight="1" x14ac:dyDescent="0.3">
      <c r="A342" s="77" t="s">
        <v>190</v>
      </c>
      <c r="B342" s="78" t="s">
        <v>191</v>
      </c>
      <c r="C342" s="16" t="s">
        <v>2137</v>
      </c>
      <c r="D342" s="49" t="s">
        <v>1060</v>
      </c>
      <c r="E342" s="50">
        <v>36.090000000000003</v>
      </c>
      <c r="F342" s="50">
        <v>0</v>
      </c>
      <c r="G342" s="61">
        <v>5</v>
      </c>
      <c r="H342" s="16">
        <v>4.5</v>
      </c>
      <c r="I342" s="78" t="s">
        <v>1016</v>
      </c>
      <c r="J342" s="16" t="s">
        <v>2386</v>
      </c>
      <c r="K342" s="49">
        <v>50</v>
      </c>
      <c r="L342" s="49">
        <v>50</v>
      </c>
      <c r="M342" s="64"/>
      <c r="N342" s="64"/>
      <c r="O342" s="63" t="str">
        <f t="shared" si="47"/>
        <v>YES</v>
      </c>
      <c r="P342" s="52"/>
      <c r="Q342" s="53">
        <f t="shared" si="48"/>
        <v>5000</v>
      </c>
      <c r="R342" s="54">
        <f t="shared" si="49"/>
        <v>1804.5</v>
      </c>
      <c r="S342" s="55" t="str">
        <f t="shared" si="50"/>
        <v xml:space="preserve"> </v>
      </c>
      <c r="T342" s="56"/>
      <c r="U342" s="57" t="str">
        <f t="shared" si="51"/>
        <v>100µg/100cm²</v>
      </c>
      <c r="V342" s="58">
        <f t="shared" si="52"/>
        <v>1804.5</v>
      </c>
      <c r="W342" s="58" t="str">
        <f t="shared" si="53"/>
        <v xml:space="preserve"> </v>
      </c>
      <c r="X342" s="59" t="str">
        <f t="shared" si="54"/>
        <v/>
      </c>
      <c r="Y342" s="60"/>
      <c r="Z342" s="64"/>
      <c r="AA342" s="64"/>
      <c r="AB342" s="64"/>
      <c r="AC342" s="64"/>
      <c r="AD342" s="16" t="s">
        <v>675</v>
      </c>
      <c r="AE342" s="16" t="s">
        <v>675</v>
      </c>
      <c r="AF342" s="16" t="s">
        <v>675</v>
      </c>
      <c r="AG342" s="64"/>
      <c r="AH342" s="64"/>
      <c r="AI342" s="16" t="s">
        <v>675</v>
      </c>
      <c r="AJ342" s="64"/>
      <c r="AK342" s="64"/>
      <c r="AL342" s="64"/>
      <c r="AM342" s="16" t="s">
        <v>675</v>
      </c>
      <c r="AN342" s="16" t="s">
        <v>675</v>
      </c>
      <c r="AO342" s="64"/>
      <c r="AP342" s="16" t="s">
        <v>675</v>
      </c>
      <c r="AQ342" s="16" t="s">
        <v>675</v>
      </c>
      <c r="AR342" s="64"/>
      <c r="AS342" s="16" t="s">
        <v>675</v>
      </c>
      <c r="AT342" s="16" t="s">
        <v>675</v>
      </c>
      <c r="AU342" s="64"/>
      <c r="AV342" s="64"/>
      <c r="AW342" s="64"/>
      <c r="AX342" s="16" t="s">
        <v>675</v>
      </c>
      <c r="AY342" s="64"/>
      <c r="AZ342" s="64"/>
      <c r="BA342" s="64"/>
      <c r="BB342" s="64"/>
      <c r="BC342" s="64"/>
      <c r="BD342" s="64"/>
      <c r="BE342" s="64"/>
      <c r="BF342" s="64"/>
      <c r="BG342" s="16" t="s">
        <v>675</v>
      </c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16" t="s">
        <v>675</v>
      </c>
      <c r="BT342" s="65"/>
    </row>
    <row r="343" spans="1:72" ht="18" hidden="1" customHeight="1" x14ac:dyDescent="0.3">
      <c r="A343" s="80" t="s">
        <v>1989</v>
      </c>
      <c r="B343" s="48" t="s">
        <v>763</v>
      </c>
      <c r="C343" s="49" t="s">
        <v>2138</v>
      </c>
      <c r="D343" s="16" t="s">
        <v>1417</v>
      </c>
      <c r="E343" s="50">
        <v>78.5</v>
      </c>
      <c r="F343" s="50">
        <v>0</v>
      </c>
      <c r="G343" s="16">
        <v>4</v>
      </c>
      <c r="H343" s="68" t="s">
        <v>1411</v>
      </c>
      <c r="I343" s="70" t="s">
        <v>1474</v>
      </c>
      <c r="J343" s="16" t="s">
        <v>2386</v>
      </c>
      <c r="K343" s="49">
        <v>50</v>
      </c>
      <c r="L343" s="49">
        <v>50</v>
      </c>
      <c r="M343" s="64"/>
      <c r="N343" s="64"/>
      <c r="O343" s="63" t="str">
        <f t="shared" si="47"/>
        <v>YES</v>
      </c>
      <c r="P343" s="52"/>
      <c r="Q343" s="53">
        <f t="shared" si="48"/>
        <v>5000</v>
      </c>
      <c r="R343" s="54">
        <f t="shared" si="49"/>
        <v>3925</v>
      </c>
      <c r="S343" s="55" t="str">
        <f t="shared" si="50"/>
        <v xml:space="preserve"> </v>
      </c>
      <c r="T343" s="56"/>
      <c r="U343" s="57" t="str">
        <f t="shared" si="51"/>
        <v>100µg/100cm²</v>
      </c>
      <c r="V343" s="58">
        <f t="shared" si="52"/>
        <v>3925</v>
      </c>
      <c r="W343" s="58" t="str">
        <f t="shared" si="53"/>
        <v xml:space="preserve"> </v>
      </c>
      <c r="X343" s="59" t="str">
        <f t="shared" si="54"/>
        <v/>
      </c>
      <c r="Y343" s="60"/>
      <c r="Z343" s="16" t="s">
        <v>675</v>
      </c>
      <c r="AA343" s="16" t="s">
        <v>675</v>
      </c>
      <c r="AB343" s="16" t="s">
        <v>675</v>
      </c>
      <c r="AC343" s="64"/>
      <c r="AD343" s="64"/>
      <c r="AE343" s="16" t="s">
        <v>675</v>
      </c>
      <c r="AF343" s="16" t="s">
        <v>675</v>
      </c>
      <c r="AG343" s="16" t="s">
        <v>675</v>
      </c>
      <c r="AH343" s="64"/>
      <c r="AI343" s="16" t="s">
        <v>675</v>
      </c>
      <c r="AJ343" s="16" t="s">
        <v>675</v>
      </c>
      <c r="AK343" s="16" t="s">
        <v>675</v>
      </c>
      <c r="AL343" s="16" t="s">
        <v>675</v>
      </c>
      <c r="AM343" s="16" t="s">
        <v>675</v>
      </c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5"/>
    </row>
    <row r="344" spans="1:72" ht="18" hidden="1" customHeight="1" x14ac:dyDescent="0.3">
      <c r="A344" s="47" t="s">
        <v>744</v>
      </c>
      <c r="B344" s="49" t="s">
        <v>506</v>
      </c>
      <c r="C344" s="16" t="s">
        <v>2139</v>
      </c>
      <c r="D344" s="49" t="s">
        <v>1060</v>
      </c>
      <c r="E344" s="50">
        <v>29.74</v>
      </c>
      <c r="F344" s="50">
        <v>0</v>
      </c>
      <c r="G344" s="61">
        <v>2</v>
      </c>
      <c r="H344" s="16">
        <v>280</v>
      </c>
      <c r="I344" s="49" t="s">
        <v>1016</v>
      </c>
      <c r="J344" s="16" t="s">
        <v>2386</v>
      </c>
      <c r="K344" s="49">
        <v>50</v>
      </c>
      <c r="L344" s="49">
        <v>50</v>
      </c>
      <c r="M344" s="64"/>
      <c r="N344" s="64"/>
      <c r="O344" s="63" t="str">
        <f t="shared" si="47"/>
        <v>YES</v>
      </c>
      <c r="P344" s="52"/>
      <c r="Q344" s="53">
        <f t="shared" si="48"/>
        <v>5000</v>
      </c>
      <c r="R344" s="54">
        <f t="shared" si="49"/>
        <v>1487</v>
      </c>
      <c r="S344" s="55" t="str">
        <f t="shared" si="50"/>
        <v xml:space="preserve"> </v>
      </c>
      <c r="T344" s="56"/>
      <c r="U344" s="57" t="str">
        <f t="shared" si="51"/>
        <v>100µg/100cm²</v>
      </c>
      <c r="V344" s="58">
        <f t="shared" si="52"/>
        <v>1487</v>
      </c>
      <c r="W344" s="58" t="str">
        <f t="shared" si="53"/>
        <v xml:space="preserve"> </v>
      </c>
      <c r="X344" s="59" t="str">
        <f t="shared" si="54"/>
        <v/>
      </c>
      <c r="Y344" s="60"/>
      <c r="Z344" s="16" t="s">
        <v>675</v>
      </c>
      <c r="AA344" s="16" t="s">
        <v>675</v>
      </c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16" t="s">
        <v>675</v>
      </c>
      <c r="AN344" s="64"/>
      <c r="AO344" s="64"/>
      <c r="AP344" s="64"/>
      <c r="AQ344" s="64"/>
      <c r="AR344" s="64"/>
      <c r="AS344" s="16" t="s">
        <v>675</v>
      </c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16" t="s">
        <v>675</v>
      </c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16" t="s">
        <v>675</v>
      </c>
      <c r="BT344" s="65"/>
    </row>
    <row r="345" spans="1:72" ht="18" hidden="1" customHeight="1" x14ac:dyDescent="0.3">
      <c r="A345" s="91" t="s">
        <v>192</v>
      </c>
      <c r="B345" s="92" t="s">
        <v>19</v>
      </c>
      <c r="C345" s="16" t="s">
        <v>2140</v>
      </c>
      <c r="D345" s="49" t="s">
        <v>1060</v>
      </c>
      <c r="E345" s="50">
        <v>22.86</v>
      </c>
      <c r="F345" s="50">
        <v>0</v>
      </c>
      <c r="G345" s="61">
        <v>2</v>
      </c>
      <c r="H345" s="16">
        <v>157.62</v>
      </c>
      <c r="I345" s="49" t="s">
        <v>1016</v>
      </c>
      <c r="J345" s="16" t="s">
        <v>2386</v>
      </c>
      <c r="K345" s="49">
        <v>50</v>
      </c>
      <c r="L345" s="49">
        <v>50</v>
      </c>
      <c r="M345" s="64"/>
      <c r="N345" s="64"/>
      <c r="O345" s="63" t="str">
        <f t="shared" si="47"/>
        <v>YES</v>
      </c>
      <c r="P345" s="52"/>
      <c r="Q345" s="53">
        <f t="shared" si="48"/>
        <v>5000</v>
      </c>
      <c r="R345" s="54">
        <f t="shared" si="49"/>
        <v>1143</v>
      </c>
      <c r="S345" s="55" t="str">
        <f t="shared" si="50"/>
        <v xml:space="preserve"> </v>
      </c>
      <c r="T345" s="56"/>
      <c r="U345" s="57" t="str">
        <f t="shared" si="51"/>
        <v>100µg/100cm²</v>
      </c>
      <c r="V345" s="58">
        <f t="shared" si="52"/>
        <v>1143</v>
      </c>
      <c r="W345" s="58" t="str">
        <f t="shared" si="53"/>
        <v xml:space="preserve"> </v>
      </c>
      <c r="X345" s="59" t="str">
        <f t="shared" si="54"/>
        <v/>
      </c>
      <c r="Y345" s="60"/>
      <c r="Z345" s="64"/>
      <c r="AA345" s="64"/>
      <c r="AB345" s="16" t="s">
        <v>675</v>
      </c>
      <c r="AC345" s="64"/>
      <c r="AD345" s="64"/>
      <c r="AE345" s="16" t="s">
        <v>675</v>
      </c>
      <c r="AF345" s="16" t="s">
        <v>675</v>
      </c>
      <c r="AG345" s="64"/>
      <c r="AH345" s="64"/>
      <c r="AI345" s="16" t="s">
        <v>675</v>
      </c>
      <c r="AJ345" s="16" t="s">
        <v>675</v>
      </c>
      <c r="AK345" s="16" t="s">
        <v>675</v>
      </c>
      <c r="AL345" s="16" t="s">
        <v>675</v>
      </c>
      <c r="AM345" s="16" t="s">
        <v>675</v>
      </c>
      <c r="AN345" s="16" t="s">
        <v>675</v>
      </c>
      <c r="AO345" s="64"/>
      <c r="AP345" s="16" t="s">
        <v>675</v>
      </c>
      <c r="AQ345" s="64"/>
      <c r="AR345" s="64"/>
      <c r="AS345" s="16" t="s">
        <v>675</v>
      </c>
      <c r="AT345" s="16" t="s">
        <v>675</v>
      </c>
      <c r="AU345" s="16" t="s">
        <v>675</v>
      </c>
      <c r="AV345" s="64"/>
      <c r="AW345" s="16" t="s">
        <v>675</v>
      </c>
      <c r="AX345" s="64"/>
      <c r="AY345" s="64"/>
      <c r="AZ345" s="64"/>
      <c r="BA345" s="64"/>
      <c r="BB345" s="64"/>
      <c r="BC345" s="64"/>
      <c r="BD345" s="64"/>
      <c r="BE345" s="64"/>
      <c r="BF345" s="64"/>
      <c r="BG345" s="16" t="s">
        <v>675</v>
      </c>
      <c r="BH345" s="64"/>
      <c r="BI345" s="64"/>
      <c r="BJ345" s="64"/>
      <c r="BK345" s="16" t="s">
        <v>675</v>
      </c>
      <c r="BL345" s="64"/>
      <c r="BM345" s="64"/>
      <c r="BN345" s="64"/>
      <c r="BO345" s="64"/>
      <c r="BP345" s="64"/>
      <c r="BQ345" s="64"/>
      <c r="BR345" s="64"/>
      <c r="BS345" s="16" t="s">
        <v>675</v>
      </c>
      <c r="BT345" s="65"/>
    </row>
    <row r="346" spans="1:72" ht="18" hidden="1" customHeight="1" x14ac:dyDescent="0.3">
      <c r="A346" s="47" t="s">
        <v>601</v>
      </c>
      <c r="B346" s="48" t="s">
        <v>536</v>
      </c>
      <c r="C346" s="16" t="s">
        <v>2141</v>
      </c>
      <c r="D346" s="49" t="s">
        <v>1060</v>
      </c>
      <c r="E346" s="50">
        <v>20.51</v>
      </c>
      <c r="F346" s="50">
        <v>0</v>
      </c>
      <c r="G346" s="61">
        <v>2</v>
      </c>
      <c r="H346" s="16" t="s">
        <v>1126</v>
      </c>
      <c r="I346" s="49" t="s">
        <v>1016</v>
      </c>
      <c r="J346" s="16" t="s">
        <v>2386</v>
      </c>
      <c r="K346" s="49">
        <v>50</v>
      </c>
      <c r="L346" s="49">
        <v>50</v>
      </c>
      <c r="M346" s="64"/>
      <c r="N346" s="64"/>
      <c r="O346" s="63" t="str">
        <f t="shared" si="47"/>
        <v>YES</v>
      </c>
      <c r="P346" s="52"/>
      <c r="Q346" s="53">
        <f t="shared" si="48"/>
        <v>5000</v>
      </c>
      <c r="R346" s="54">
        <f t="shared" si="49"/>
        <v>1025.5</v>
      </c>
      <c r="S346" s="55" t="str">
        <f t="shared" si="50"/>
        <v xml:space="preserve"> </v>
      </c>
      <c r="T346" s="56"/>
      <c r="U346" s="57" t="str">
        <f t="shared" si="51"/>
        <v>100µg/100cm²</v>
      </c>
      <c r="V346" s="58">
        <f t="shared" si="52"/>
        <v>1025.5</v>
      </c>
      <c r="W346" s="58" t="str">
        <f t="shared" si="53"/>
        <v xml:space="preserve"> </v>
      </c>
      <c r="X346" s="59" t="str">
        <f t="shared" si="54"/>
        <v/>
      </c>
      <c r="Y346" s="60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16" t="s">
        <v>675</v>
      </c>
      <c r="AT346" s="64"/>
      <c r="AU346" s="16" t="s">
        <v>675</v>
      </c>
      <c r="AV346" s="64"/>
      <c r="AW346" s="16" t="s">
        <v>675</v>
      </c>
      <c r="AX346" s="16" t="s">
        <v>675</v>
      </c>
      <c r="AY346" s="64"/>
      <c r="AZ346" s="64"/>
      <c r="BA346" s="64"/>
      <c r="BB346" s="64"/>
      <c r="BC346" s="64"/>
      <c r="BD346" s="64"/>
      <c r="BE346" s="16" t="s">
        <v>675</v>
      </c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16" t="s">
        <v>675</v>
      </c>
      <c r="BT346" s="124"/>
    </row>
    <row r="347" spans="1:72" ht="18" hidden="1" customHeight="1" x14ac:dyDescent="0.3">
      <c r="A347" s="47" t="s">
        <v>22</v>
      </c>
      <c r="B347" s="48" t="s">
        <v>23</v>
      </c>
      <c r="C347" s="16" t="s">
        <v>2142</v>
      </c>
      <c r="D347" s="49" t="s">
        <v>1060</v>
      </c>
      <c r="E347" s="50">
        <v>29.99</v>
      </c>
      <c r="F347" s="50">
        <v>0</v>
      </c>
      <c r="G347" s="61">
        <v>6</v>
      </c>
      <c r="H347" s="16">
        <v>0.112</v>
      </c>
      <c r="I347" s="48" t="s">
        <v>1016</v>
      </c>
      <c r="J347" s="16" t="s">
        <v>2386</v>
      </c>
      <c r="K347" s="49">
        <v>50</v>
      </c>
      <c r="L347" s="49">
        <v>50</v>
      </c>
      <c r="M347" s="64"/>
      <c r="N347" s="64"/>
      <c r="O347" s="63" t="str">
        <f t="shared" si="47"/>
        <v>YES</v>
      </c>
      <c r="P347" s="52"/>
      <c r="Q347" s="53">
        <f t="shared" si="48"/>
        <v>5000</v>
      </c>
      <c r="R347" s="54">
        <f t="shared" si="49"/>
        <v>1499.5</v>
      </c>
      <c r="S347" s="55" t="str">
        <f t="shared" si="50"/>
        <v xml:space="preserve"> </v>
      </c>
      <c r="T347" s="56"/>
      <c r="U347" s="57" t="str">
        <f t="shared" si="51"/>
        <v>100µg/100cm²</v>
      </c>
      <c r="V347" s="58">
        <f t="shared" si="52"/>
        <v>1499.5</v>
      </c>
      <c r="W347" s="58" t="str">
        <f t="shared" si="53"/>
        <v xml:space="preserve"> </v>
      </c>
      <c r="X347" s="59" t="str">
        <f t="shared" si="54"/>
        <v/>
      </c>
      <c r="Y347" s="60"/>
      <c r="Z347" s="64"/>
      <c r="AA347" s="64"/>
      <c r="AB347" s="16" t="s">
        <v>675</v>
      </c>
      <c r="AC347" s="64"/>
      <c r="AD347" s="16" t="s">
        <v>675</v>
      </c>
      <c r="AE347" s="64"/>
      <c r="AF347" s="16" t="s">
        <v>675</v>
      </c>
      <c r="AG347" s="64"/>
      <c r="AH347" s="16" t="s">
        <v>675</v>
      </c>
      <c r="AI347" s="16" t="s">
        <v>675</v>
      </c>
      <c r="AJ347" s="64"/>
      <c r="AK347" s="16" t="s">
        <v>675</v>
      </c>
      <c r="AL347" s="16" t="s">
        <v>675</v>
      </c>
      <c r="AM347" s="16" t="s">
        <v>675</v>
      </c>
      <c r="AN347" s="64"/>
      <c r="AO347" s="64"/>
      <c r="AP347" s="64"/>
      <c r="AQ347" s="16" t="s">
        <v>675</v>
      </c>
      <c r="AR347" s="64"/>
      <c r="AS347" s="16" t="s">
        <v>675</v>
      </c>
      <c r="AT347" s="16" t="s">
        <v>675</v>
      </c>
      <c r="AU347" s="16" t="s">
        <v>675</v>
      </c>
      <c r="AV347" s="64"/>
      <c r="AW347" s="16" t="s">
        <v>675</v>
      </c>
      <c r="AX347" s="64"/>
      <c r="AY347" s="64"/>
      <c r="AZ347" s="64"/>
      <c r="BA347" s="16" t="s">
        <v>675</v>
      </c>
      <c r="BB347" s="16" t="s">
        <v>675</v>
      </c>
      <c r="BC347" s="64"/>
      <c r="BD347" s="64"/>
      <c r="BE347" s="16" t="s">
        <v>675</v>
      </c>
      <c r="BF347" s="64"/>
      <c r="BG347" s="16" t="s">
        <v>675</v>
      </c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16" t="s">
        <v>675</v>
      </c>
      <c r="BT347" s="65"/>
    </row>
    <row r="348" spans="1:72" ht="18" hidden="1" customHeight="1" x14ac:dyDescent="0.3">
      <c r="A348" s="47" t="s">
        <v>193</v>
      </c>
      <c r="B348" s="48" t="s">
        <v>194</v>
      </c>
      <c r="C348" s="49" t="s">
        <v>1343</v>
      </c>
      <c r="D348" s="49" t="s">
        <v>1060</v>
      </c>
      <c r="E348" s="50">
        <v>23</v>
      </c>
      <c r="F348" s="50">
        <v>0</v>
      </c>
      <c r="G348" s="61">
        <v>6</v>
      </c>
      <c r="H348" s="16">
        <v>0.112</v>
      </c>
      <c r="I348" s="49" t="s">
        <v>1016</v>
      </c>
      <c r="J348" s="16" t="s">
        <v>2386</v>
      </c>
      <c r="K348" s="49">
        <v>50</v>
      </c>
      <c r="L348" s="49">
        <v>50</v>
      </c>
      <c r="M348" s="64"/>
      <c r="N348" s="64"/>
      <c r="O348" s="63" t="str">
        <f t="shared" si="47"/>
        <v>YES</v>
      </c>
      <c r="P348" s="52"/>
      <c r="Q348" s="53">
        <f t="shared" si="48"/>
        <v>5000</v>
      </c>
      <c r="R348" s="54">
        <f t="shared" si="49"/>
        <v>1150</v>
      </c>
      <c r="S348" s="55" t="str">
        <f t="shared" si="50"/>
        <v xml:space="preserve"> </v>
      </c>
      <c r="T348" s="56"/>
      <c r="U348" s="57" t="str">
        <f t="shared" si="51"/>
        <v>100µg/100cm²</v>
      </c>
      <c r="V348" s="58">
        <f t="shared" si="52"/>
        <v>1150</v>
      </c>
      <c r="W348" s="58" t="str">
        <f t="shared" si="53"/>
        <v xml:space="preserve"> </v>
      </c>
      <c r="X348" s="59" t="str">
        <f t="shared" si="54"/>
        <v/>
      </c>
      <c r="Y348" s="60"/>
      <c r="Z348" s="64"/>
      <c r="AA348" s="64"/>
      <c r="AB348" s="64"/>
      <c r="AC348" s="64"/>
      <c r="AD348" s="64"/>
      <c r="AE348" s="16" t="s">
        <v>675</v>
      </c>
      <c r="AF348" s="16" t="s">
        <v>675</v>
      </c>
      <c r="AG348" s="64"/>
      <c r="AH348" s="64"/>
      <c r="AI348" s="64"/>
      <c r="AJ348" s="64"/>
      <c r="AK348" s="64"/>
      <c r="AL348" s="64"/>
      <c r="AM348" s="16" t="s">
        <v>675</v>
      </c>
      <c r="AN348" s="64"/>
      <c r="AO348" s="64"/>
      <c r="AP348" s="64"/>
      <c r="AQ348" s="64"/>
      <c r="AR348" s="64"/>
      <c r="AS348" s="16" t="s">
        <v>675</v>
      </c>
      <c r="AT348" s="16" t="s">
        <v>675</v>
      </c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16" t="s">
        <v>675</v>
      </c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16" t="s">
        <v>675</v>
      </c>
      <c r="BT348" s="65"/>
    </row>
    <row r="349" spans="1:72" ht="18" hidden="1" customHeight="1" x14ac:dyDescent="0.3">
      <c r="A349" s="47" t="s">
        <v>266</v>
      </c>
      <c r="B349" s="48" t="s">
        <v>267</v>
      </c>
      <c r="C349" s="49" t="s">
        <v>1341</v>
      </c>
      <c r="D349" s="49" t="s">
        <v>1060</v>
      </c>
      <c r="E349" s="50">
        <v>25.4</v>
      </c>
      <c r="F349" s="50">
        <v>0</v>
      </c>
      <c r="G349" s="61">
        <v>3</v>
      </c>
      <c r="H349" s="16">
        <v>100</v>
      </c>
      <c r="I349" s="48" t="s">
        <v>1016</v>
      </c>
      <c r="J349" s="16" t="s">
        <v>2386</v>
      </c>
      <c r="K349" s="49">
        <v>50</v>
      </c>
      <c r="L349" s="49">
        <v>50</v>
      </c>
      <c r="M349" s="64"/>
      <c r="N349" s="64"/>
      <c r="O349" s="63" t="str">
        <f t="shared" si="47"/>
        <v>YES</v>
      </c>
      <c r="P349" s="52"/>
      <c r="Q349" s="53">
        <f t="shared" si="48"/>
        <v>5000</v>
      </c>
      <c r="R349" s="54">
        <f t="shared" si="49"/>
        <v>1270</v>
      </c>
      <c r="S349" s="55" t="str">
        <f t="shared" si="50"/>
        <v xml:space="preserve"> </v>
      </c>
      <c r="T349" s="56"/>
      <c r="U349" s="57" t="str">
        <f t="shared" si="51"/>
        <v>100µg/100cm²</v>
      </c>
      <c r="V349" s="58">
        <f t="shared" si="52"/>
        <v>1270</v>
      </c>
      <c r="W349" s="58" t="str">
        <f t="shared" si="53"/>
        <v xml:space="preserve"> </v>
      </c>
      <c r="X349" s="59" t="str">
        <f t="shared" si="54"/>
        <v/>
      </c>
      <c r="Y349" s="60"/>
      <c r="Z349" s="64"/>
      <c r="AA349" s="64"/>
      <c r="AB349" s="64"/>
      <c r="AC349" s="64"/>
      <c r="AD349" s="64"/>
      <c r="AE349" s="64"/>
      <c r="AF349" s="16" t="s">
        <v>675</v>
      </c>
      <c r="AG349" s="64"/>
      <c r="AH349" s="64"/>
      <c r="AI349" s="64"/>
      <c r="AJ349" s="64"/>
      <c r="AK349" s="64"/>
      <c r="AL349" s="64"/>
      <c r="AM349" s="16" t="s">
        <v>675</v>
      </c>
      <c r="AN349" s="16" t="s">
        <v>675</v>
      </c>
      <c r="AO349" s="64"/>
      <c r="AP349" s="16" t="s">
        <v>675</v>
      </c>
      <c r="AQ349" s="64"/>
      <c r="AR349" s="64"/>
      <c r="AS349" s="16" t="s">
        <v>675</v>
      </c>
      <c r="AT349" s="16" t="s">
        <v>675</v>
      </c>
      <c r="AU349" s="64"/>
      <c r="AV349" s="64"/>
      <c r="AW349" s="64"/>
      <c r="AX349" s="16" t="s">
        <v>675</v>
      </c>
      <c r="AY349" s="64"/>
      <c r="AZ349" s="64"/>
      <c r="BA349" s="64"/>
      <c r="BB349" s="64"/>
      <c r="BC349" s="64"/>
      <c r="BD349" s="64"/>
      <c r="BE349" s="64"/>
      <c r="BF349" s="64"/>
      <c r="BG349" s="16" t="s">
        <v>675</v>
      </c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16" t="s">
        <v>675</v>
      </c>
      <c r="BT349" s="65"/>
    </row>
    <row r="350" spans="1:72" ht="15.75" x14ac:dyDescent="0.3">
      <c r="A350" s="47" t="s">
        <v>825</v>
      </c>
      <c r="B350" s="49" t="s">
        <v>826</v>
      </c>
      <c r="C350" s="16" t="s">
        <v>1621</v>
      </c>
      <c r="D350" s="16" t="s">
        <v>1114</v>
      </c>
      <c r="E350" s="50">
        <v>0</v>
      </c>
      <c r="F350" s="50">
        <v>0</v>
      </c>
      <c r="G350" s="16">
        <v>2</v>
      </c>
      <c r="H350" s="16">
        <v>343</v>
      </c>
      <c r="I350" s="16" t="s">
        <v>1016</v>
      </c>
      <c r="J350" s="17" t="s">
        <v>2348</v>
      </c>
      <c r="K350" s="16">
        <v>1.5</v>
      </c>
      <c r="L350" s="16">
        <v>1.5</v>
      </c>
      <c r="M350" s="16" t="s">
        <v>1036</v>
      </c>
      <c r="N350" s="64"/>
      <c r="O350" s="63" t="str">
        <f t="shared" si="47"/>
        <v>YES</v>
      </c>
      <c r="P350" s="52"/>
      <c r="Q350" s="53">
        <f t="shared" si="48"/>
        <v>273.7</v>
      </c>
      <c r="R350" s="54" t="str">
        <f t="shared" si="49"/>
        <v xml:space="preserve"> </v>
      </c>
      <c r="S350" s="55" t="str">
        <f t="shared" si="50"/>
        <v xml:space="preserve"> </v>
      </c>
      <c r="T350" s="56"/>
      <c r="U350" s="57" t="str">
        <f t="shared" si="51"/>
        <v xml:space="preserve"> </v>
      </c>
      <c r="V350" s="58" t="str">
        <f t="shared" si="52"/>
        <v xml:space="preserve"> </v>
      </c>
      <c r="W350" s="57" t="str">
        <f t="shared" si="53"/>
        <v xml:space="preserve"> </v>
      </c>
      <c r="X350" s="59" t="str">
        <f t="shared" si="54"/>
        <v>Mitigation</v>
      </c>
      <c r="Y350" s="60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16" t="s">
        <v>675</v>
      </c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5"/>
    </row>
    <row r="351" spans="1:72" ht="18" hidden="1" customHeight="1" x14ac:dyDescent="0.3">
      <c r="A351" s="80" t="s">
        <v>1906</v>
      </c>
      <c r="B351" s="16" t="s">
        <v>1912</v>
      </c>
      <c r="C351" s="125" t="s">
        <v>1913</v>
      </c>
      <c r="D351" s="16" t="s">
        <v>1104</v>
      </c>
      <c r="E351" s="50">
        <v>66.489999999999995</v>
      </c>
      <c r="F351" s="50">
        <v>0</v>
      </c>
      <c r="G351" s="16">
        <v>5</v>
      </c>
      <c r="H351" s="17" t="s">
        <v>1969</v>
      </c>
      <c r="I351" s="16" t="s">
        <v>1016</v>
      </c>
      <c r="J351" s="17" t="s">
        <v>2020</v>
      </c>
      <c r="K351" s="16" t="s">
        <v>2027</v>
      </c>
      <c r="L351" s="16" t="s">
        <v>2027</v>
      </c>
      <c r="M351" s="64"/>
      <c r="N351" s="64"/>
      <c r="O351" s="16" t="s">
        <v>2027</v>
      </c>
      <c r="P351" s="73"/>
      <c r="Q351" s="53" t="str">
        <f t="shared" si="48"/>
        <v>Pending</v>
      </c>
      <c r="R351" s="54" t="str">
        <f t="shared" si="49"/>
        <v>Pending</v>
      </c>
      <c r="S351" s="55" t="str">
        <f t="shared" si="50"/>
        <v>Pending</v>
      </c>
      <c r="T351" s="105"/>
      <c r="U351" s="57" t="str">
        <f t="shared" si="51"/>
        <v>Pending</v>
      </c>
      <c r="V351" s="58" t="str">
        <f t="shared" si="52"/>
        <v>Pending</v>
      </c>
      <c r="W351" s="57" t="str">
        <f t="shared" si="53"/>
        <v>Pending</v>
      </c>
      <c r="X351" s="59" t="str">
        <f t="shared" si="54"/>
        <v/>
      </c>
      <c r="Y351" s="106"/>
      <c r="Z351" s="16" t="s">
        <v>1987</v>
      </c>
      <c r="AA351" s="16" t="s">
        <v>1987</v>
      </c>
      <c r="AB351" s="16" t="s">
        <v>1987</v>
      </c>
      <c r="AC351" s="16" t="s">
        <v>1987</v>
      </c>
      <c r="AD351" s="16" t="s">
        <v>1987</v>
      </c>
      <c r="AE351" s="16" t="s">
        <v>1987</v>
      </c>
      <c r="AF351" s="16" t="s">
        <v>1987</v>
      </c>
      <c r="AG351" s="16" t="s">
        <v>1987</v>
      </c>
      <c r="AH351" s="16" t="s">
        <v>1987</v>
      </c>
      <c r="AI351" s="16" t="s">
        <v>1987</v>
      </c>
      <c r="AJ351" s="16" t="s">
        <v>1987</v>
      </c>
      <c r="AK351" s="16" t="s">
        <v>1987</v>
      </c>
      <c r="AL351" s="16" t="s">
        <v>1987</v>
      </c>
      <c r="AM351" s="16" t="s">
        <v>1987</v>
      </c>
      <c r="AN351" s="16" t="s">
        <v>1987</v>
      </c>
      <c r="AO351" s="16" t="s">
        <v>1987</v>
      </c>
      <c r="AP351" s="16" t="s">
        <v>1987</v>
      </c>
      <c r="AQ351" s="16" t="s">
        <v>1987</v>
      </c>
      <c r="AR351" s="16" t="s">
        <v>1987</v>
      </c>
      <c r="AS351" s="16" t="s">
        <v>1987</v>
      </c>
      <c r="AT351" s="16" t="s">
        <v>1987</v>
      </c>
      <c r="AU351" s="16" t="s">
        <v>1987</v>
      </c>
      <c r="AV351" s="16" t="s">
        <v>1987</v>
      </c>
      <c r="AW351" s="16" t="s">
        <v>1987</v>
      </c>
      <c r="AX351" s="16" t="s">
        <v>1987</v>
      </c>
      <c r="AY351" s="16" t="s">
        <v>1987</v>
      </c>
      <c r="AZ351" s="16" t="s">
        <v>1987</v>
      </c>
      <c r="BA351" s="16" t="s">
        <v>1987</v>
      </c>
      <c r="BB351" s="16" t="s">
        <v>1987</v>
      </c>
      <c r="BC351" s="16" t="s">
        <v>1987</v>
      </c>
      <c r="BD351" s="16" t="s">
        <v>1987</v>
      </c>
      <c r="BE351" s="16" t="s">
        <v>1987</v>
      </c>
      <c r="BF351" s="16" t="s">
        <v>1987</v>
      </c>
      <c r="BG351" s="16" t="s">
        <v>1987</v>
      </c>
      <c r="BH351" s="16" t="s">
        <v>1987</v>
      </c>
      <c r="BI351" s="16" t="s">
        <v>1987</v>
      </c>
      <c r="BJ351" s="16" t="s">
        <v>1987</v>
      </c>
      <c r="BK351" s="16" t="s">
        <v>1987</v>
      </c>
      <c r="BL351" s="16" t="s">
        <v>1987</v>
      </c>
      <c r="BM351" s="16" t="s">
        <v>1987</v>
      </c>
      <c r="BN351" s="16" t="s">
        <v>1987</v>
      </c>
      <c r="BO351" s="16" t="s">
        <v>1987</v>
      </c>
      <c r="BP351" s="16" t="s">
        <v>1987</v>
      </c>
      <c r="BQ351" s="16" t="s">
        <v>1987</v>
      </c>
      <c r="BR351" s="16" t="s">
        <v>1987</v>
      </c>
      <c r="BS351" s="16" t="s">
        <v>1987</v>
      </c>
      <c r="BT351" s="16" t="s">
        <v>1987</v>
      </c>
    </row>
    <row r="352" spans="1:72" ht="18" hidden="1" customHeight="1" x14ac:dyDescent="0.3">
      <c r="A352" s="47" t="s">
        <v>298</v>
      </c>
      <c r="B352" s="48" t="s">
        <v>165</v>
      </c>
      <c r="C352" s="16" t="s">
        <v>2143</v>
      </c>
      <c r="D352" s="49" t="s">
        <v>1060</v>
      </c>
      <c r="E352" s="50">
        <v>40.82</v>
      </c>
      <c r="F352" s="50">
        <v>0</v>
      </c>
      <c r="G352" s="61">
        <v>5</v>
      </c>
      <c r="H352" s="16">
        <v>8.64</v>
      </c>
      <c r="I352" s="48" t="s">
        <v>1016</v>
      </c>
      <c r="J352" s="16" t="s">
        <v>2386</v>
      </c>
      <c r="K352" s="49">
        <v>50</v>
      </c>
      <c r="L352" s="49">
        <v>50</v>
      </c>
      <c r="M352" s="64"/>
      <c r="N352" s="64"/>
      <c r="O352" s="49" t="str">
        <f t="shared" ref="O352:O383" si="55">IF(AND(ISBLANK(K352),ISBLANK(N352))," ",IF(ISBLANK(N352),"YES","NO"))</f>
        <v>YES</v>
      </c>
      <c r="P352" s="52"/>
      <c r="Q352" s="53">
        <f t="shared" si="48"/>
        <v>5000</v>
      </c>
      <c r="R352" s="54">
        <f t="shared" si="49"/>
        <v>2041</v>
      </c>
      <c r="S352" s="55" t="str">
        <f t="shared" si="50"/>
        <v xml:space="preserve"> </v>
      </c>
      <c r="T352" s="56"/>
      <c r="U352" s="57" t="str">
        <f t="shared" si="51"/>
        <v>100µg/100cm²</v>
      </c>
      <c r="V352" s="58">
        <f t="shared" si="52"/>
        <v>2041</v>
      </c>
      <c r="W352" s="58" t="str">
        <f t="shared" si="53"/>
        <v xml:space="preserve"> </v>
      </c>
      <c r="X352" s="59" t="str">
        <f t="shared" si="54"/>
        <v/>
      </c>
      <c r="Y352" s="60"/>
      <c r="Z352" s="64"/>
      <c r="AA352" s="64"/>
      <c r="AB352" s="64"/>
      <c r="AC352" s="64"/>
      <c r="AD352" s="16" t="s">
        <v>675</v>
      </c>
      <c r="AE352" s="64"/>
      <c r="AF352" s="64"/>
      <c r="AG352" s="64"/>
      <c r="AH352" s="64"/>
      <c r="AI352" s="16" t="s">
        <v>675</v>
      </c>
      <c r="AJ352" s="64"/>
      <c r="AK352" s="64"/>
      <c r="AL352" s="64"/>
      <c r="AM352" s="16" t="s">
        <v>675</v>
      </c>
      <c r="AN352" s="64"/>
      <c r="AO352" s="64"/>
      <c r="AP352" s="64"/>
      <c r="AQ352" s="16" t="s">
        <v>675</v>
      </c>
      <c r="AR352" s="64"/>
      <c r="AS352" s="16" t="s">
        <v>675</v>
      </c>
      <c r="AT352" s="64"/>
      <c r="AU352" s="16" t="s">
        <v>675</v>
      </c>
      <c r="AV352" s="64"/>
      <c r="AW352" s="16" t="s">
        <v>675</v>
      </c>
      <c r="AX352" s="16" t="s">
        <v>675</v>
      </c>
      <c r="AY352" s="64"/>
      <c r="AZ352" s="64"/>
      <c r="BA352" s="64"/>
      <c r="BB352" s="64"/>
      <c r="BC352" s="64"/>
      <c r="BD352" s="64"/>
      <c r="BE352" s="16" t="s">
        <v>675</v>
      </c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16" t="s">
        <v>675</v>
      </c>
      <c r="BT352" s="65"/>
    </row>
    <row r="353" spans="1:92" ht="18" hidden="1" customHeight="1" x14ac:dyDescent="0.3">
      <c r="A353" s="77" t="s">
        <v>200</v>
      </c>
      <c r="B353" s="49" t="s">
        <v>201</v>
      </c>
      <c r="C353" s="79" t="s">
        <v>1350</v>
      </c>
      <c r="D353" s="49" t="s">
        <v>1060</v>
      </c>
      <c r="E353" s="50">
        <v>29.547000000000001</v>
      </c>
      <c r="F353" s="50">
        <v>0</v>
      </c>
      <c r="G353" s="61">
        <v>5</v>
      </c>
      <c r="H353" s="16">
        <v>8.64</v>
      </c>
      <c r="I353" s="49" t="s">
        <v>1016</v>
      </c>
      <c r="J353" s="16" t="s">
        <v>2386</v>
      </c>
      <c r="K353" s="49">
        <v>50</v>
      </c>
      <c r="L353" s="49">
        <v>50</v>
      </c>
      <c r="M353" s="64"/>
      <c r="N353" s="64"/>
      <c r="O353" s="49" t="str">
        <f t="shared" si="55"/>
        <v>YES</v>
      </c>
      <c r="P353" s="52"/>
      <c r="Q353" s="53">
        <f t="shared" si="48"/>
        <v>5000</v>
      </c>
      <c r="R353" s="54">
        <f t="shared" si="49"/>
        <v>1477.3</v>
      </c>
      <c r="S353" s="55" t="str">
        <f t="shared" si="50"/>
        <v xml:space="preserve"> </v>
      </c>
      <c r="T353" s="56"/>
      <c r="U353" s="57" t="str">
        <f t="shared" si="51"/>
        <v>100µg/100cm²</v>
      </c>
      <c r="V353" s="58">
        <f t="shared" si="52"/>
        <v>1477.3</v>
      </c>
      <c r="W353" s="58" t="str">
        <f t="shared" si="53"/>
        <v xml:space="preserve"> </v>
      </c>
      <c r="X353" s="59" t="str">
        <f t="shared" si="54"/>
        <v/>
      </c>
      <c r="Y353" s="60"/>
      <c r="Z353" s="64"/>
      <c r="AA353" s="64"/>
      <c r="AB353" s="64"/>
      <c r="AC353" s="64"/>
      <c r="AD353" s="64"/>
      <c r="AE353" s="16" t="s">
        <v>675</v>
      </c>
      <c r="AF353" s="16" t="s">
        <v>675</v>
      </c>
      <c r="AG353" s="64"/>
      <c r="AH353" s="64"/>
      <c r="AI353" s="16" t="s">
        <v>675</v>
      </c>
      <c r="AJ353" s="64"/>
      <c r="AK353" s="64"/>
      <c r="AL353" s="64"/>
      <c r="AM353" s="16" t="s">
        <v>675</v>
      </c>
      <c r="AN353" s="16" t="s">
        <v>675</v>
      </c>
      <c r="AO353" s="64"/>
      <c r="AP353" s="16" t="s">
        <v>675</v>
      </c>
      <c r="AQ353" s="64"/>
      <c r="AR353" s="64"/>
      <c r="AS353" s="16" t="s">
        <v>675</v>
      </c>
      <c r="AT353" s="16" t="s">
        <v>675</v>
      </c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16" t="s">
        <v>675</v>
      </c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16" t="s">
        <v>675</v>
      </c>
      <c r="BT353" s="65"/>
    </row>
    <row r="354" spans="1:92" ht="18" hidden="1" customHeight="1" x14ac:dyDescent="0.3">
      <c r="A354" s="47" t="s">
        <v>26</v>
      </c>
      <c r="B354" s="48" t="s">
        <v>27</v>
      </c>
      <c r="C354" s="16" t="s">
        <v>2144</v>
      </c>
      <c r="D354" s="49" t="s">
        <v>1060</v>
      </c>
      <c r="E354" s="50">
        <v>41.1</v>
      </c>
      <c r="F354" s="50">
        <v>0</v>
      </c>
      <c r="G354" s="61">
        <v>4</v>
      </c>
      <c r="H354" s="16">
        <v>26</v>
      </c>
      <c r="I354" s="49" t="s">
        <v>1016</v>
      </c>
      <c r="J354" s="16" t="s">
        <v>2386</v>
      </c>
      <c r="K354" s="49">
        <v>50</v>
      </c>
      <c r="L354" s="49">
        <v>50</v>
      </c>
      <c r="M354" s="64"/>
      <c r="N354" s="64"/>
      <c r="O354" s="49" t="str">
        <f t="shared" si="55"/>
        <v>YES</v>
      </c>
      <c r="P354" s="52"/>
      <c r="Q354" s="53">
        <f t="shared" si="48"/>
        <v>5000</v>
      </c>
      <c r="R354" s="54">
        <f t="shared" si="49"/>
        <v>2055</v>
      </c>
      <c r="S354" s="55" t="str">
        <f t="shared" si="50"/>
        <v xml:space="preserve"> </v>
      </c>
      <c r="T354" s="56"/>
      <c r="U354" s="57" t="str">
        <f t="shared" si="51"/>
        <v>100µg/100cm²</v>
      </c>
      <c r="V354" s="58">
        <f t="shared" si="52"/>
        <v>2055</v>
      </c>
      <c r="W354" s="58" t="str">
        <f t="shared" si="53"/>
        <v xml:space="preserve"> </v>
      </c>
      <c r="X354" s="59" t="str">
        <f t="shared" si="54"/>
        <v/>
      </c>
      <c r="Y354" s="60"/>
      <c r="Z354" s="64"/>
      <c r="AA354" s="64"/>
      <c r="AB354" s="16" t="s">
        <v>675</v>
      </c>
      <c r="AC354" s="16" t="s">
        <v>675</v>
      </c>
      <c r="AD354" s="16" t="s">
        <v>675</v>
      </c>
      <c r="AE354" s="16" t="s">
        <v>675</v>
      </c>
      <c r="AF354" s="16" t="s">
        <v>675</v>
      </c>
      <c r="AG354" s="64"/>
      <c r="AH354" s="16" t="s">
        <v>675</v>
      </c>
      <c r="AI354" s="16" t="s">
        <v>675</v>
      </c>
      <c r="AJ354" s="64"/>
      <c r="AK354" s="16" t="s">
        <v>675</v>
      </c>
      <c r="AL354" s="16" t="s">
        <v>675</v>
      </c>
      <c r="AM354" s="16" t="s">
        <v>675</v>
      </c>
      <c r="AN354" s="16" t="s">
        <v>675</v>
      </c>
      <c r="AO354" s="64"/>
      <c r="AP354" s="16" t="s">
        <v>675</v>
      </c>
      <c r="AQ354" s="64"/>
      <c r="AR354" s="64"/>
      <c r="AS354" s="16" t="s">
        <v>675</v>
      </c>
      <c r="AT354" s="16" t="s">
        <v>675</v>
      </c>
      <c r="AU354" s="16" t="s">
        <v>675</v>
      </c>
      <c r="AV354" s="64"/>
      <c r="AW354" s="16" t="s">
        <v>675</v>
      </c>
      <c r="AX354" s="16" t="s">
        <v>675</v>
      </c>
      <c r="AY354" s="64"/>
      <c r="AZ354" s="64"/>
      <c r="BA354" s="16" t="s">
        <v>675</v>
      </c>
      <c r="BB354" s="16" t="s">
        <v>675</v>
      </c>
      <c r="BC354" s="64"/>
      <c r="BD354" s="64"/>
      <c r="BE354" s="64"/>
      <c r="BF354" s="64"/>
      <c r="BG354" s="16" t="s">
        <v>675</v>
      </c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16" t="s">
        <v>675</v>
      </c>
      <c r="BT354" s="65"/>
    </row>
    <row r="355" spans="1:92" ht="18" hidden="1" customHeight="1" x14ac:dyDescent="0.3">
      <c r="A355" s="47" t="s">
        <v>183</v>
      </c>
      <c r="B355" s="48" t="s">
        <v>184</v>
      </c>
      <c r="C355" s="16" t="s">
        <v>2145</v>
      </c>
      <c r="D355" s="49" t="s">
        <v>1060</v>
      </c>
      <c r="E355" s="50">
        <v>39.08</v>
      </c>
      <c r="F355" s="50">
        <v>0</v>
      </c>
      <c r="G355" s="61">
        <v>2</v>
      </c>
      <c r="H355" s="16" t="s">
        <v>1340</v>
      </c>
      <c r="I355" s="48" t="s">
        <v>1016</v>
      </c>
      <c r="J355" s="16" t="s">
        <v>2386</v>
      </c>
      <c r="K355" s="49">
        <v>50</v>
      </c>
      <c r="L355" s="49">
        <v>50</v>
      </c>
      <c r="M355" s="64"/>
      <c r="N355" s="64"/>
      <c r="O355" s="49" t="str">
        <f t="shared" si="55"/>
        <v>YES</v>
      </c>
      <c r="P355" s="52"/>
      <c r="Q355" s="53">
        <f t="shared" si="48"/>
        <v>5000</v>
      </c>
      <c r="R355" s="54">
        <f t="shared" si="49"/>
        <v>1954</v>
      </c>
      <c r="S355" s="55" t="str">
        <f t="shared" si="50"/>
        <v xml:space="preserve"> </v>
      </c>
      <c r="T355" s="56"/>
      <c r="U355" s="57" t="str">
        <f t="shared" si="51"/>
        <v>100µg/100cm²</v>
      </c>
      <c r="V355" s="58">
        <f t="shared" si="52"/>
        <v>1954</v>
      </c>
      <c r="W355" s="58" t="str">
        <f t="shared" si="53"/>
        <v xml:space="preserve"> </v>
      </c>
      <c r="X355" s="59" t="str">
        <f t="shared" si="54"/>
        <v/>
      </c>
      <c r="Y355" s="60"/>
      <c r="Z355" s="64"/>
      <c r="AA355" s="64"/>
      <c r="AB355" s="64"/>
      <c r="AC355" s="64"/>
      <c r="AD355" s="64"/>
      <c r="AE355" s="16" t="s">
        <v>675</v>
      </c>
      <c r="AF355" s="16" t="s">
        <v>675</v>
      </c>
      <c r="AG355" s="64"/>
      <c r="AH355" s="64"/>
      <c r="AI355" s="16" t="s">
        <v>675</v>
      </c>
      <c r="AJ355" s="16" t="s">
        <v>675</v>
      </c>
      <c r="AK355" s="64"/>
      <c r="AL355" s="64"/>
      <c r="AM355" s="16" t="s">
        <v>675</v>
      </c>
      <c r="AN355" s="16" t="s">
        <v>675</v>
      </c>
      <c r="AO355" s="64"/>
      <c r="AP355" s="16" t="s">
        <v>675</v>
      </c>
      <c r="AQ355" s="64"/>
      <c r="AR355" s="64"/>
      <c r="AS355" s="16" t="s">
        <v>675</v>
      </c>
      <c r="AT355" s="16" t="s">
        <v>675</v>
      </c>
      <c r="AU355" s="16" t="s">
        <v>675</v>
      </c>
      <c r="AV355" s="64"/>
      <c r="AW355" s="16" t="s">
        <v>675</v>
      </c>
      <c r="AX355" s="16" t="s">
        <v>675</v>
      </c>
      <c r="AY355" s="64"/>
      <c r="AZ355" s="64"/>
      <c r="BA355" s="64"/>
      <c r="BB355" s="64"/>
      <c r="BC355" s="64"/>
      <c r="BD355" s="64"/>
      <c r="BE355" s="16" t="s">
        <v>675</v>
      </c>
      <c r="BF355" s="64"/>
      <c r="BG355" s="16" t="s">
        <v>675</v>
      </c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16" t="s">
        <v>675</v>
      </c>
      <c r="BT355" s="65"/>
    </row>
    <row r="356" spans="1:92" ht="18" hidden="1" customHeight="1" x14ac:dyDescent="0.3">
      <c r="A356" s="47" t="s">
        <v>28</v>
      </c>
      <c r="B356" s="48" t="s">
        <v>29</v>
      </c>
      <c r="C356" s="16" t="s">
        <v>2146</v>
      </c>
      <c r="D356" s="49" t="s">
        <v>1060</v>
      </c>
      <c r="E356" s="50">
        <v>46.45</v>
      </c>
      <c r="F356" s="50">
        <v>0</v>
      </c>
      <c r="G356" s="61">
        <v>3</v>
      </c>
      <c r="H356" s="16">
        <v>41.9</v>
      </c>
      <c r="I356" s="49" t="s">
        <v>1016</v>
      </c>
      <c r="J356" s="16" t="s">
        <v>2386</v>
      </c>
      <c r="K356" s="49">
        <v>50</v>
      </c>
      <c r="L356" s="49">
        <v>50</v>
      </c>
      <c r="M356" s="64"/>
      <c r="N356" s="64"/>
      <c r="O356" s="49" t="str">
        <f t="shared" si="55"/>
        <v>YES</v>
      </c>
      <c r="P356" s="52"/>
      <c r="Q356" s="53">
        <f t="shared" si="48"/>
        <v>5000</v>
      </c>
      <c r="R356" s="54">
        <f t="shared" si="49"/>
        <v>2322.5</v>
      </c>
      <c r="S356" s="55" t="str">
        <f t="shared" si="50"/>
        <v xml:space="preserve"> </v>
      </c>
      <c r="T356" s="56"/>
      <c r="U356" s="57" t="str">
        <f t="shared" si="51"/>
        <v>100µg/100cm²</v>
      </c>
      <c r="V356" s="58">
        <f t="shared" si="52"/>
        <v>2322.5</v>
      </c>
      <c r="W356" s="58" t="str">
        <f t="shared" si="53"/>
        <v xml:space="preserve"> </v>
      </c>
      <c r="X356" s="59" t="str">
        <f t="shared" si="54"/>
        <v/>
      </c>
      <c r="Y356" s="60"/>
      <c r="Z356" s="16" t="s">
        <v>675</v>
      </c>
      <c r="AA356" s="64"/>
      <c r="AB356" s="16" t="s">
        <v>675</v>
      </c>
      <c r="AC356" s="64"/>
      <c r="AD356" s="16" t="s">
        <v>675</v>
      </c>
      <c r="AE356" s="64"/>
      <c r="AF356" s="16" t="s">
        <v>675</v>
      </c>
      <c r="AG356" s="64"/>
      <c r="AH356" s="16" t="s">
        <v>675</v>
      </c>
      <c r="AI356" s="16" t="s">
        <v>675</v>
      </c>
      <c r="AJ356" s="64"/>
      <c r="AK356" s="16" t="s">
        <v>675</v>
      </c>
      <c r="AL356" s="16" t="s">
        <v>675</v>
      </c>
      <c r="AM356" s="16" t="s">
        <v>675</v>
      </c>
      <c r="AN356" s="16" t="s">
        <v>675</v>
      </c>
      <c r="AO356" s="64"/>
      <c r="AP356" s="16" t="s">
        <v>675</v>
      </c>
      <c r="AQ356" s="16" t="s">
        <v>675</v>
      </c>
      <c r="AR356" s="64"/>
      <c r="AS356" s="16" t="s">
        <v>675</v>
      </c>
      <c r="AT356" s="16" t="s">
        <v>675</v>
      </c>
      <c r="AU356" s="64"/>
      <c r="AV356" s="16" t="s">
        <v>675</v>
      </c>
      <c r="AW356" s="16" t="s">
        <v>675</v>
      </c>
      <c r="AX356" s="64"/>
      <c r="AY356" s="64"/>
      <c r="AZ356" s="64"/>
      <c r="BA356" s="64"/>
      <c r="BB356" s="64"/>
      <c r="BC356" s="64"/>
      <c r="BD356" s="64"/>
      <c r="BE356" s="16" t="s">
        <v>675</v>
      </c>
      <c r="BF356" s="64"/>
      <c r="BG356" s="16" t="s">
        <v>675</v>
      </c>
      <c r="BH356" s="16" t="s">
        <v>675</v>
      </c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16" t="s">
        <v>675</v>
      </c>
      <c r="BT356" s="64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</row>
    <row r="357" spans="1:92" ht="18" hidden="1" customHeight="1" x14ac:dyDescent="0.3">
      <c r="A357" s="77" t="s">
        <v>195</v>
      </c>
      <c r="B357" s="79" t="s">
        <v>196</v>
      </c>
      <c r="C357" s="79" t="s">
        <v>1344</v>
      </c>
      <c r="D357" s="49" t="s">
        <v>1060</v>
      </c>
      <c r="E357" s="50">
        <v>34.369999999999997</v>
      </c>
      <c r="F357" s="50">
        <v>0</v>
      </c>
      <c r="G357" s="61">
        <v>2</v>
      </c>
      <c r="H357" s="16">
        <v>169.9</v>
      </c>
      <c r="I357" s="49" t="s">
        <v>1016</v>
      </c>
      <c r="J357" s="16" t="s">
        <v>2386</v>
      </c>
      <c r="K357" s="49">
        <v>50</v>
      </c>
      <c r="L357" s="49">
        <v>50</v>
      </c>
      <c r="M357" s="64"/>
      <c r="N357" s="64"/>
      <c r="O357" s="49" t="str">
        <f t="shared" si="55"/>
        <v>YES</v>
      </c>
      <c r="P357" s="52"/>
      <c r="Q357" s="53">
        <f t="shared" si="48"/>
        <v>5000</v>
      </c>
      <c r="R357" s="54">
        <f t="shared" si="49"/>
        <v>1718.5</v>
      </c>
      <c r="S357" s="55" t="str">
        <f t="shared" si="50"/>
        <v xml:space="preserve"> </v>
      </c>
      <c r="T357" s="56"/>
      <c r="U357" s="57" t="str">
        <f t="shared" si="51"/>
        <v>100µg/100cm²</v>
      </c>
      <c r="V357" s="58">
        <f t="shared" si="52"/>
        <v>1718.5</v>
      </c>
      <c r="W357" s="58" t="str">
        <f t="shared" si="53"/>
        <v xml:space="preserve"> </v>
      </c>
      <c r="X357" s="59" t="str">
        <f t="shared" si="54"/>
        <v/>
      </c>
      <c r="Y357" s="60"/>
      <c r="Z357" s="64"/>
      <c r="AA357" s="64"/>
      <c r="AB357" s="64"/>
      <c r="AC357" s="64"/>
      <c r="AD357" s="64"/>
      <c r="AE357" s="16" t="s">
        <v>675</v>
      </c>
      <c r="AF357" s="16" t="s">
        <v>675</v>
      </c>
      <c r="AG357" s="64"/>
      <c r="AH357" s="64"/>
      <c r="AI357" s="16" t="s">
        <v>675</v>
      </c>
      <c r="AJ357" s="64"/>
      <c r="AK357" s="64"/>
      <c r="AL357" s="64"/>
      <c r="AM357" s="16" t="s">
        <v>675</v>
      </c>
      <c r="AN357" s="16" t="s">
        <v>675</v>
      </c>
      <c r="AO357" s="64"/>
      <c r="AP357" s="16" t="s">
        <v>675</v>
      </c>
      <c r="AQ357" s="64"/>
      <c r="AR357" s="64"/>
      <c r="AS357" s="16" t="s">
        <v>675</v>
      </c>
      <c r="AT357" s="16" t="s">
        <v>675</v>
      </c>
      <c r="AU357" s="64"/>
      <c r="AV357" s="64"/>
      <c r="AW357" s="64"/>
      <c r="AX357" s="16" t="s">
        <v>675</v>
      </c>
      <c r="AY357" s="64"/>
      <c r="AZ357" s="64"/>
      <c r="BA357" s="64"/>
      <c r="BB357" s="64"/>
      <c r="BC357" s="64"/>
      <c r="BD357" s="64"/>
      <c r="BE357" s="16" t="s">
        <v>675</v>
      </c>
      <c r="BF357" s="64"/>
      <c r="BG357" s="16" t="s">
        <v>675</v>
      </c>
      <c r="BH357" s="16" t="s">
        <v>675</v>
      </c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16" t="s">
        <v>675</v>
      </c>
      <c r="BT357" s="65"/>
    </row>
    <row r="358" spans="1:92" ht="18" hidden="1" customHeight="1" x14ac:dyDescent="0.3">
      <c r="A358" s="47" t="s">
        <v>705</v>
      </c>
      <c r="B358" s="48" t="s">
        <v>449</v>
      </c>
      <c r="C358" s="49" t="s">
        <v>1194</v>
      </c>
      <c r="D358" s="70" t="s">
        <v>1195</v>
      </c>
      <c r="E358" s="50">
        <v>88.24</v>
      </c>
      <c r="F358" s="50">
        <v>0</v>
      </c>
      <c r="G358" s="61">
        <v>7</v>
      </c>
      <c r="H358" s="16">
        <v>0.02</v>
      </c>
      <c r="I358" s="48" t="s">
        <v>1196</v>
      </c>
      <c r="J358" s="16" t="s">
        <v>1197</v>
      </c>
      <c r="K358" s="49">
        <v>5</v>
      </c>
      <c r="L358" s="49">
        <v>5</v>
      </c>
      <c r="M358" s="62" t="s">
        <v>1033</v>
      </c>
      <c r="N358" s="62" t="s">
        <v>1198</v>
      </c>
      <c r="O358" s="63" t="str">
        <f t="shared" si="55"/>
        <v>NO</v>
      </c>
      <c r="P358" s="52"/>
      <c r="Q358" s="53">
        <f t="shared" si="48"/>
        <v>5</v>
      </c>
      <c r="R358" s="54">
        <f t="shared" si="49"/>
        <v>4.4000000000000004</v>
      </c>
      <c r="S358" s="55" t="str">
        <f t="shared" si="50"/>
        <v xml:space="preserve"> </v>
      </c>
      <c r="T358" s="56"/>
      <c r="U358" s="57" t="str">
        <f t="shared" si="51"/>
        <v>Mitigation</v>
      </c>
      <c r="V358" s="58">
        <f t="shared" si="52"/>
        <v>4.4000000000000004</v>
      </c>
      <c r="W358" s="58" t="str">
        <f t="shared" si="53"/>
        <v xml:space="preserve"> </v>
      </c>
      <c r="X358" s="59" t="str">
        <f t="shared" si="54"/>
        <v/>
      </c>
      <c r="Y358" s="60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16" t="s">
        <v>675</v>
      </c>
      <c r="AT358" s="64"/>
      <c r="AU358" s="64"/>
      <c r="AV358" s="64"/>
      <c r="AW358" s="64"/>
      <c r="AX358" s="64"/>
      <c r="AY358" s="64"/>
      <c r="AZ358" s="64"/>
      <c r="BA358" s="64"/>
      <c r="BB358" s="64"/>
      <c r="BC358" s="16" t="s">
        <v>675</v>
      </c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5"/>
    </row>
    <row r="359" spans="1:92" ht="18" hidden="1" customHeight="1" x14ac:dyDescent="0.3">
      <c r="A359" s="47" t="s">
        <v>121</v>
      </c>
      <c r="B359" s="48" t="s">
        <v>122</v>
      </c>
      <c r="C359" s="16" t="s">
        <v>2147</v>
      </c>
      <c r="D359" s="49" t="s">
        <v>1104</v>
      </c>
      <c r="E359" s="50">
        <v>77.14</v>
      </c>
      <c r="F359" s="50">
        <v>0</v>
      </c>
      <c r="G359" s="61">
        <v>7</v>
      </c>
      <c r="H359" s="16" t="s">
        <v>1105</v>
      </c>
      <c r="I359" s="97" t="s">
        <v>1016</v>
      </c>
      <c r="J359" s="16" t="s">
        <v>2386</v>
      </c>
      <c r="K359" s="49">
        <v>50</v>
      </c>
      <c r="L359" s="49">
        <v>50</v>
      </c>
      <c r="M359" s="64"/>
      <c r="N359" s="64"/>
      <c r="O359" s="49" t="str">
        <f t="shared" si="55"/>
        <v>YES</v>
      </c>
      <c r="P359" s="52"/>
      <c r="Q359" s="53">
        <f t="shared" si="48"/>
        <v>5000</v>
      </c>
      <c r="R359" s="54">
        <f t="shared" si="49"/>
        <v>3857</v>
      </c>
      <c r="S359" s="55" t="str">
        <f t="shared" si="50"/>
        <v xml:space="preserve"> </v>
      </c>
      <c r="T359" s="56"/>
      <c r="U359" s="57" t="str">
        <f t="shared" si="51"/>
        <v>100µg/100cm²</v>
      </c>
      <c r="V359" s="58">
        <f t="shared" si="52"/>
        <v>3857</v>
      </c>
      <c r="W359" s="58" t="str">
        <f t="shared" si="53"/>
        <v xml:space="preserve"> </v>
      </c>
      <c r="X359" s="59" t="str">
        <f t="shared" si="54"/>
        <v/>
      </c>
      <c r="Y359" s="60"/>
      <c r="Z359" s="64"/>
      <c r="AA359" s="64"/>
      <c r="AB359" s="64"/>
      <c r="AC359" s="16" t="s">
        <v>675</v>
      </c>
      <c r="AD359" s="16" t="s">
        <v>675</v>
      </c>
      <c r="AE359" s="64"/>
      <c r="AF359" s="64"/>
      <c r="AG359" s="64"/>
      <c r="AH359" s="64"/>
      <c r="AI359" s="64"/>
      <c r="AJ359" s="64"/>
      <c r="AK359" s="64"/>
      <c r="AL359" s="64"/>
      <c r="AM359" s="16" t="s">
        <v>675</v>
      </c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5"/>
    </row>
    <row r="360" spans="1:92" ht="18" hidden="1" customHeight="1" x14ac:dyDescent="0.3">
      <c r="A360" s="47" t="s">
        <v>123</v>
      </c>
      <c r="B360" s="48" t="s">
        <v>124</v>
      </c>
      <c r="C360" s="16" t="s">
        <v>2148</v>
      </c>
      <c r="D360" s="49" t="s">
        <v>1104</v>
      </c>
      <c r="E360" s="50">
        <v>77.7</v>
      </c>
      <c r="F360" s="50">
        <v>0</v>
      </c>
      <c r="G360" s="61">
        <v>7</v>
      </c>
      <c r="H360" s="16" t="s">
        <v>1361</v>
      </c>
      <c r="I360" s="97" t="s">
        <v>1016</v>
      </c>
      <c r="J360" s="16" t="s">
        <v>2386</v>
      </c>
      <c r="K360" s="49">
        <v>50</v>
      </c>
      <c r="L360" s="49">
        <v>50</v>
      </c>
      <c r="M360" s="64"/>
      <c r="N360" s="64"/>
      <c r="O360" s="49" t="str">
        <f t="shared" si="55"/>
        <v>YES</v>
      </c>
      <c r="P360" s="52"/>
      <c r="Q360" s="53">
        <f t="shared" si="48"/>
        <v>5000</v>
      </c>
      <c r="R360" s="54">
        <f t="shared" si="49"/>
        <v>3885</v>
      </c>
      <c r="S360" s="55" t="str">
        <f t="shared" si="50"/>
        <v xml:space="preserve"> </v>
      </c>
      <c r="T360" s="56"/>
      <c r="U360" s="57" t="str">
        <f t="shared" si="51"/>
        <v>100µg/100cm²</v>
      </c>
      <c r="V360" s="58">
        <f t="shared" si="52"/>
        <v>3885</v>
      </c>
      <c r="W360" s="58" t="str">
        <f t="shared" si="53"/>
        <v xml:space="preserve"> </v>
      </c>
      <c r="X360" s="59" t="str">
        <f t="shared" si="54"/>
        <v/>
      </c>
      <c r="Y360" s="60"/>
      <c r="Z360" s="64"/>
      <c r="AA360" s="64"/>
      <c r="AB360" s="64"/>
      <c r="AC360" s="16" t="s">
        <v>675</v>
      </c>
      <c r="AD360" s="16" t="s">
        <v>675</v>
      </c>
      <c r="AE360" s="64"/>
      <c r="AF360" s="64"/>
      <c r="AG360" s="64"/>
      <c r="AH360" s="64"/>
      <c r="AI360" s="64"/>
      <c r="AJ360" s="64"/>
      <c r="AK360" s="64"/>
      <c r="AL360" s="64"/>
      <c r="AM360" s="16" t="s">
        <v>675</v>
      </c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5"/>
    </row>
    <row r="361" spans="1:92" ht="18" hidden="1" customHeight="1" x14ac:dyDescent="0.3">
      <c r="A361" s="66" t="s">
        <v>729</v>
      </c>
      <c r="B361" s="69" t="s">
        <v>730</v>
      </c>
      <c r="C361" s="49" t="s">
        <v>1801</v>
      </c>
      <c r="D361" s="16" t="s">
        <v>1268</v>
      </c>
      <c r="E361" s="50">
        <v>83</v>
      </c>
      <c r="F361" s="50">
        <v>0</v>
      </c>
      <c r="G361" s="61">
        <v>7</v>
      </c>
      <c r="H361" s="68" t="s">
        <v>1250</v>
      </c>
      <c r="I361" s="48" t="s">
        <v>1474</v>
      </c>
      <c r="J361" s="16" t="s">
        <v>1269</v>
      </c>
      <c r="K361" s="49">
        <v>1.5</v>
      </c>
      <c r="L361" s="49">
        <v>1.5</v>
      </c>
      <c r="M361" s="49" t="s">
        <v>1036</v>
      </c>
      <c r="N361" s="51"/>
      <c r="O361" s="49" t="str">
        <f t="shared" si="55"/>
        <v>YES</v>
      </c>
      <c r="P361" s="52"/>
      <c r="Q361" s="53">
        <f t="shared" si="48"/>
        <v>273.7</v>
      </c>
      <c r="R361" s="54">
        <f t="shared" si="49"/>
        <v>227.1</v>
      </c>
      <c r="S361" s="55" t="str">
        <f t="shared" si="50"/>
        <v xml:space="preserve"> </v>
      </c>
      <c r="T361" s="56"/>
      <c r="U361" s="57" t="str">
        <f t="shared" si="51"/>
        <v>100µg/100cm²</v>
      </c>
      <c r="V361" s="58">
        <f t="shared" si="52"/>
        <v>227.1</v>
      </c>
      <c r="W361" s="58" t="str">
        <f t="shared" si="53"/>
        <v xml:space="preserve"> </v>
      </c>
      <c r="X361" s="59" t="str">
        <f t="shared" si="54"/>
        <v/>
      </c>
      <c r="Y361" s="60"/>
      <c r="Z361" s="16" t="s">
        <v>675</v>
      </c>
      <c r="AA361" s="16" t="s">
        <v>675</v>
      </c>
      <c r="AB361" s="64"/>
      <c r="AC361" s="64"/>
      <c r="AD361" s="64"/>
      <c r="AE361" s="16" t="s">
        <v>675</v>
      </c>
      <c r="AF361" s="16" t="s">
        <v>675</v>
      </c>
      <c r="AG361" s="16" t="s">
        <v>675</v>
      </c>
      <c r="AH361" s="16" t="s">
        <v>675</v>
      </c>
      <c r="AI361" s="64"/>
      <c r="AJ361" s="16" t="s">
        <v>675</v>
      </c>
      <c r="AK361" s="64"/>
      <c r="AL361" s="64"/>
      <c r="AM361" s="16" t="s">
        <v>675</v>
      </c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5"/>
    </row>
    <row r="362" spans="1:92" ht="18" hidden="1" customHeight="1" x14ac:dyDescent="0.3">
      <c r="A362" s="47" t="s">
        <v>30</v>
      </c>
      <c r="B362" s="48" t="s">
        <v>31</v>
      </c>
      <c r="C362" s="16" t="s">
        <v>2149</v>
      </c>
      <c r="D362" s="49" t="s">
        <v>1060</v>
      </c>
      <c r="E362" s="50">
        <v>54.9</v>
      </c>
      <c r="F362" s="50">
        <v>0</v>
      </c>
      <c r="G362" s="61">
        <v>3</v>
      </c>
      <c r="H362" s="16">
        <v>33.85</v>
      </c>
      <c r="I362" s="49" t="s">
        <v>1016</v>
      </c>
      <c r="J362" s="16" t="s">
        <v>2386</v>
      </c>
      <c r="K362" s="49">
        <v>50</v>
      </c>
      <c r="L362" s="49">
        <v>50</v>
      </c>
      <c r="M362" s="64"/>
      <c r="N362" s="64"/>
      <c r="O362" s="49" t="str">
        <f t="shared" si="55"/>
        <v>YES</v>
      </c>
      <c r="P362" s="52"/>
      <c r="Q362" s="53">
        <f t="shared" si="48"/>
        <v>5000</v>
      </c>
      <c r="R362" s="54">
        <f t="shared" si="49"/>
        <v>2745</v>
      </c>
      <c r="S362" s="55" t="str">
        <f t="shared" si="50"/>
        <v xml:space="preserve"> </v>
      </c>
      <c r="T362" s="56"/>
      <c r="U362" s="57" t="str">
        <f t="shared" si="51"/>
        <v>100µg/100cm²</v>
      </c>
      <c r="V362" s="58">
        <f t="shared" si="52"/>
        <v>2745</v>
      </c>
      <c r="W362" s="58" t="str">
        <f t="shared" si="53"/>
        <v xml:space="preserve"> </v>
      </c>
      <c r="X362" s="59" t="str">
        <f t="shared" si="54"/>
        <v/>
      </c>
      <c r="Y362" s="60"/>
      <c r="Z362" s="64"/>
      <c r="AA362" s="64"/>
      <c r="AB362" s="16" t="s">
        <v>675</v>
      </c>
      <c r="AC362" s="64"/>
      <c r="AD362" s="16" t="s">
        <v>675</v>
      </c>
      <c r="AE362" s="16" t="s">
        <v>675</v>
      </c>
      <c r="AF362" s="16" t="s">
        <v>675</v>
      </c>
      <c r="AG362" s="64"/>
      <c r="AH362" s="16" t="s">
        <v>675</v>
      </c>
      <c r="AI362" s="16" t="s">
        <v>675</v>
      </c>
      <c r="AJ362" s="64"/>
      <c r="AK362" s="16" t="s">
        <v>675</v>
      </c>
      <c r="AL362" s="16" t="s">
        <v>675</v>
      </c>
      <c r="AM362" s="16" t="s">
        <v>675</v>
      </c>
      <c r="AN362" s="16" t="s">
        <v>675</v>
      </c>
      <c r="AO362" s="64"/>
      <c r="AP362" s="16" t="s">
        <v>675</v>
      </c>
      <c r="AQ362" s="16" t="s">
        <v>675</v>
      </c>
      <c r="AR362" s="64"/>
      <c r="AS362" s="16" t="s">
        <v>675</v>
      </c>
      <c r="AT362" s="16" t="s">
        <v>675</v>
      </c>
      <c r="AU362" s="64"/>
      <c r="AV362" s="64"/>
      <c r="AW362" s="64"/>
      <c r="AX362" s="16" t="s">
        <v>675</v>
      </c>
      <c r="AY362" s="64"/>
      <c r="AZ362" s="64"/>
      <c r="BA362" s="64"/>
      <c r="BB362" s="64"/>
      <c r="BC362" s="64"/>
      <c r="BD362" s="64"/>
      <c r="BE362" s="64"/>
      <c r="BF362" s="64"/>
      <c r="BG362" s="16" t="s">
        <v>675</v>
      </c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16" t="s">
        <v>675</v>
      </c>
      <c r="BT362" s="65"/>
    </row>
    <row r="363" spans="1:92" ht="18" hidden="1" customHeight="1" x14ac:dyDescent="0.3">
      <c r="A363" s="81" t="s">
        <v>902</v>
      </c>
      <c r="B363" s="76" t="s">
        <v>459</v>
      </c>
      <c r="C363" s="16" t="s">
        <v>1499</v>
      </c>
      <c r="D363" s="16" t="s">
        <v>1483</v>
      </c>
      <c r="E363" s="50">
        <v>50</v>
      </c>
      <c r="F363" s="50">
        <v>0</v>
      </c>
      <c r="G363" s="16">
        <v>1</v>
      </c>
      <c r="H363" s="16" t="s">
        <v>1023</v>
      </c>
      <c r="I363" s="16" t="s">
        <v>1016</v>
      </c>
      <c r="J363" s="16" t="s">
        <v>2382</v>
      </c>
      <c r="K363" s="16">
        <v>50</v>
      </c>
      <c r="L363" s="16">
        <v>50</v>
      </c>
      <c r="M363" s="64"/>
      <c r="N363" s="64"/>
      <c r="O363" s="49" t="str">
        <f t="shared" si="55"/>
        <v>YES</v>
      </c>
      <c r="P363" s="52"/>
      <c r="Q363" s="53">
        <f t="shared" si="48"/>
        <v>5000</v>
      </c>
      <c r="R363" s="54">
        <f t="shared" si="49"/>
        <v>2500</v>
      </c>
      <c r="S363" s="55" t="str">
        <f t="shared" si="50"/>
        <v xml:space="preserve"> </v>
      </c>
      <c r="T363" s="56"/>
      <c r="U363" s="57" t="str">
        <f t="shared" si="51"/>
        <v>100µg/100cm²</v>
      </c>
      <c r="V363" s="58">
        <f t="shared" si="52"/>
        <v>2500</v>
      </c>
      <c r="W363" s="58" t="str">
        <f t="shared" si="53"/>
        <v xml:space="preserve"> </v>
      </c>
      <c r="X363" s="59" t="str">
        <f t="shared" si="54"/>
        <v/>
      </c>
      <c r="Y363" s="60"/>
      <c r="Z363" s="64"/>
      <c r="AA363" s="64"/>
      <c r="AB363" s="64"/>
      <c r="AC363" s="64"/>
      <c r="AD363" s="64"/>
      <c r="AE363" s="64"/>
      <c r="AF363" s="16" t="s">
        <v>675</v>
      </c>
      <c r="AG363" s="16" t="s">
        <v>675</v>
      </c>
      <c r="AH363" s="64"/>
      <c r="AI363" s="64"/>
      <c r="AJ363" s="64"/>
      <c r="AK363" s="64"/>
      <c r="AL363" s="64"/>
      <c r="AM363" s="16" t="s">
        <v>675</v>
      </c>
      <c r="AN363" s="64"/>
      <c r="AO363" s="64"/>
      <c r="AP363" s="64"/>
      <c r="AQ363" s="64"/>
      <c r="AR363" s="64"/>
      <c r="AS363" s="64"/>
      <c r="AT363" s="16" t="s">
        <v>675</v>
      </c>
      <c r="AU363" s="82"/>
      <c r="AV363" s="82"/>
      <c r="AW363" s="82"/>
      <c r="AX363" s="64"/>
      <c r="AY363" s="64"/>
      <c r="AZ363" s="64"/>
      <c r="BA363" s="64"/>
      <c r="BB363" s="64"/>
      <c r="BC363" s="64"/>
      <c r="BD363" s="16" t="s">
        <v>675</v>
      </c>
      <c r="BE363" s="64"/>
      <c r="BF363" s="64"/>
      <c r="BG363" s="16" t="s">
        <v>675</v>
      </c>
      <c r="BH363" s="64"/>
      <c r="BI363" s="64"/>
      <c r="BJ363" s="64"/>
      <c r="BK363" s="64"/>
      <c r="BL363" s="64"/>
      <c r="BM363" s="64"/>
      <c r="BN363" s="64"/>
      <c r="BO363" s="64"/>
      <c r="BP363" s="64"/>
      <c r="BQ363" s="64"/>
      <c r="BR363" s="64"/>
      <c r="BS363" s="16" t="s">
        <v>675</v>
      </c>
      <c r="BT363" s="65"/>
    </row>
    <row r="364" spans="1:92" ht="18" hidden="1" customHeight="1" x14ac:dyDescent="0.3">
      <c r="A364" s="81" t="s">
        <v>903</v>
      </c>
      <c r="B364" s="76" t="s">
        <v>459</v>
      </c>
      <c r="C364" s="16" t="s">
        <v>1499</v>
      </c>
      <c r="D364" s="16" t="s">
        <v>1483</v>
      </c>
      <c r="E364" s="50">
        <v>50</v>
      </c>
      <c r="F364" s="50">
        <v>0</v>
      </c>
      <c r="G364" s="16">
        <v>1</v>
      </c>
      <c r="H364" s="16" t="s">
        <v>1023</v>
      </c>
      <c r="I364" s="16" t="s">
        <v>1016</v>
      </c>
      <c r="J364" s="16" t="s">
        <v>2382</v>
      </c>
      <c r="K364" s="16">
        <v>50</v>
      </c>
      <c r="L364" s="16">
        <v>50</v>
      </c>
      <c r="M364" s="64"/>
      <c r="N364" s="64"/>
      <c r="O364" s="49" t="str">
        <f t="shared" si="55"/>
        <v>YES</v>
      </c>
      <c r="P364" s="52"/>
      <c r="Q364" s="53">
        <f t="shared" si="48"/>
        <v>5000</v>
      </c>
      <c r="R364" s="54">
        <f t="shared" si="49"/>
        <v>2500</v>
      </c>
      <c r="S364" s="55" t="str">
        <f t="shared" si="50"/>
        <v xml:space="preserve"> </v>
      </c>
      <c r="T364" s="56"/>
      <c r="U364" s="57" t="str">
        <f t="shared" si="51"/>
        <v>100µg/100cm²</v>
      </c>
      <c r="V364" s="58">
        <f t="shared" si="52"/>
        <v>2500</v>
      </c>
      <c r="W364" s="58" t="str">
        <f t="shared" si="53"/>
        <v xml:space="preserve"> </v>
      </c>
      <c r="X364" s="59" t="str">
        <f t="shared" si="54"/>
        <v/>
      </c>
      <c r="Y364" s="60"/>
      <c r="Z364" s="64"/>
      <c r="AA364" s="64"/>
      <c r="AB364" s="64"/>
      <c r="AC364" s="64"/>
      <c r="AD364" s="64"/>
      <c r="AE364" s="64"/>
      <c r="AF364" s="16" t="s">
        <v>675</v>
      </c>
      <c r="AG364" s="16" t="s">
        <v>675</v>
      </c>
      <c r="AH364" s="64"/>
      <c r="AI364" s="64"/>
      <c r="AJ364" s="64"/>
      <c r="AK364" s="64"/>
      <c r="AL364" s="64"/>
      <c r="AM364" s="16" t="s">
        <v>675</v>
      </c>
      <c r="AN364" s="64"/>
      <c r="AO364" s="64"/>
      <c r="AP364" s="64"/>
      <c r="AQ364" s="64"/>
      <c r="AR364" s="64"/>
      <c r="AS364" s="64"/>
      <c r="AT364" s="16" t="s">
        <v>675</v>
      </c>
      <c r="AU364" s="82"/>
      <c r="AV364" s="82"/>
      <c r="AW364" s="82"/>
      <c r="AX364" s="64"/>
      <c r="AY364" s="64"/>
      <c r="AZ364" s="64"/>
      <c r="BA364" s="64"/>
      <c r="BB364" s="64"/>
      <c r="BC364" s="64"/>
      <c r="BD364" s="16" t="s">
        <v>675</v>
      </c>
      <c r="BE364" s="64"/>
      <c r="BF364" s="64"/>
      <c r="BG364" s="16" t="s">
        <v>675</v>
      </c>
      <c r="BH364" s="64"/>
      <c r="BI364" s="64"/>
      <c r="BJ364" s="64"/>
      <c r="BK364" s="16" t="s">
        <v>675</v>
      </c>
      <c r="BL364" s="64"/>
      <c r="BM364" s="64"/>
      <c r="BN364" s="64"/>
      <c r="BO364" s="64"/>
      <c r="BP364" s="64"/>
      <c r="BQ364" s="64"/>
      <c r="BR364" s="64"/>
      <c r="BS364" s="16" t="s">
        <v>675</v>
      </c>
      <c r="BT364" s="65"/>
    </row>
    <row r="365" spans="1:92" ht="18" hidden="1" customHeight="1" x14ac:dyDescent="0.3">
      <c r="A365" s="81" t="s">
        <v>904</v>
      </c>
      <c r="B365" s="76" t="s">
        <v>459</v>
      </c>
      <c r="C365" s="16" t="s">
        <v>1499</v>
      </c>
      <c r="D365" s="16" t="s">
        <v>1483</v>
      </c>
      <c r="E365" s="50">
        <v>50</v>
      </c>
      <c r="F365" s="50">
        <v>0</v>
      </c>
      <c r="G365" s="16">
        <v>1</v>
      </c>
      <c r="H365" s="16" t="s">
        <v>1023</v>
      </c>
      <c r="I365" s="16" t="s">
        <v>1016</v>
      </c>
      <c r="J365" s="16" t="s">
        <v>2382</v>
      </c>
      <c r="K365" s="16">
        <v>50</v>
      </c>
      <c r="L365" s="16">
        <v>50</v>
      </c>
      <c r="M365" s="64"/>
      <c r="N365" s="64"/>
      <c r="O365" s="49" t="str">
        <f t="shared" si="55"/>
        <v>YES</v>
      </c>
      <c r="P365" s="52"/>
      <c r="Q365" s="53">
        <f t="shared" si="48"/>
        <v>5000</v>
      </c>
      <c r="R365" s="54">
        <f t="shared" si="49"/>
        <v>2500</v>
      </c>
      <c r="S365" s="55" t="str">
        <f t="shared" si="50"/>
        <v xml:space="preserve"> </v>
      </c>
      <c r="T365" s="56"/>
      <c r="U365" s="57" t="str">
        <f t="shared" si="51"/>
        <v>100µg/100cm²</v>
      </c>
      <c r="V365" s="58">
        <f t="shared" si="52"/>
        <v>2500</v>
      </c>
      <c r="W365" s="58" t="str">
        <f t="shared" si="53"/>
        <v xml:space="preserve"> </v>
      </c>
      <c r="X365" s="59" t="str">
        <f t="shared" si="54"/>
        <v/>
      </c>
      <c r="Y365" s="60"/>
      <c r="Z365" s="64"/>
      <c r="AA365" s="64"/>
      <c r="AB365" s="64"/>
      <c r="AC365" s="64"/>
      <c r="AD365" s="64"/>
      <c r="AE365" s="64"/>
      <c r="AF365" s="16" t="s">
        <v>675</v>
      </c>
      <c r="AG365" s="16" t="s">
        <v>675</v>
      </c>
      <c r="AH365" s="64"/>
      <c r="AI365" s="64"/>
      <c r="AJ365" s="64"/>
      <c r="AK365" s="16" t="s">
        <v>675</v>
      </c>
      <c r="AL365" s="64"/>
      <c r="AM365" s="16" t="s">
        <v>675</v>
      </c>
      <c r="AN365" s="64"/>
      <c r="AO365" s="64"/>
      <c r="AP365" s="64"/>
      <c r="AQ365" s="64"/>
      <c r="AR365" s="64"/>
      <c r="AS365" s="64"/>
      <c r="AT365" s="16" t="s">
        <v>675</v>
      </c>
      <c r="AU365" s="82"/>
      <c r="AV365" s="82"/>
      <c r="AW365" s="82"/>
      <c r="AX365" s="64"/>
      <c r="AY365" s="64"/>
      <c r="AZ365" s="64"/>
      <c r="BA365" s="64"/>
      <c r="BB365" s="64"/>
      <c r="BC365" s="64"/>
      <c r="BD365" s="16" t="s">
        <v>675</v>
      </c>
      <c r="BE365" s="64"/>
      <c r="BF365" s="64"/>
      <c r="BG365" s="16" t="s">
        <v>675</v>
      </c>
      <c r="BH365" s="64"/>
      <c r="BI365" s="64"/>
      <c r="BJ365" s="64"/>
      <c r="BK365" s="64"/>
      <c r="BL365" s="64"/>
      <c r="BM365" s="64"/>
      <c r="BN365" s="64"/>
      <c r="BO365" s="64"/>
      <c r="BP365" s="64"/>
      <c r="BQ365" s="64"/>
      <c r="BR365" s="64"/>
      <c r="BS365" s="16" t="s">
        <v>675</v>
      </c>
      <c r="BT365" s="65"/>
    </row>
    <row r="366" spans="1:92" ht="18" hidden="1" customHeight="1" x14ac:dyDescent="0.3">
      <c r="A366" s="81" t="s">
        <v>268</v>
      </c>
      <c r="B366" s="76" t="s">
        <v>459</v>
      </c>
      <c r="C366" s="16" t="s">
        <v>1499</v>
      </c>
      <c r="D366" s="16" t="s">
        <v>1483</v>
      </c>
      <c r="E366" s="50">
        <v>50</v>
      </c>
      <c r="F366" s="50">
        <v>0</v>
      </c>
      <c r="G366" s="16">
        <v>1</v>
      </c>
      <c r="H366" s="16" t="s">
        <v>1023</v>
      </c>
      <c r="I366" s="16" t="s">
        <v>1016</v>
      </c>
      <c r="J366" s="16" t="s">
        <v>2382</v>
      </c>
      <c r="K366" s="16">
        <v>50</v>
      </c>
      <c r="L366" s="16">
        <v>50</v>
      </c>
      <c r="M366" s="64"/>
      <c r="N366" s="64"/>
      <c r="O366" s="49" t="str">
        <f t="shared" si="55"/>
        <v>YES</v>
      </c>
      <c r="P366" s="52"/>
      <c r="Q366" s="53">
        <f t="shared" si="48"/>
        <v>5000</v>
      </c>
      <c r="R366" s="54">
        <f t="shared" si="49"/>
        <v>2500</v>
      </c>
      <c r="S366" s="55" t="str">
        <f t="shared" si="50"/>
        <v xml:space="preserve"> </v>
      </c>
      <c r="T366" s="56"/>
      <c r="U366" s="57" t="str">
        <f t="shared" si="51"/>
        <v>100µg/100cm²</v>
      </c>
      <c r="V366" s="58">
        <f t="shared" si="52"/>
        <v>2500</v>
      </c>
      <c r="W366" s="58" t="str">
        <f t="shared" si="53"/>
        <v xml:space="preserve"> </v>
      </c>
      <c r="X366" s="59" t="str">
        <f t="shared" si="54"/>
        <v/>
      </c>
      <c r="Y366" s="60"/>
      <c r="Z366" s="64"/>
      <c r="AA366" s="64"/>
      <c r="AB366" s="64"/>
      <c r="AC366" s="64"/>
      <c r="AD366" s="64"/>
      <c r="AE366" s="64"/>
      <c r="AF366" s="16" t="s">
        <v>675</v>
      </c>
      <c r="AG366" s="16" t="s">
        <v>675</v>
      </c>
      <c r="AH366" s="64"/>
      <c r="AI366" s="64"/>
      <c r="AJ366" s="64"/>
      <c r="AK366" s="64"/>
      <c r="AL366" s="16" t="s">
        <v>675</v>
      </c>
      <c r="AM366" s="16" t="s">
        <v>675</v>
      </c>
      <c r="AN366" s="64"/>
      <c r="AO366" s="64"/>
      <c r="AP366" s="64"/>
      <c r="AQ366" s="64"/>
      <c r="AR366" s="64"/>
      <c r="AS366" s="64"/>
      <c r="AT366" s="16" t="s">
        <v>675</v>
      </c>
      <c r="AU366" s="82"/>
      <c r="AV366" s="82"/>
      <c r="AW366" s="82"/>
      <c r="AX366" s="64"/>
      <c r="AY366" s="64"/>
      <c r="AZ366" s="64"/>
      <c r="BA366" s="64"/>
      <c r="BB366" s="64"/>
      <c r="BC366" s="64"/>
      <c r="BD366" s="16" t="s">
        <v>675</v>
      </c>
      <c r="BE366" s="64"/>
      <c r="BF366" s="64"/>
      <c r="BG366" s="16" t="s">
        <v>675</v>
      </c>
      <c r="BH366" s="64"/>
      <c r="BI366" s="64"/>
      <c r="BJ366" s="64"/>
      <c r="BK366" s="64"/>
      <c r="BL366" s="64"/>
      <c r="BM366" s="64"/>
      <c r="BN366" s="64"/>
      <c r="BO366" s="64"/>
      <c r="BP366" s="64"/>
      <c r="BQ366" s="64"/>
      <c r="BR366" s="64"/>
      <c r="BS366" s="16" t="s">
        <v>675</v>
      </c>
      <c r="BT366" s="65"/>
    </row>
    <row r="367" spans="1:92" ht="18" hidden="1" customHeight="1" x14ac:dyDescent="0.3">
      <c r="A367" s="47" t="s">
        <v>32</v>
      </c>
      <c r="B367" s="48" t="s">
        <v>33</v>
      </c>
      <c r="C367" s="16" t="s">
        <v>2149</v>
      </c>
      <c r="D367" s="49" t="s">
        <v>1060</v>
      </c>
      <c r="E367" s="50">
        <v>54.9</v>
      </c>
      <c r="F367" s="50">
        <v>0</v>
      </c>
      <c r="G367" s="61">
        <v>4</v>
      </c>
      <c r="H367" s="16">
        <v>24.26</v>
      </c>
      <c r="I367" s="49" t="s">
        <v>1016</v>
      </c>
      <c r="J367" s="16" t="s">
        <v>2386</v>
      </c>
      <c r="K367" s="49">
        <v>50</v>
      </c>
      <c r="L367" s="49">
        <v>50</v>
      </c>
      <c r="M367" s="64"/>
      <c r="N367" s="64"/>
      <c r="O367" s="49" t="str">
        <f t="shared" si="55"/>
        <v>YES</v>
      </c>
      <c r="P367" s="52"/>
      <c r="Q367" s="53">
        <f t="shared" si="48"/>
        <v>5000</v>
      </c>
      <c r="R367" s="54">
        <f t="shared" si="49"/>
        <v>2745</v>
      </c>
      <c r="S367" s="55" t="str">
        <f t="shared" si="50"/>
        <v xml:space="preserve"> </v>
      </c>
      <c r="T367" s="56"/>
      <c r="U367" s="57" t="str">
        <f t="shared" si="51"/>
        <v>100µg/100cm²</v>
      </c>
      <c r="V367" s="58">
        <f t="shared" si="52"/>
        <v>2745</v>
      </c>
      <c r="W367" s="58" t="str">
        <f t="shared" si="53"/>
        <v xml:space="preserve"> </v>
      </c>
      <c r="X367" s="59" t="str">
        <f t="shared" si="54"/>
        <v/>
      </c>
      <c r="Y367" s="60"/>
      <c r="Z367" s="64"/>
      <c r="AA367" s="64"/>
      <c r="AB367" s="16" t="s">
        <v>675</v>
      </c>
      <c r="AC367" s="64"/>
      <c r="AD367" s="16" t="s">
        <v>675</v>
      </c>
      <c r="AE367" s="16" t="s">
        <v>675</v>
      </c>
      <c r="AF367" s="16" t="s">
        <v>675</v>
      </c>
      <c r="AG367" s="64"/>
      <c r="AH367" s="16" t="s">
        <v>675</v>
      </c>
      <c r="AI367" s="16" t="s">
        <v>675</v>
      </c>
      <c r="AJ367" s="64"/>
      <c r="AK367" s="16" t="s">
        <v>675</v>
      </c>
      <c r="AL367" s="16" t="s">
        <v>675</v>
      </c>
      <c r="AM367" s="16" t="s">
        <v>675</v>
      </c>
      <c r="AN367" s="16" t="s">
        <v>675</v>
      </c>
      <c r="AO367" s="64"/>
      <c r="AP367" s="16" t="s">
        <v>675</v>
      </c>
      <c r="AQ367" s="16" t="s">
        <v>675</v>
      </c>
      <c r="AR367" s="64"/>
      <c r="AS367" s="16" t="s">
        <v>675</v>
      </c>
      <c r="AT367" s="16" t="s">
        <v>675</v>
      </c>
      <c r="AU367" s="64"/>
      <c r="AV367" s="64"/>
      <c r="AW367" s="64"/>
      <c r="AX367" s="16" t="s">
        <v>675</v>
      </c>
      <c r="AY367" s="64"/>
      <c r="AZ367" s="64"/>
      <c r="BA367" s="64"/>
      <c r="BB367" s="64"/>
      <c r="BC367" s="64"/>
      <c r="BD367" s="64"/>
      <c r="BE367" s="64"/>
      <c r="BF367" s="64"/>
      <c r="BG367" s="16" t="s">
        <v>675</v>
      </c>
      <c r="BH367" s="64"/>
      <c r="BI367" s="64"/>
      <c r="BJ367" s="64"/>
      <c r="BK367" s="64"/>
      <c r="BL367" s="64"/>
      <c r="BM367" s="64"/>
      <c r="BN367" s="64"/>
      <c r="BO367" s="64"/>
      <c r="BP367" s="64"/>
      <c r="BQ367" s="64"/>
      <c r="BR367" s="64"/>
      <c r="BS367" s="16" t="s">
        <v>675</v>
      </c>
      <c r="BT367" s="65"/>
    </row>
    <row r="368" spans="1:92" ht="18" hidden="1" customHeight="1" x14ac:dyDescent="0.3">
      <c r="A368" s="84" t="s">
        <v>167</v>
      </c>
      <c r="B368" s="70" t="s">
        <v>299</v>
      </c>
      <c r="C368" s="16" t="s">
        <v>2150</v>
      </c>
      <c r="D368" s="49" t="s">
        <v>1060</v>
      </c>
      <c r="E368" s="50">
        <v>49.32</v>
      </c>
      <c r="F368" s="50">
        <v>0</v>
      </c>
      <c r="G368" s="61">
        <v>2</v>
      </c>
      <c r="H368" s="16" t="s">
        <v>1204</v>
      </c>
      <c r="I368" s="49" t="s">
        <v>1016</v>
      </c>
      <c r="J368" s="16" t="s">
        <v>2386</v>
      </c>
      <c r="K368" s="49">
        <v>50</v>
      </c>
      <c r="L368" s="49">
        <v>50</v>
      </c>
      <c r="M368" s="64"/>
      <c r="N368" s="64"/>
      <c r="O368" s="49" t="str">
        <f t="shared" si="55"/>
        <v>YES</v>
      </c>
      <c r="P368" s="52"/>
      <c r="Q368" s="53">
        <f t="shared" si="48"/>
        <v>5000</v>
      </c>
      <c r="R368" s="54">
        <f t="shared" si="49"/>
        <v>2466</v>
      </c>
      <c r="S368" s="55" t="str">
        <f t="shared" si="50"/>
        <v xml:space="preserve"> </v>
      </c>
      <c r="T368" s="56"/>
      <c r="U368" s="57" t="str">
        <f t="shared" si="51"/>
        <v>100µg/100cm²</v>
      </c>
      <c r="V368" s="58">
        <f t="shared" si="52"/>
        <v>2466</v>
      </c>
      <c r="W368" s="58" t="str">
        <f t="shared" si="53"/>
        <v xml:space="preserve"> </v>
      </c>
      <c r="X368" s="59" t="str">
        <f t="shared" si="54"/>
        <v/>
      </c>
      <c r="Y368" s="60"/>
      <c r="Z368" s="64"/>
      <c r="AA368" s="64"/>
      <c r="AB368" s="64"/>
      <c r="AC368" s="64"/>
      <c r="AD368" s="16" t="s">
        <v>675</v>
      </c>
      <c r="AE368" s="64"/>
      <c r="AF368" s="64"/>
      <c r="AG368" s="64"/>
      <c r="AH368" s="64"/>
      <c r="AI368" s="16" t="s">
        <v>675</v>
      </c>
      <c r="AJ368" s="64"/>
      <c r="AK368" s="64"/>
      <c r="AL368" s="64"/>
      <c r="AM368" s="16" t="s">
        <v>675</v>
      </c>
      <c r="AN368" s="64"/>
      <c r="AO368" s="64"/>
      <c r="AP368" s="64"/>
      <c r="AQ368" s="16" t="s">
        <v>675</v>
      </c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/>
      <c r="BD368" s="64"/>
      <c r="BE368" s="64"/>
      <c r="BF368" s="64"/>
      <c r="BG368" s="64"/>
      <c r="BH368" s="64"/>
      <c r="BI368" s="64"/>
      <c r="BJ368" s="64"/>
      <c r="BK368" s="64"/>
      <c r="BL368" s="64"/>
      <c r="BM368" s="64"/>
      <c r="BN368" s="64"/>
      <c r="BO368" s="64"/>
      <c r="BP368" s="64"/>
      <c r="BQ368" s="64"/>
      <c r="BR368" s="64"/>
      <c r="BS368" s="64"/>
      <c r="BT368" s="65"/>
    </row>
    <row r="369" spans="1:72" ht="18" hidden="1" customHeight="1" x14ac:dyDescent="0.3">
      <c r="A369" s="47" t="s">
        <v>34</v>
      </c>
      <c r="B369" s="48" t="s">
        <v>35</v>
      </c>
      <c r="C369" s="49" t="s">
        <v>1345</v>
      </c>
      <c r="D369" s="49" t="s">
        <v>1060</v>
      </c>
      <c r="E369" s="50">
        <v>32.880000000000003</v>
      </c>
      <c r="F369" s="50">
        <v>0</v>
      </c>
      <c r="G369" s="61">
        <v>3</v>
      </c>
      <c r="H369" s="16">
        <v>100</v>
      </c>
      <c r="I369" s="49" t="s">
        <v>1016</v>
      </c>
      <c r="J369" s="16" t="s">
        <v>2386</v>
      </c>
      <c r="K369" s="49">
        <v>50</v>
      </c>
      <c r="L369" s="49">
        <v>50</v>
      </c>
      <c r="M369" s="64"/>
      <c r="N369" s="64"/>
      <c r="O369" s="49" t="str">
        <f t="shared" si="55"/>
        <v>YES</v>
      </c>
      <c r="P369" s="52"/>
      <c r="Q369" s="53">
        <f t="shared" si="48"/>
        <v>5000</v>
      </c>
      <c r="R369" s="54">
        <f t="shared" si="49"/>
        <v>1644</v>
      </c>
      <c r="S369" s="55" t="str">
        <f t="shared" si="50"/>
        <v xml:space="preserve"> </v>
      </c>
      <c r="T369" s="56"/>
      <c r="U369" s="57" t="str">
        <f t="shared" si="51"/>
        <v>100µg/100cm²</v>
      </c>
      <c r="V369" s="58">
        <f t="shared" si="52"/>
        <v>1644</v>
      </c>
      <c r="W369" s="58" t="str">
        <f t="shared" si="53"/>
        <v xml:space="preserve"> </v>
      </c>
      <c r="X369" s="59" t="str">
        <f t="shared" si="54"/>
        <v/>
      </c>
      <c r="Y369" s="60"/>
      <c r="Z369" s="64"/>
      <c r="AA369" s="64"/>
      <c r="AB369" s="16" t="s">
        <v>675</v>
      </c>
      <c r="AC369" s="64"/>
      <c r="AD369" s="64"/>
      <c r="AE369" s="16" t="s">
        <v>675</v>
      </c>
      <c r="AF369" s="16" t="s">
        <v>675</v>
      </c>
      <c r="AG369" s="64"/>
      <c r="AH369" s="16" t="s">
        <v>675</v>
      </c>
      <c r="AI369" s="16" t="s">
        <v>675</v>
      </c>
      <c r="AJ369" s="64"/>
      <c r="AK369" s="16" t="s">
        <v>675</v>
      </c>
      <c r="AL369" s="16" t="s">
        <v>675</v>
      </c>
      <c r="AM369" s="16" t="s">
        <v>675</v>
      </c>
      <c r="AN369" s="16" t="s">
        <v>675</v>
      </c>
      <c r="AO369" s="64"/>
      <c r="AP369" s="16" t="s">
        <v>675</v>
      </c>
      <c r="AQ369" s="64"/>
      <c r="AR369" s="64"/>
      <c r="AS369" s="64"/>
      <c r="AT369" s="16" t="s">
        <v>675</v>
      </c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F369" s="64"/>
      <c r="BG369" s="16" t="s">
        <v>675</v>
      </c>
      <c r="BH369" s="64"/>
      <c r="BI369" s="64"/>
      <c r="BJ369" s="64"/>
      <c r="BK369" s="64"/>
      <c r="BL369" s="64"/>
      <c r="BM369" s="64"/>
      <c r="BN369" s="64"/>
      <c r="BO369" s="64"/>
      <c r="BP369" s="64"/>
      <c r="BQ369" s="64"/>
      <c r="BR369" s="64"/>
      <c r="BS369" s="16" t="s">
        <v>675</v>
      </c>
      <c r="BT369" s="65"/>
    </row>
    <row r="370" spans="1:72" ht="18" hidden="1" customHeight="1" x14ac:dyDescent="0.3">
      <c r="A370" s="77" t="s">
        <v>342</v>
      </c>
      <c r="B370" s="78" t="s">
        <v>524</v>
      </c>
      <c r="C370" s="16" t="s">
        <v>2151</v>
      </c>
      <c r="D370" s="49" t="s">
        <v>1060</v>
      </c>
      <c r="E370" s="50">
        <v>39.5</v>
      </c>
      <c r="F370" s="50">
        <v>0</v>
      </c>
      <c r="G370" s="61">
        <v>2</v>
      </c>
      <c r="H370" s="16">
        <v>650</v>
      </c>
      <c r="I370" s="49" t="s">
        <v>1016</v>
      </c>
      <c r="J370" s="16" t="s">
        <v>2386</v>
      </c>
      <c r="K370" s="49">
        <v>50</v>
      </c>
      <c r="L370" s="49">
        <v>50</v>
      </c>
      <c r="M370" s="64"/>
      <c r="N370" s="64"/>
      <c r="O370" s="49" t="str">
        <f t="shared" si="55"/>
        <v>YES</v>
      </c>
      <c r="P370" s="52"/>
      <c r="Q370" s="53">
        <f t="shared" si="48"/>
        <v>5000</v>
      </c>
      <c r="R370" s="54">
        <f t="shared" si="49"/>
        <v>1975</v>
      </c>
      <c r="S370" s="55" t="str">
        <f t="shared" si="50"/>
        <v xml:space="preserve"> </v>
      </c>
      <c r="T370" s="56"/>
      <c r="U370" s="57" t="str">
        <f t="shared" si="51"/>
        <v>100µg/100cm²</v>
      </c>
      <c r="V370" s="58">
        <f t="shared" si="52"/>
        <v>1975</v>
      </c>
      <c r="W370" s="58" t="str">
        <f t="shared" si="53"/>
        <v xml:space="preserve"> </v>
      </c>
      <c r="X370" s="59" t="str">
        <f t="shared" si="54"/>
        <v/>
      </c>
      <c r="Y370" s="60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16" t="s">
        <v>675</v>
      </c>
      <c r="AO370" s="64"/>
      <c r="AP370" s="16" t="s">
        <v>675</v>
      </c>
      <c r="AQ370" s="64"/>
      <c r="AR370" s="64"/>
      <c r="AS370" s="16" t="s">
        <v>675</v>
      </c>
      <c r="AT370" s="64"/>
      <c r="AU370" s="64"/>
      <c r="AV370" s="64"/>
      <c r="AW370" s="64"/>
      <c r="AX370" s="16" t="s">
        <v>675</v>
      </c>
      <c r="AY370" s="64"/>
      <c r="AZ370" s="64"/>
      <c r="BA370" s="64"/>
      <c r="BB370" s="64"/>
      <c r="BC370" s="64"/>
      <c r="BD370" s="64"/>
      <c r="BE370" s="64"/>
      <c r="BF370" s="64"/>
      <c r="BG370" s="16" t="s">
        <v>675</v>
      </c>
      <c r="BH370" s="64"/>
      <c r="BI370" s="64"/>
      <c r="BJ370" s="64"/>
      <c r="BK370" s="64"/>
      <c r="BL370" s="64"/>
      <c r="BM370" s="64"/>
      <c r="BN370" s="64"/>
      <c r="BO370" s="64"/>
      <c r="BP370" s="64"/>
      <c r="BQ370" s="64"/>
      <c r="BR370" s="64"/>
      <c r="BS370" s="16" t="s">
        <v>675</v>
      </c>
      <c r="BT370" s="65"/>
    </row>
    <row r="371" spans="1:72" ht="18" hidden="1" customHeight="1" x14ac:dyDescent="0.3">
      <c r="A371" s="47" t="s">
        <v>1983</v>
      </c>
      <c r="B371" s="48" t="s">
        <v>1984</v>
      </c>
      <c r="C371" s="49" t="s">
        <v>1068</v>
      </c>
      <c r="D371" s="49" t="s">
        <v>1060</v>
      </c>
      <c r="E371" s="50">
        <v>40.270000000000003</v>
      </c>
      <c r="F371" s="50">
        <v>0</v>
      </c>
      <c r="G371" s="61">
        <v>3</v>
      </c>
      <c r="H371" s="16">
        <v>56.6</v>
      </c>
      <c r="I371" s="49" t="s">
        <v>1016</v>
      </c>
      <c r="J371" s="16" t="s">
        <v>1069</v>
      </c>
      <c r="K371" s="49">
        <v>360</v>
      </c>
      <c r="L371" s="49">
        <v>3200</v>
      </c>
      <c r="M371" s="62" t="s">
        <v>1053</v>
      </c>
      <c r="N371" s="51"/>
      <c r="O371" s="49" t="str">
        <f t="shared" si="55"/>
        <v>YES</v>
      </c>
      <c r="P371" s="52"/>
      <c r="Q371" s="53">
        <f t="shared" si="48"/>
        <v>5000</v>
      </c>
      <c r="R371" s="54">
        <f t="shared" si="49"/>
        <v>2013.5</v>
      </c>
      <c r="S371" s="55" t="str">
        <f t="shared" si="50"/>
        <v xml:space="preserve"> </v>
      </c>
      <c r="T371" s="56"/>
      <c r="U371" s="57" t="str">
        <f t="shared" si="51"/>
        <v>100µg/100cm²</v>
      </c>
      <c r="V371" s="58">
        <f t="shared" si="52"/>
        <v>2013.5</v>
      </c>
      <c r="W371" s="58" t="str">
        <f t="shared" si="53"/>
        <v xml:space="preserve"> </v>
      </c>
      <c r="X371" s="59" t="str">
        <f t="shared" si="54"/>
        <v/>
      </c>
      <c r="Y371" s="60"/>
      <c r="Z371" s="16" t="s">
        <v>675</v>
      </c>
      <c r="AA371" s="64"/>
      <c r="AB371" s="16" t="s">
        <v>675</v>
      </c>
      <c r="AC371" s="64"/>
      <c r="AD371" s="16" t="s">
        <v>675</v>
      </c>
      <c r="AE371" s="16" t="s">
        <v>675</v>
      </c>
      <c r="AF371" s="16" t="s">
        <v>675</v>
      </c>
      <c r="AG371" s="64"/>
      <c r="AH371" s="16" t="s">
        <v>675</v>
      </c>
      <c r="AI371" s="16" t="s">
        <v>675</v>
      </c>
      <c r="AJ371" s="64"/>
      <c r="AK371" s="16" t="s">
        <v>675</v>
      </c>
      <c r="AL371" s="16" t="s">
        <v>675</v>
      </c>
      <c r="AM371" s="16" t="s">
        <v>675</v>
      </c>
      <c r="AN371" s="16" t="s">
        <v>675</v>
      </c>
      <c r="AO371" s="64"/>
      <c r="AP371" s="16" t="s">
        <v>675</v>
      </c>
      <c r="AQ371" s="16" t="s">
        <v>675</v>
      </c>
      <c r="AR371" s="64"/>
      <c r="AS371" s="16" t="s">
        <v>675</v>
      </c>
      <c r="AT371" s="16" t="s">
        <v>675</v>
      </c>
      <c r="AU371" s="64"/>
      <c r="AV371" s="64"/>
      <c r="AW371" s="64"/>
      <c r="AX371" s="16" t="s">
        <v>675</v>
      </c>
      <c r="AY371" s="64"/>
      <c r="AZ371" s="64"/>
      <c r="BA371" s="64"/>
      <c r="BB371" s="64"/>
      <c r="BC371" s="64"/>
      <c r="BD371" s="64"/>
      <c r="BE371" s="16" t="s">
        <v>675</v>
      </c>
      <c r="BF371" s="64"/>
      <c r="BG371" s="16" t="s">
        <v>675</v>
      </c>
      <c r="BH371" s="64"/>
      <c r="BI371" s="64"/>
      <c r="BJ371" s="64"/>
      <c r="BK371" s="64"/>
      <c r="BL371" s="64"/>
      <c r="BM371" s="64"/>
      <c r="BN371" s="64"/>
      <c r="BO371" s="64"/>
      <c r="BP371" s="64"/>
      <c r="BQ371" s="64"/>
      <c r="BR371" s="64"/>
      <c r="BS371" s="16" t="s">
        <v>675</v>
      </c>
      <c r="BT371" s="65"/>
    </row>
    <row r="372" spans="1:72" ht="18" hidden="1" customHeight="1" x14ac:dyDescent="0.3">
      <c r="A372" s="47" t="s">
        <v>102</v>
      </c>
      <c r="B372" s="48" t="s">
        <v>103</v>
      </c>
      <c r="C372" s="16" t="s">
        <v>2152</v>
      </c>
      <c r="D372" s="49" t="s">
        <v>1060</v>
      </c>
      <c r="E372" s="50">
        <v>33.33</v>
      </c>
      <c r="F372" s="50">
        <v>0</v>
      </c>
      <c r="G372" s="61">
        <v>3</v>
      </c>
      <c r="H372" s="16" t="s">
        <v>1038</v>
      </c>
      <c r="I372" s="48" t="s">
        <v>1016</v>
      </c>
      <c r="J372" s="16" t="s">
        <v>1067</v>
      </c>
      <c r="K372" s="49">
        <v>360</v>
      </c>
      <c r="L372" s="49">
        <v>3200</v>
      </c>
      <c r="M372" s="62" t="s">
        <v>1053</v>
      </c>
      <c r="N372" s="51"/>
      <c r="O372" s="49" t="str">
        <f t="shared" si="55"/>
        <v>YES</v>
      </c>
      <c r="P372" s="52"/>
      <c r="Q372" s="53">
        <f t="shared" si="48"/>
        <v>5000</v>
      </c>
      <c r="R372" s="54">
        <f t="shared" si="49"/>
        <v>1666.5</v>
      </c>
      <c r="S372" s="55" t="str">
        <f t="shared" si="50"/>
        <v xml:space="preserve"> </v>
      </c>
      <c r="T372" s="56"/>
      <c r="U372" s="57" t="str">
        <f t="shared" si="51"/>
        <v>100µg/100cm²</v>
      </c>
      <c r="V372" s="58">
        <f t="shared" si="52"/>
        <v>1666.5</v>
      </c>
      <c r="W372" s="58" t="str">
        <f t="shared" si="53"/>
        <v xml:space="preserve"> </v>
      </c>
      <c r="X372" s="59" t="str">
        <f t="shared" si="54"/>
        <v/>
      </c>
      <c r="Y372" s="60"/>
      <c r="Z372" s="64"/>
      <c r="AA372" s="64"/>
      <c r="AB372" s="64"/>
      <c r="AC372" s="16" t="s">
        <v>675</v>
      </c>
      <c r="AD372" s="64"/>
      <c r="AE372" s="64"/>
      <c r="AF372" s="64"/>
      <c r="AG372" s="64"/>
      <c r="AH372" s="64"/>
      <c r="AI372" s="64"/>
      <c r="AJ372" s="64"/>
      <c r="AK372" s="64"/>
      <c r="AL372" s="64"/>
      <c r="AM372" s="16" t="s">
        <v>675</v>
      </c>
      <c r="AN372" s="64"/>
      <c r="AO372" s="64"/>
      <c r="AP372" s="64"/>
      <c r="AQ372" s="64"/>
      <c r="AR372" s="64"/>
      <c r="AS372" s="16" t="s">
        <v>675</v>
      </c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F372" s="64"/>
      <c r="BG372" s="64"/>
      <c r="BH372" s="64"/>
      <c r="BI372" s="64"/>
      <c r="BJ372" s="64"/>
      <c r="BK372" s="64"/>
      <c r="BL372" s="64"/>
      <c r="BM372" s="64"/>
      <c r="BN372" s="64"/>
      <c r="BO372" s="64"/>
      <c r="BP372" s="64"/>
      <c r="BQ372" s="64"/>
      <c r="BR372" s="64"/>
      <c r="BS372" s="64"/>
      <c r="BT372" s="65"/>
    </row>
    <row r="373" spans="1:72" ht="18" hidden="1" customHeight="1" x14ac:dyDescent="0.3">
      <c r="A373" s="47" t="s">
        <v>36</v>
      </c>
      <c r="B373" s="48" t="s">
        <v>37</v>
      </c>
      <c r="C373" s="16" t="s">
        <v>2153</v>
      </c>
      <c r="D373" s="49" t="s">
        <v>1060</v>
      </c>
      <c r="E373" s="50">
        <v>65.400000000000006</v>
      </c>
      <c r="F373" s="50">
        <v>0</v>
      </c>
      <c r="G373" s="61">
        <v>4</v>
      </c>
      <c r="H373" s="16">
        <v>29.6</v>
      </c>
      <c r="I373" s="49" t="s">
        <v>1016</v>
      </c>
      <c r="J373" s="16" t="s">
        <v>2386</v>
      </c>
      <c r="K373" s="49">
        <v>50</v>
      </c>
      <c r="L373" s="49">
        <v>50</v>
      </c>
      <c r="M373" s="64"/>
      <c r="N373" s="64"/>
      <c r="O373" s="49" t="str">
        <f t="shared" si="55"/>
        <v>YES</v>
      </c>
      <c r="P373" s="52"/>
      <c r="Q373" s="53">
        <f t="shared" si="48"/>
        <v>5000</v>
      </c>
      <c r="R373" s="54">
        <f t="shared" si="49"/>
        <v>3270</v>
      </c>
      <c r="S373" s="55" t="str">
        <f t="shared" si="50"/>
        <v xml:space="preserve"> </v>
      </c>
      <c r="T373" s="56"/>
      <c r="U373" s="57" t="str">
        <f t="shared" si="51"/>
        <v>100µg/100cm²</v>
      </c>
      <c r="V373" s="58">
        <f t="shared" si="52"/>
        <v>3270</v>
      </c>
      <c r="W373" s="58" t="str">
        <f t="shared" si="53"/>
        <v xml:space="preserve"> </v>
      </c>
      <c r="X373" s="59" t="str">
        <f t="shared" si="54"/>
        <v/>
      </c>
      <c r="Y373" s="60"/>
      <c r="Z373" s="64"/>
      <c r="AA373" s="64"/>
      <c r="AB373" s="16" t="s">
        <v>675</v>
      </c>
      <c r="AC373" s="64"/>
      <c r="AD373" s="16" t="s">
        <v>675</v>
      </c>
      <c r="AE373" s="16" t="s">
        <v>675</v>
      </c>
      <c r="AF373" s="16" t="s">
        <v>675</v>
      </c>
      <c r="AG373" s="64"/>
      <c r="AH373" s="16" t="s">
        <v>675</v>
      </c>
      <c r="AI373" s="16" t="s">
        <v>675</v>
      </c>
      <c r="AJ373" s="64"/>
      <c r="AK373" s="16" t="s">
        <v>675</v>
      </c>
      <c r="AL373" s="16" t="s">
        <v>675</v>
      </c>
      <c r="AM373" s="16" t="s">
        <v>675</v>
      </c>
      <c r="AN373" s="16" t="s">
        <v>675</v>
      </c>
      <c r="AO373" s="64"/>
      <c r="AP373" s="16" t="s">
        <v>675</v>
      </c>
      <c r="AQ373" s="16" t="s">
        <v>675</v>
      </c>
      <c r="AR373" s="64"/>
      <c r="AS373" s="16" t="s">
        <v>675</v>
      </c>
      <c r="AT373" s="16" t="s">
        <v>675</v>
      </c>
      <c r="AU373" s="64"/>
      <c r="AV373" s="64"/>
      <c r="AW373" s="64"/>
      <c r="AX373" s="16" t="s">
        <v>675</v>
      </c>
      <c r="AY373" s="64"/>
      <c r="AZ373" s="64"/>
      <c r="BA373" s="64"/>
      <c r="BB373" s="64"/>
      <c r="BC373" s="64"/>
      <c r="BD373" s="64"/>
      <c r="BE373" s="64"/>
      <c r="BF373" s="64"/>
      <c r="BG373" s="16" t="s">
        <v>675</v>
      </c>
      <c r="BH373" s="64"/>
      <c r="BI373" s="64"/>
      <c r="BJ373" s="64"/>
      <c r="BK373" s="64"/>
      <c r="BL373" s="64"/>
      <c r="BM373" s="64"/>
      <c r="BN373" s="64"/>
      <c r="BO373" s="64"/>
      <c r="BP373" s="64"/>
      <c r="BQ373" s="64"/>
      <c r="BR373" s="64"/>
      <c r="BS373" s="16" t="s">
        <v>675</v>
      </c>
      <c r="BT373" s="65"/>
    </row>
    <row r="374" spans="1:72" ht="18" hidden="1" customHeight="1" x14ac:dyDescent="0.3">
      <c r="A374" s="47" t="s">
        <v>168</v>
      </c>
      <c r="B374" s="48" t="s">
        <v>197</v>
      </c>
      <c r="C374" s="16" t="s">
        <v>2154</v>
      </c>
      <c r="D374" s="49" t="s">
        <v>1060</v>
      </c>
      <c r="E374" s="50">
        <v>52.17</v>
      </c>
      <c r="F374" s="50">
        <v>0</v>
      </c>
      <c r="G374" s="61">
        <v>1</v>
      </c>
      <c r="H374" s="16">
        <v>1623</v>
      </c>
      <c r="I374" s="49" t="s">
        <v>1016</v>
      </c>
      <c r="J374" s="16" t="s">
        <v>2386</v>
      </c>
      <c r="K374" s="49">
        <v>50</v>
      </c>
      <c r="L374" s="49">
        <v>50</v>
      </c>
      <c r="M374" s="64"/>
      <c r="N374" s="64"/>
      <c r="O374" s="49" t="str">
        <f t="shared" si="55"/>
        <v>YES</v>
      </c>
      <c r="P374" s="52"/>
      <c r="Q374" s="53">
        <f t="shared" si="48"/>
        <v>5000</v>
      </c>
      <c r="R374" s="54">
        <f t="shared" si="49"/>
        <v>2608.5</v>
      </c>
      <c r="S374" s="55" t="str">
        <f t="shared" si="50"/>
        <v xml:space="preserve"> </v>
      </c>
      <c r="T374" s="56"/>
      <c r="U374" s="57" t="str">
        <f t="shared" si="51"/>
        <v>100µg/100cm²</v>
      </c>
      <c r="V374" s="58">
        <f t="shared" si="52"/>
        <v>2608.5</v>
      </c>
      <c r="W374" s="58" t="str">
        <f t="shared" si="53"/>
        <v xml:space="preserve"> </v>
      </c>
      <c r="X374" s="59" t="str">
        <f t="shared" si="54"/>
        <v/>
      </c>
      <c r="Y374" s="60"/>
      <c r="Z374" s="64"/>
      <c r="AA374" s="64"/>
      <c r="AB374" s="64"/>
      <c r="AC374" s="64"/>
      <c r="AD374" s="16" t="s">
        <v>675</v>
      </c>
      <c r="AE374" s="16" t="s">
        <v>675</v>
      </c>
      <c r="AF374" s="16" t="s">
        <v>675</v>
      </c>
      <c r="AG374" s="64"/>
      <c r="AH374" s="64"/>
      <c r="AI374" s="16" t="s">
        <v>675</v>
      </c>
      <c r="AJ374" s="16" t="s">
        <v>675</v>
      </c>
      <c r="AK374" s="64"/>
      <c r="AL374" s="64"/>
      <c r="AM374" s="16" t="s">
        <v>675</v>
      </c>
      <c r="AN374" s="16" t="s">
        <v>675</v>
      </c>
      <c r="AO374" s="64"/>
      <c r="AP374" s="16" t="s">
        <v>675</v>
      </c>
      <c r="AQ374" s="16" t="s">
        <v>675</v>
      </c>
      <c r="AR374" s="64"/>
      <c r="AS374" s="16" t="s">
        <v>675</v>
      </c>
      <c r="AT374" s="16" t="s">
        <v>675</v>
      </c>
      <c r="AU374" s="64"/>
      <c r="AV374" s="64"/>
      <c r="AW374" s="64"/>
      <c r="AX374" s="16" t="s">
        <v>675</v>
      </c>
      <c r="AY374" s="64"/>
      <c r="AZ374" s="64"/>
      <c r="BA374" s="64"/>
      <c r="BB374" s="64"/>
      <c r="BC374" s="64"/>
      <c r="BD374" s="64"/>
      <c r="BE374" s="64"/>
      <c r="BF374" s="64"/>
      <c r="BG374" s="16" t="s">
        <v>675</v>
      </c>
      <c r="BH374" s="64"/>
      <c r="BI374" s="64"/>
      <c r="BJ374" s="64"/>
      <c r="BK374" s="64"/>
      <c r="BL374" s="64"/>
      <c r="BM374" s="64"/>
      <c r="BN374" s="64"/>
      <c r="BO374" s="64"/>
      <c r="BP374" s="64"/>
      <c r="BQ374" s="64"/>
      <c r="BR374" s="64"/>
      <c r="BS374" s="16" t="s">
        <v>675</v>
      </c>
      <c r="BT374" s="65"/>
    </row>
    <row r="375" spans="1:72" ht="18" hidden="1" customHeight="1" x14ac:dyDescent="0.3">
      <c r="A375" s="47" t="s">
        <v>38</v>
      </c>
      <c r="B375" s="48" t="s">
        <v>39</v>
      </c>
      <c r="C375" s="16" t="s">
        <v>2155</v>
      </c>
      <c r="D375" s="49" t="s">
        <v>1060</v>
      </c>
      <c r="E375" s="50">
        <v>34.29</v>
      </c>
      <c r="F375" s="50">
        <v>0</v>
      </c>
      <c r="G375" s="61">
        <v>2</v>
      </c>
      <c r="H375" s="16">
        <v>425</v>
      </c>
      <c r="I375" s="49" t="s">
        <v>1016</v>
      </c>
      <c r="J375" s="16" t="s">
        <v>2386</v>
      </c>
      <c r="K375" s="49">
        <v>50</v>
      </c>
      <c r="L375" s="49">
        <v>50</v>
      </c>
      <c r="M375" s="64"/>
      <c r="N375" s="64"/>
      <c r="O375" s="49" t="str">
        <f t="shared" si="55"/>
        <v>YES</v>
      </c>
      <c r="P375" s="52"/>
      <c r="Q375" s="53">
        <f t="shared" si="48"/>
        <v>5000</v>
      </c>
      <c r="R375" s="54">
        <f t="shared" si="49"/>
        <v>1714.5</v>
      </c>
      <c r="S375" s="55" t="str">
        <f t="shared" si="50"/>
        <v xml:space="preserve"> </v>
      </c>
      <c r="T375" s="56"/>
      <c r="U375" s="57" t="str">
        <f t="shared" si="51"/>
        <v>100µg/100cm²</v>
      </c>
      <c r="V375" s="58">
        <f t="shared" si="52"/>
        <v>1714.5</v>
      </c>
      <c r="W375" s="58" t="str">
        <f t="shared" si="53"/>
        <v xml:space="preserve"> </v>
      </c>
      <c r="X375" s="59" t="str">
        <f t="shared" si="54"/>
        <v/>
      </c>
      <c r="Y375" s="60"/>
      <c r="Z375" s="64"/>
      <c r="AA375" s="64"/>
      <c r="AB375" s="16" t="s">
        <v>675</v>
      </c>
      <c r="AC375" s="64"/>
      <c r="AD375" s="16" t="s">
        <v>675</v>
      </c>
      <c r="AE375" s="16" t="s">
        <v>675</v>
      </c>
      <c r="AF375" s="16" t="s">
        <v>675</v>
      </c>
      <c r="AG375" s="64"/>
      <c r="AH375" s="16" t="s">
        <v>675</v>
      </c>
      <c r="AI375" s="16" t="s">
        <v>675</v>
      </c>
      <c r="AJ375" s="64"/>
      <c r="AK375" s="16" t="s">
        <v>675</v>
      </c>
      <c r="AL375" s="16" t="s">
        <v>675</v>
      </c>
      <c r="AM375" s="16" t="s">
        <v>675</v>
      </c>
      <c r="AN375" s="16" t="s">
        <v>675</v>
      </c>
      <c r="AO375" s="64"/>
      <c r="AP375" s="16" t="s">
        <v>675</v>
      </c>
      <c r="AQ375" s="16" t="s">
        <v>675</v>
      </c>
      <c r="AR375" s="64"/>
      <c r="AS375" s="16" t="s">
        <v>675</v>
      </c>
      <c r="AT375" s="16" t="s">
        <v>675</v>
      </c>
      <c r="AU375" s="16" t="s">
        <v>675</v>
      </c>
      <c r="AV375" s="64"/>
      <c r="AW375" s="16" t="s">
        <v>675</v>
      </c>
      <c r="AX375" s="16" t="s">
        <v>675</v>
      </c>
      <c r="AY375" s="64"/>
      <c r="AZ375" s="64"/>
      <c r="BA375" s="64"/>
      <c r="BB375" s="64"/>
      <c r="BC375" s="64"/>
      <c r="BD375" s="64"/>
      <c r="BE375" s="64"/>
      <c r="BF375" s="64"/>
      <c r="BG375" s="16" t="s">
        <v>675</v>
      </c>
      <c r="BH375" s="64"/>
      <c r="BI375" s="64"/>
      <c r="BJ375" s="64"/>
      <c r="BK375" s="64"/>
      <c r="BL375" s="64"/>
      <c r="BM375" s="64"/>
      <c r="BN375" s="64"/>
      <c r="BO375" s="64"/>
      <c r="BP375" s="64"/>
      <c r="BQ375" s="64"/>
      <c r="BR375" s="64"/>
      <c r="BS375" s="16" t="s">
        <v>675</v>
      </c>
      <c r="BT375" s="65"/>
    </row>
    <row r="376" spans="1:72" ht="18" hidden="1" customHeight="1" x14ac:dyDescent="0.3">
      <c r="A376" s="47" t="s">
        <v>40</v>
      </c>
      <c r="B376" s="48" t="s">
        <v>41</v>
      </c>
      <c r="C376" s="16" t="s">
        <v>2156</v>
      </c>
      <c r="D376" s="49" t="s">
        <v>1060</v>
      </c>
      <c r="E376" s="50">
        <v>40.340000000000003</v>
      </c>
      <c r="F376" s="50">
        <v>0</v>
      </c>
      <c r="G376" s="61">
        <v>3</v>
      </c>
      <c r="H376" s="16">
        <v>90</v>
      </c>
      <c r="I376" s="49" t="s">
        <v>1016</v>
      </c>
      <c r="J376" s="16" t="s">
        <v>2386</v>
      </c>
      <c r="K376" s="49">
        <v>50</v>
      </c>
      <c r="L376" s="49">
        <v>50</v>
      </c>
      <c r="M376" s="64"/>
      <c r="N376" s="64"/>
      <c r="O376" s="49" t="str">
        <f t="shared" si="55"/>
        <v>YES</v>
      </c>
      <c r="P376" s="52"/>
      <c r="Q376" s="53">
        <f t="shared" si="48"/>
        <v>5000</v>
      </c>
      <c r="R376" s="54">
        <f t="shared" si="49"/>
        <v>2017</v>
      </c>
      <c r="S376" s="55" t="str">
        <f t="shared" si="50"/>
        <v xml:space="preserve"> </v>
      </c>
      <c r="T376" s="56"/>
      <c r="U376" s="57" t="str">
        <f t="shared" si="51"/>
        <v>100µg/100cm²</v>
      </c>
      <c r="V376" s="58">
        <f t="shared" si="52"/>
        <v>2017</v>
      </c>
      <c r="W376" s="58" t="str">
        <f t="shared" si="53"/>
        <v xml:space="preserve"> </v>
      </c>
      <c r="X376" s="59" t="str">
        <f t="shared" si="54"/>
        <v/>
      </c>
      <c r="Y376" s="60"/>
      <c r="Z376" s="64"/>
      <c r="AA376" s="64"/>
      <c r="AB376" s="16" t="s">
        <v>675</v>
      </c>
      <c r="AC376" s="64"/>
      <c r="AD376" s="16" t="s">
        <v>675</v>
      </c>
      <c r="AE376" s="16" t="s">
        <v>675</v>
      </c>
      <c r="AF376" s="16" t="s">
        <v>675</v>
      </c>
      <c r="AG376" s="64"/>
      <c r="AH376" s="16" t="s">
        <v>675</v>
      </c>
      <c r="AI376" s="16" t="s">
        <v>675</v>
      </c>
      <c r="AJ376" s="64"/>
      <c r="AK376" s="16" t="s">
        <v>675</v>
      </c>
      <c r="AL376" s="16" t="s">
        <v>675</v>
      </c>
      <c r="AM376" s="16" t="s">
        <v>675</v>
      </c>
      <c r="AN376" s="16" t="s">
        <v>675</v>
      </c>
      <c r="AO376" s="64"/>
      <c r="AP376" s="16" t="s">
        <v>675</v>
      </c>
      <c r="AQ376" s="16" t="s">
        <v>675</v>
      </c>
      <c r="AR376" s="64"/>
      <c r="AS376" s="16" t="s">
        <v>675</v>
      </c>
      <c r="AT376" s="16" t="s">
        <v>675</v>
      </c>
      <c r="AU376" s="64"/>
      <c r="AV376" s="64"/>
      <c r="AW376" s="64"/>
      <c r="AX376" s="16" t="s">
        <v>675</v>
      </c>
      <c r="AY376" s="64"/>
      <c r="AZ376" s="64"/>
      <c r="BA376" s="64"/>
      <c r="BB376" s="64"/>
      <c r="BC376" s="64"/>
      <c r="BD376" s="64"/>
      <c r="BE376" s="64"/>
      <c r="BF376" s="64"/>
      <c r="BG376" s="16" t="s">
        <v>675</v>
      </c>
      <c r="BH376" s="64"/>
      <c r="BI376" s="64"/>
      <c r="BJ376" s="64"/>
      <c r="BK376" s="16" t="s">
        <v>675</v>
      </c>
      <c r="BL376" s="64"/>
      <c r="BM376" s="64"/>
      <c r="BN376" s="64"/>
      <c r="BO376" s="64"/>
      <c r="BP376" s="64"/>
      <c r="BQ376" s="64"/>
      <c r="BR376" s="64"/>
      <c r="BS376" s="16" t="s">
        <v>675</v>
      </c>
      <c r="BT376" s="65"/>
    </row>
    <row r="377" spans="1:72" ht="18" hidden="1" customHeight="1" x14ac:dyDescent="0.3">
      <c r="A377" s="47" t="s">
        <v>6</v>
      </c>
      <c r="B377" s="48" t="s">
        <v>7</v>
      </c>
      <c r="C377" s="49" t="s">
        <v>1070</v>
      </c>
      <c r="D377" s="49" t="s">
        <v>1060</v>
      </c>
      <c r="E377" s="50">
        <v>64.709999999999994</v>
      </c>
      <c r="F377" s="50">
        <v>0</v>
      </c>
      <c r="G377" s="61">
        <v>4</v>
      </c>
      <c r="H377" s="16">
        <v>11.4</v>
      </c>
      <c r="I377" s="49" t="s">
        <v>1016</v>
      </c>
      <c r="J377" s="16" t="s">
        <v>1071</v>
      </c>
      <c r="K377" s="49">
        <v>285000</v>
      </c>
      <c r="L377" s="49">
        <v>2565000</v>
      </c>
      <c r="M377" s="101" t="s">
        <v>1014</v>
      </c>
      <c r="N377" s="118"/>
      <c r="O377" s="49" t="str">
        <f t="shared" si="55"/>
        <v>YES</v>
      </c>
      <c r="P377" s="52"/>
      <c r="Q377" s="53">
        <f t="shared" si="48"/>
        <v>5000</v>
      </c>
      <c r="R377" s="54">
        <f t="shared" si="49"/>
        <v>3235.5</v>
      </c>
      <c r="S377" s="55" t="str">
        <f t="shared" si="50"/>
        <v xml:space="preserve"> </v>
      </c>
      <c r="T377" s="56"/>
      <c r="U377" s="57" t="str">
        <f t="shared" si="51"/>
        <v>100µg/100cm²</v>
      </c>
      <c r="V377" s="58">
        <f t="shared" si="52"/>
        <v>3235.5</v>
      </c>
      <c r="W377" s="58" t="str">
        <f t="shared" si="53"/>
        <v xml:space="preserve"> </v>
      </c>
      <c r="X377" s="59" t="str">
        <f t="shared" si="54"/>
        <v/>
      </c>
      <c r="Y377" s="60"/>
      <c r="Z377" s="16" t="s">
        <v>675</v>
      </c>
      <c r="AA377" s="64"/>
      <c r="AB377" s="16" t="s">
        <v>675</v>
      </c>
      <c r="AC377" s="64"/>
      <c r="AD377" s="16" t="s">
        <v>675</v>
      </c>
      <c r="AE377" s="16" t="s">
        <v>675</v>
      </c>
      <c r="AF377" s="16" t="s">
        <v>675</v>
      </c>
      <c r="AG377" s="64"/>
      <c r="AH377" s="16" t="s">
        <v>675</v>
      </c>
      <c r="AI377" s="16" t="s">
        <v>675</v>
      </c>
      <c r="AJ377" s="64"/>
      <c r="AK377" s="16" t="s">
        <v>675</v>
      </c>
      <c r="AL377" s="16" t="s">
        <v>675</v>
      </c>
      <c r="AM377" s="16" t="s">
        <v>675</v>
      </c>
      <c r="AN377" s="16" t="s">
        <v>675</v>
      </c>
      <c r="AO377" s="64"/>
      <c r="AP377" s="16" t="s">
        <v>675</v>
      </c>
      <c r="AQ377" s="16" t="s">
        <v>675</v>
      </c>
      <c r="AR377" s="64"/>
      <c r="AS377" s="16" t="s">
        <v>675</v>
      </c>
      <c r="AT377" s="16" t="s">
        <v>675</v>
      </c>
      <c r="AU377" s="16" t="s">
        <v>675</v>
      </c>
      <c r="AV377" s="64"/>
      <c r="AW377" s="16" t="s">
        <v>675</v>
      </c>
      <c r="AX377" s="16" t="s">
        <v>675</v>
      </c>
      <c r="AY377" s="64"/>
      <c r="AZ377" s="64"/>
      <c r="BA377" s="16" t="s">
        <v>675</v>
      </c>
      <c r="BB377" s="16" t="s">
        <v>675</v>
      </c>
      <c r="BC377" s="64"/>
      <c r="BD377" s="64"/>
      <c r="BE377" s="64"/>
      <c r="BF377" s="64"/>
      <c r="BG377" s="16" t="s">
        <v>675</v>
      </c>
      <c r="BH377" s="64"/>
      <c r="BI377" s="64"/>
      <c r="BJ377" s="64"/>
      <c r="BK377" s="64"/>
      <c r="BL377" s="64"/>
      <c r="BM377" s="64"/>
      <c r="BN377" s="64"/>
      <c r="BO377" s="64"/>
      <c r="BP377" s="64"/>
      <c r="BQ377" s="64"/>
      <c r="BR377" s="64"/>
      <c r="BS377" s="16" t="s">
        <v>675</v>
      </c>
      <c r="BT377" s="65"/>
    </row>
    <row r="378" spans="1:72" ht="18" hidden="1" customHeight="1" x14ac:dyDescent="0.3">
      <c r="A378" s="47" t="s">
        <v>42</v>
      </c>
      <c r="B378" s="48" t="s">
        <v>43</v>
      </c>
      <c r="C378" s="16" t="s">
        <v>2157</v>
      </c>
      <c r="D378" s="49" t="s">
        <v>1060</v>
      </c>
      <c r="E378" s="50">
        <v>59.67</v>
      </c>
      <c r="F378" s="50">
        <v>0</v>
      </c>
      <c r="G378" s="61">
        <v>6</v>
      </c>
      <c r="H378" s="16">
        <v>0.45</v>
      </c>
      <c r="I378" s="49" t="s">
        <v>1016</v>
      </c>
      <c r="J378" s="16" t="s">
        <v>2386</v>
      </c>
      <c r="K378" s="49">
        <v>50</v>
      </c>
      <c r="L378" s="49">
        <v>50</v>
      </c>
      <c r="M378" s="64"/>
      <c r="N378" s="64"/>
      <c r="O378" s="49" t="str">
        <f t="shared" si="55"/>
        <v>YES</v>
      </c>
      <c r="P378" s="52"/>
      <c r="Q378" s="53">
        <f t="shared" si="48"/>
        <v>5000</v>
      </c>
      <c r="R378" s="54">
        <f t="shared" si="49"/>
        <v>2983.5</v>
      </c>
      <c r="S378" s="55" t="str">
        <f t="shared" si="50"/>
        <v xml:space="preserve"> </v>
      </c>
      <c r="T378" s="56"/>
      <c r="U378" s="57" t="str">
        <f t="shared" si="51"/>
        <v>100µg/100cm²</v>
      </c>
      <c r="V378" s="58">
        <f t="shared" si="52"/>
        <v>2983.5</v>
      </c>
      <c r="W378" s="58" t="str">
        <f t="shared" si="53"/>
        <v xml:space="preserve"> </v>
      </c>
      <c r="X378" s="59" t="str">
        <f t="shared" si="54"/>
        <v/>
      </c>
      <c r="Y378" s="60"/>
      <c r="Z378" s="64"/>
      <c r="AA378" s="64"/>
      <c r="AB378" s="16" t="s">
        <v>675</v>
      </c>
      <c r="AC378" s="64"/>
      <c r="AD378" s="16" t="s">
        <v>675</v>
      </c>
      <c r="AE378" s="64"/>
      <c r="AF378" s="64"/>
      <c r="AG378" s="64"/>
      <c r="AH378" s="16" t="s">
        <v>675</v>
      </c>
      <c r="AI378" s="16" t="s">
        <v>675</v>
      </c>
      <c r="AJ378" s="64"/>
      <c r="AK378" s="16" t="s">
        <v>675</v>
      </c>
      <c r="AL378" s="16" t="s">
        <v>675</v>
      </c>
      <c r="AM378" s="16" t="s">
        <v>675</v>
      </c>
      <c r="AN378" s="16" t="s">
        <v>675</v>
      </c>
      <c r="AO378" s="64"/>
      <c r="AP378" s="16" t="s">
        <v>675</v>
      </c>
      <c r="AQ378" s="16" t="s">
        <v>675</v>
      </c>
      <c r="AR378" s="64"/>
      <c r="AS378" s="16" t="s">
        <v>675</v>
      </c>
      <c r="AT378" s="16" t="s">
        <v>675</v>
      </c>
      <c r="AU378" s="64"/>
      <c r="AV378" s="64"/>
      <c r="AW378" s="64"/>
      <c r="AX378" s="16" t="s">
        <v>675</v>
      </c>
      <c r="AY378" s="64"/>
      <c r="AZ378" s="64"/>
      <c r="BA378" s="16" t="s">
        <v>675</v>
      </c>
      <c r="BB378" s="16" t="s">
        <v>675</v>
      </c>
      <c r="BC378" s="64"/>
      <c r="BD378" s="64"/>
      <c r="BE378" s="64"/>
      <c r="BF378" s="64"/>
      <c r="BG378" s="16" t="s">
        <v>675</v>
      </c>
      <c r="BH378" s="64"/>
      <c r="BI378" s="64"/>
      <c r="BJ378" s="64"/>
      <c r="BK378" s="64"/>
      <c r="BL378" s="64"/>
      <c r="BM378" s="64"/>
      <c r="BN378" s="64"/>
      <c r="BO378" s="64"/>
      <c r="BP378" s="64"/>
      <c r="BQ378" s="64"/>
      <c r="BR378" s="64"/>
      <c r="BS378" s="16" t="s">
        <v>675</v>
      </c>
      <c r="BT378" s="65"/>
    </row>
    <row r="379" spans="1:72" ht="18" hidden="1" customHeight="1" x14ac:dyDescent="0.3">
      <c r="A379" s="47" t="s">
        <v>198</v>
      </c>
      <c r="B379" s="48" t="s">
        <v>199</v>
      </c>
      <c r="C379" s="49" t="s">
        <v>1346</v>
      </c>
      <c r="D379" s="49" t="s">
        <v>1060</v>
      </c>
      <c r="E379" s="50">
        <v>48</v>
      </c>
      <c r="F379" s="50">
        <v>0</v>
      </c>
      <c r="G379" s="61">
        <v>2</v>
      </c>
      <c r="H379" s="71" t="s">
        <v>1347</v>
      </c>
      <c r="I379" s="49" t="s">
        <v>1016</v>
      </c>
      <c r="J379" s="16" t="s">
        <v>2386</v>
      </c>
      <c r="K379" s="49">
        <v>50</v>
      </c>
      <c r="L379" s="49">
        <v>50</v>
      </c>
      <c r="M379" s="126"/>
      <c r="N379" s="126"/>
      <c r="O379" s="49" t="str">
        <f t="shared" si="55"/>
        <v>YES</v>
      </c>
      <c r="P379" s="52"/>
      <c r="Q379" s="53">
        <f t="shared" si="48"/>
        <v>5000</v>
      </c>
      <c r="R379" s="54">
        <f t="shared" si="49"/>
        <v>2400</v>
      </c>
      <c r="S379" s="55" t="str">
        <f t="shared" si="50"/>
        <v xml:space="preserve"> </v>
      </c>
      <c r="T379" s="56"/>
      <c r="U379" s="57" t="str">
        <f t="shared" si="51"/>
        <v>100µg/100cm²</v>
      </c>
      <c r="V379" s="58">
        <f t="shared" si="52"/>
        <v>2400</v>
      </c>
      <c r="W379" s="58" t="str">
        <f t="shared" si="53"/>
        <v xml:space="preserve"> </v>
      </c>
      <c r="X379" s="59" t="str">
        <f t="shared" si="54"/>
        <v/>
      </c>
      <c r="Y379" s="60"/>
      <c r="Z379" s="64"/>
      <c r="AA379" s="64"/>
      <c r="AB379" s="64"/>
      <c r="AC379" s="64"/>
      <c r="AD379" s="64"/>
      <c r="AE379" s="16" t="s">
        <v>675</v>
      </c>
      <c r="AF379" s="16" t="s">
        <v>675</v>
      </c>
      <c r="AG379" s="64"/>
      <c r="AH379" s="64"/>
      <c r="AI379" s="16" t="s">
        <v>675</v>
      </c>
      <c r="AJ379" s="64"/>
      <c r="AK379" s="64"/>
      <c r="AL379" s="64"/>
      <c r="AM379" s="16" t="s">
        <v>675</v>
      </c>
      <c r="AN379" s="16" t="s">
        <v>675</v>
      </c>
      <c r="AO379" s="64"/>
      <c r="AP379" s="16" t="s">
        <v>675</v>
      </c>
      <c r="AQ379" s="64"/>
      <c r="AR379" s="64"/>
      <c r="AS379" s="16" t="s">
        <v>675</v>
      </c>
      <c r="AT379" s="16" t="s">
        <v>675</v>
      </c>
      <c r="AU379" s="64"/>
      <c r="AV379" s="64"/>
      <c r="AW379" s="64"/>
      <c r="AX379" s="64"/>
      <c r="AY379" s="64"/>
      <c r="AZ379" s="64"/>
      <c r="BA379" s="64"/>
      <c r="BB379" s="64"/>
      <c r="BC379" s="64"/>
      <c r="BD379" s="64"/>
      <c r="BE379" s="64"/>
      <c r="BF379" s="64"/>
      <c r="BG379" s="16" t="s">
        <v>675</v>
      </c>
      <c r="BH379" s="64"/>
      <c r="BI379" s="64"/>
      <c r="BJ379" s="64"/>
      <c r="BK379" s="64"/>
      <c r="BL379" s="64"/>
      <c r="BM379" s="64"/>
      <c r="BN379" s="64"/>
      <c r="BO379" s="64"/>
      <c r="BP379" s="64"/>
      <c r="BQ379" s="64"/>
      <c r="BR379" s="64"/>
      <c r="BS379" s="16" t="s">
        <v>675</v>
      </c>
      <c r="BT379" s="65"/>
    </row>
    <row r="380" spans="1:72" ht="18" hidden="1" customHeight="1" x14ac:dyDescent="0.3">
      <c r="A380" s="47" t="s">
        <v>44</v>
      </c>
      <c r="B380" s="49" t="s">
        <v>45</v>
      </c>
      <c r="C380" s="16" t="s">
        <v>2158</v>
      </c>
      <c r="D380" s="49" t="s">
        <v>1060</v>
      </c>
      <c r="E380" s="50">
        <v>51.28</v>
      </c>
      <c r="F380" s="50">
        <v>0</v>
      </c>
      <c r="G380" s="61">
        <v>3</v>
      </c>
      <c r="H380" s="71" t="s">
        <v>1348</v>
      </c>
      <c r="I380" s="49" t="s">
        <v>1016</v>
      </c>
      <c r="J380" s="16" t="s">
        <v>2386</v>
      </c>
      <c r="K380" s="49">
        <v>50</v>
      </c>
      <c r="L380" s="49">
        <v>50</v>
      </c>
      <c r="M380" s="126"/>
      <c r="N380" s="126"/>
      <c r="O380" s="49" t="str">
        <f t="shared" si="55"/>
        <v>YES</v>
      </c>
      <c r="P380" s="52"/>
      <c r="Q380" s="53">
        <f t="shared" si="48"/>
        <v>5000</v>
      </c>
      <c r="R380" s="54">
        <f t="shared" si="49"/>
        <v>2564</v>
      </c>
      <c r="S380" s="55" t="str">
        <f t="shared" si="50"/>
        <v xml:space="preserve"> </v>
      </c>
      <c r="T380" s="56"/>
      <c r="U380" s="57" t="str">
        <f t="shared" si="51"/>
        <v>100µg/100cm²</v>
      </c>
      <c r="V380" s="58">
        <f t="shared" si="52"/>
        <v>2564</v>
      </c>
      <c r="W380" s="58" t="str">
        <f t="shared" si="53"/>
        <v xml:space="preserve"> </v>
      </c>
      <c r="X380" s="59" t="str">
        <f t="shared" si="54"/>
        <v/>
      </c>
      <c r="Y380" s="60"/>
      <c r="Z380" s="64"/>
      <c r="AA380" s="64"/>
      <c r="AB380" s="16" t="s">
        <v>675</v>
      </c>
      <c r="AC380" s="64"/>
      <c r="AD380" s="16" t="s">
        <v>675</v>
      </c>
      <c r="AE380" s="16" t="s">
        <v>675</v>
      </c>
      <c r="AF380" s="16" t="s">
        <v>675</v>
      </c>
      <c r="AG380" s="64"/>
      <c r="AH380" s="16" t="s">
        <v>675</v>
      </c>
      <c r="AI380" s="16" t="s">
        <v>675</v>
      </c>
      <c r="AJ380" s="64"/>
      <c r="AK380" s="16" t="s">
        <v>675</v>
      </c>
      <c r="AL380" s="16" t="s">
        <v>675</v>
      </c>
      <c r="AM380" s="16" t="s">
        <v>675</v>
      </c>
      <c r="AN380" s="16" t="s">
        <v>675</v>
      </c>
      <c r="AO380" s="64"/>
      <c r="AP380" s="16" t="s">
        <v>675</v>
      </c>
      <c r="AQ380" s="16" t="s">
        <v>675</v>
      </c>
      <c r="AR380" s="64"/>
      <c r="AS380" s="16" t="s">
        <v>675</v>
      </c>
      <c r="AT380" s="16" t="s">
        <v>675</v>
      </c>
      <c r="AU380" s="64"/>
      <c r="AV380" s="64"/>
      <c r="AW380" s="64"/>
      <c r="AX380" s="16" t="s">
        <v>675</v>
      </c>
      <c r="AY380" s="64"/>
      <c r="AZ380" s="64"/>
      <c r="BA380" s="64"/>
      <c r="BB380" s="64"/>
      <c r="BC380" s="64"/>
      <c r="BD380" s="64"/>
      <c r="BE380" s="64"/>
      <c r="BF380" s="64"/>
      <c r="BG380" s="16" t="s">
        <v>675</v>
      </c>
      <c r="BH380" s="64"/>
      <c r="BI380" s="64"/>
      <c r="BJ380" s="64"/>
      <c r="BK380" s="64"/>
      <c r="BL380" s="64"/>
      <c r="BM380" s="64"/>
      <c r="BN380" s="64"/>
      <c r="BO380" s="64"/>
      <c r="BP380" s="64"/>
      <c r="BQ380" s="64"/>
      <c r="BR380" s="64"/>
      <c r="BS380" s="16" t="s">
        <v>675</v>
      </c>
      <c r="BT380" s="65"/>
    </row>
    <row r="381" spans="1:72" ht="18" customHeight="1" x14ac:dyDescent="0.3">
      <c r="A381" s="47" t="s">
        <v>269</v>
      </c>
      <c r="B381" s="48" t="s">
        <v>270</v>
      </c>
      <c r="C381" s="49" t="s">
        <v>1377</v>
      </c>
      <c r="D381" s="49" t="s">
        <v>1114</v>
      </c>
      <c r="E381" s="50">
        <v>0</v>
      </c>
      <c r="F381" s="50">
        <v>0</v>
      </c>
      <c r="G381" s="61">
        <v>2</v>
      </c>
      <c r="H381" s="16">
        <v>542</v>
      </c>
      <c r="I381" s="70" t="s">
        <v>1016</v>
      </c>
      <c r="J381" s="16" t="s">
        <v>2386</v>
      </c>
      <c r="K381" s="49">
        <v>50</v>
      </c>
      <c r="L381" s="49">
        <v>50</v>
      </c>
      <c r="M381" s="64"/>
      <c r="N381" s="64"/>
      <c r="O381" s="49" t="str">
        <f t="shared" si="55"/>
        <v>YES</v>
      </c>
      <c r="P381" s="52"/>
      <c r="Q381" s="53">
        <f t="shared" si="48"/>
        <v>5000</v>
      </c>
      <c r="R381" s="54" t="str">
        <f t="shared" si="49"/>
        <v xml:space="preserve"> </v>
      </c>
      <c r="S381" s="55" t="str">
        <f t="shared" si="50"/>
        <v xml:space="preserve"> </v>
      </c>
      <c r="T381" s="56"/>
      <c r="U381" s="57" t="str">
        <f t="shared" si="51"/>
        <v xml:space="preserve"> </v>
      </c>
      <c r="V381" s="58" t="str">
        <f t="shared" si="52"/>
        <v xml:space="preserve"> </v>
      </c>
      <c r="W381" s="58" t="str">
        <f t="shared" si="53"/>
        <v xml:space="preserve"> </v>
      </c>
      <c r="X381" s="59" t="str">
        <f t="shared" si="54"/>
        <v>Water criteria (conductivity)</v>
      </c>
      <c r="Y381" s="60"/>
      <c r="Z381" s="64"/>
      <c r="AA381" s="64"/>
      <c r="AB381" s="64"/>
      <c r="AC381" s="64"/>
      <c r="AD381" s="64"/>
      <c r="AE381" s="64"/>
      <c r="AF381" s="16" t="s">
        <v>675</v>
      </c>
      <c r="AG381" s="64"/>
      <c r="AH381" s="64"/>
      <c r="AI381" s="64"/>
      <c r="AJ381" s="64"/>
      <c r="AK381" s="64"/>
      <c r="AL381" s="64"/>
      <c r="AM381" s="16" t="s">
        <v>675</v>
      </c>
      <c r="AN381" s="64"/>
      <c r="AO381" s="64"/>
      <c r="AP381" s="64"/>
      <c r="AQ381" s="64"/>
      <c r="AR381" s="64"/>
      <c r="AS381" s="16" t="s">
        <v>675</v>
      </c>
      <c r="AT381" s="16" t="s">
        <v>675</v>
      </c>
      <c r="AU381" s="64"/>
      <c r="AV381" s="64"/>
      <c r="AW381" s="64"/>
      <c r="AX381" s="64"/>
      <c r="AY381" s="64"/>
      <c r="AZ381" s="64"/>
      <c r="BA381" s="64"/>
      <c r="BB381" s="64"/>
      <c r="BC381" s="64"/>
      <c r="BD381" s="64"/>
      <c r="BE381" s="64"/>
      <c r="BF381" s="64"/>
      <c r="BG381" s="16" t="s">
        <v>675</v>
      </c>
      <c r="BH381" s="64"/>
      <c r="BI381" s="64"/>
      <c r="BJ381" s="64"/>
      <c r="BK381" s="64"/>
      <c r="BL381" s="64"/>
      <c r="BM381" s="64"/>
      <c r="BN381" s="64"/>
      <c r="BO381" s="64"/>
      <c r="BP381" s="64"/>
      <c r="BQ381" s="64"/>
      <c r="BR381" s="64"/>
      <c r="BS381" s="16" t="s">
        <v>675</v>
      </c>
      <c r="BT381" s="65"/>
    </row>
    <row r="382" spans="1:72" ht="18" customHeight="1" x14ac:dyDescent="0.3">
      <c r="A382" s="47" t="s">
        <v>51</v>
      </c>
      <c r="B382" s="48" t="s">
        <v>52</v>
      </c>
      <c r="C382" s="49" t="s">
        <v>1378</v>
      </c>
      <c r="D382" s="49" t="s">
        <v>1114</v>
      </c>
      <c r="E382" s="50">
        <v>0</v>
      </c>
      <c r="F382" s="50">
        <v>0</v>
      </c>
      <c r="G382" s="61">
        <v>1</v>
      </c>
      <c r="H382" s="16">
        <v>1670</v>
      </c>
      <c r="I382" s="70" t="s">
        <v>1016</v>
      </c>
      <c r="J382" s="16" t="s">
        <v>2386</v>
      </c>
      <c r="K382" s="49">
        <v>50</v>
      </c>
      <c r="L382" s="49">
        <v>50</v>
      </c>
      <c r="M382" s="64"/>
      <c r="N382" s="64"/>
      <c r="O382" s="49" t="str">
        <f t="shared" si="55"/>
        <v>YES</v>
      </c>
      <c r="P382" s="52"/>
      <c r="Q382" s="53">
        <f t="shared" si="48"/>
        <v>5000</v>
      </c>
      <c r="R382" s="54" t="str">
        <f t="shared" si="49"/>
        <v xml:space="preserve"> </v>
      </c>
      <c r="S382" s="55" t="str">
        <f t="shared" si="50"/>
        <v xml:space="preserve"> </v>
      </c>
      <c r="T382" s="56"/>
      <c r="U382" s="57" t="str">
        <f t="shared" si="51"/>
        <v xml:space="preserve"> </v>
      </c>
      <c r="V382" s="58" t="str">
        <f t="shared" si="52"/>
        <v xml:space="preserve"> </v>
      </c>
      <c r="W382" s="58" t="str">
        <f t="shared" si="53"/>
        <v xml:space="preserve"> </v>
      </c>
      <c r="X382" s="59" t="str">
        <f t="shared" si="54"/>
        <v>Water criteria (conductivity)</v>
      </c>
      <c r="Y382" s="60"/>
      <c r="Z382" s="64"/>
      <c r="AA382" s="64"/>
      <c r="AB382" s="16" t="s">
        <v>675</v>
      </c>
      <c r="AC382" s="64"/>
      <c r="AD382" s="16" t="s">
        <v>675</v>
      </c>
      <c r="AE382" s="64"/>
      <c r="AF382" s="16" t="s">
        <v>675</v>
      </c>
      <c r="AG382" s="16" t="s">
        <v>675</v>
      </c>
      <c r="AH382" s="64"/>
      <c r="AI382" s="16" t="s">
        <v>675</v>
      </c>
      <c r="AJ382" s="16" t="s">
        <v>675</v>
      </c>
      <c r="AK382" s="16" t="s">
        <v>675</v>
      </c>
      <c r="AL382" s="16" t="s">
        <v>675</v>
      </c>
      <c r="AM382" s="16" t="s">
        <v>675</v>
      </c>
      <c r="AN382" s="16" t="s">
        <v>675</v>
      </c>
      <c r="AO382" s="16" t="s">
        <v>675</v>
      </c>
      <c r="AP382" s="16" t="s">
        <v>675</v>
      </c>
      <c r="AQ382" s="64"/>
      <c r="AR382" s="64"/>
      <c r="AS382" s="16" t="s">
        <v>675</v>
      </c>
      <c r="AT382" s="16" t="s">
        <v>675</v>
      </c>
      <c r="AU382" s="16" t="s">
        <v>675</v>
      </c>
      <c r="AV382" s="64"/>
      <c r="AW382" s="16" t="s">
        <v>675</v>
      </c>
      <c r="AX382" s="64"/>
      <c r="AY382" s="64"/>
      <c r="AZ382" s="64"/>
      <c r="BA382" s="16" t="s">
        <v>675</v>
      </c>
      <c r="BB382" s="16" t="s">
        <v>675</v>
      </c>
      <c r="BC382" s="64"/>
      <c r="BD382" s="64"/>
      <c r="BE382" s="64"/>
      <c r="BF382" s="64"/>
      <c r="BG382" s="16" t="s">
        <v>675</v>
      </c>
      <c r="BH382" s="64"/>
      <c r="BI382" s="64"/>
      <c r="BJ382" s="64"/>
      <c r="BK382" s="16" t="s">
        <v>675</v>
      </c>
      <c r="BL382" s="64"/>
      <c r="BM382" s="64"/>
      <c r="BN382" s="64"/>
      <c r="BO382" s="64"/>
      <c r="BP382" s="64"/>
      <c r="BQ382" s="64"/>
      <c r="BR382" s="64"/>
      <c r="BS382" s="16" t="s">
        <v>675</v>
      </c>
      <c r="BT382" s="65"/>
    </row>
    <row r="383" spans="1:72" ht="18" customHeight="1" x14ac:dyDescent="0.3">
      <c r="A383" s="80" t="s">
        <v>1867</v>
      </c>
      <c r="B383" s="76" t="s">
        <v>1866</v>
      </c>
      <c r="C383" s="87" t="s">
        <v>2159</v>
      </c>
      <c r="D383" s="16" t="s">
        <v>1498</v>
      </c>
      <c r="E383" s="50">
        <v>0</v>
      </c>
      <c r="F383" s="50">
        <v>0</v>
      </c>
      <c r="G383" s="16">
        <v>7</v>
      </c>
      <c r="H383" s="16" t="s">
        <v>1868</v>
      </c>
      <c r="I383" s="16" t="s">
        <v>1016</v>
      </c>
      <c r="J383" s="16" t="s">
        <v>2012</v>
      </c>
      <c r="K383" s="16">
        <v>30</v>
      </c>
      <c r="L383" s="16">
        <v>270</v>
      </c>
      <c r="M383" s="64"/>
      <c r="N383" s="64"/>
      <c r="O383" s="49" t="str">
        <f t="shared" si="55"/>
        <v>YES</v>
      </c>
      <c r="P383" s="52"/>
      <c r="Q383" s="53">
        <f t="shared" si="48"/>
        <v>5000</v>
      </c>
      <c r="R383" s="54" t="str">
        <f t="shared" si="49"/>
        <v xml:space="preserve"> </v>
      </c>
      <c r="S383" s="55" t="str">
        <f t="shared" si="50"/>
        <v xml:space="preserve"> </v>
      </c>
      <c r="T383" s="56"/>
      <c r="U383" s="57" t="str">
        <f t="shared" si="51"/>
        <v xml:space="preserve"> </v>
      </c>
      <c r="V383" s="58" t="str">
        <f t="shared" si="52"/>
        <v xml:space="preserve"> </v>
      </c>
      <c r="W383" s="58" t="str">
        <f t="shared" si="53"/>
        <v xml:space="preserve"> </v>
      </c>
      <c r="X383" s="59" t="str">
        <f t="shared" si="54"/>
        <v>Mitigation</v>
      </c>
      <c r="Y383" s="60"/>
      <c r="Z383" s="16" t="s">
        <v>1987</v>
      </c>
      <c r="AA383" s="16" t="s">
        <v>1987</v>
      </c>
      <c r="AB383" s="16" t="s">
        <v>1987</v>
      </c>
      <c r="AC383" s="16" t="s">
        <v>1987</v>
      </c>
      <c r="AD383" s="16" t="s">
        <v>1987</v>
      </c>
      <c r="AE383" s="16" t="s">
        <v>1987</v>
      </c>
      <c r="AF383" s="16" t="s">
        <v>1987</v>
      </c>
      <c r="AG383" s="16" t="s">
        <v>1987</v>
      </c>
      <c r="AH383" s="16" t="s">
        <v>1987</v>
      </c>
      <c r="AI383" s="16" t="s">
        <v>1987</v>
      </c>
      <c r="AJ383" s="16" t="s">
        <v>1987</v>
      </c>
      <c r="AK383" s="16" t="s">
        <v>1987</v>
      </c>
      <c r="AL383" s="16" t="s">
        <v>1987</v>
      </c>
      <c r="AM383" s="16" t="s">
        <v>1987</v>
      </c>
      <c r="AN383" s="16" t="s">
        <v>1987</v>
      </c>
      <c r="AO383" s="16" t="s">
        <v>1987</v>
      </c>
      <c r="AP383" s="16" t="s">
        <v>1987</v>
      </c>
      <c r="AQ383" s="16" t="s">
        <v>1987</v>
      </c>
      <c r="AR383" s="16" t="s">
        <v>1987</v>
      </c>
      <c r="AS383" s="16" t="s">
        <v>1987</v>
      </c>
      <c r="AT383" s="16" t="s">
        <v>1987</v>
      </c>
      <c r="AU383" s="16" t="s">
        <v>1987</v>
      </c>
      <c r="AV383" s="16" t="s">
        <v>1987</v>
      </c>
      <c r="AW383" s="16" t="s">
        <v>1987</v>
      </c>
      <c r="AX383" s="16" t="s">
        <v>1987</v>
      </c>
      <c r="AY383" s="16" t="s">
        <v>1987</v>
      </c>
      <c r="AZ383" s="16" t="s">
        <v>1987</v>
      </c>
      <c r="BA383" s="16" t="s">
        <v>1987</v>
      </c>
      <c r="BB383" s="16" t="s">
        <v>1987</v>
      </c>
      <c r="BC383" s="16" t="s">
        <v>1987</v>
      </c>
      <c r="BD383" s="16" t="s">
        <v>1987</v>
      </c>
      <c r="BE383" s="16" t="s">
        <v>1987</v>
      </c>
      <c r="BF383" s="16" t="s">
        <v>1987</v>
      </c>
      <c r="BG383" s="16" t="s">
        <v>1987</v>
      </c>
      <c r="BH383" s="16" t="s">
        <v>1987</v>
      </c>
      <c r="BI383" s="16" t="s">
        <v>1987</v>
      </c>
      <c r="BJ383" s="16" t="s">
        <v>1987</v>
      </c>
      <c r="BK383" s="16" t="s">
        <v>1987</v>
      </c>
      <c r="BL383" s="16" t="s">
        <v>1987</v>
      </c>
      <c r="BM383" s="16" t="s">
        <v>1987</v>
      </c>
      <c r="BN383" s="16" t="s">
        <v>1987</v>
      </c>
      <c r="BO383" s="16" t="s">
        <v>1987</v>
      </c>
      <c r="BP383" s="16" t="s">
        <v>1987</v>
      </c>
      <c r="BQ383" s="16" t="s">
        <v>1987</v>
      </c>
      <c r="BR383" s="16" t="s">
        <v>1987</v>
      </c>
      <c r="BS383" s="16" t="s">
        <v>1987</v>
      </c>
      <c r="BT383" s="16" t="s">
        <v>1987</v>
      </c>
    </row>
    <row r="384" spans="1:72" ht="18" customHeight="1" x14ac:dyDescent="0.3">
      <c r="A384" s="80" t="s">
        <v>1876</v>
      </c>
      <c r="B384" s="76" t="s">
        <v>1877</v>
      </c>
      <c r="C384" s="87" t="s">
        <v>1943</v>
      </c>
      <c r="D384" s="16" t="s">
        <v>1498</v>
      </c>
      <c r="E384" s="50">
        <v>0</v>
      </c>
      <c r="F384" s="50">
        <v>0</v>
      </c>
      <c r="G384" s="16">
        <v>7</v>
      </c>
      <c r="H384" s="16" t="s">
        <v>1942</v>
      </c>
      <c r="I384" s="16" t="s">
        <v>1016</v>
      </c>
      <c r="J384" s="17" t="s">
        <v>2386</v>
      </c>
      <c r="K384" s="16">
        <v>50</v>
      </c>
      <c r="L384" s="16">
        <v>50</v>
      </c>
      <c r="M384" s="64"/>
      <c r="N384" s="64"/>
      <c r="O384" s="49" t="str">
        <f t="shared" ref="O384:O415" si="56">IF(AND(ISBLANK(K384),ISBLANK(N384))," ",IF(ISBLANK(N384),"YES","NO"))</f>
        <v>YES</v>
      </c>
      <c r="P384" s="52"/>
      <c r="Q384" s="53">
        <f t="shared" si="48"/>
        <v>5000</v>
      </c>
      <c r="R384" s="54" t="str">
        <f t="shared" si="49"/>
        <v xml:space="preserve"> </v>
      </c>
      <c r="S384" s="55" t="str">
        <f t="shared" si="50"/>
        <v xml:space="preserve"> </v>
      </c>
      <c r="T384" s="56"/>
      <c r="U384" s="57" t="str">
        <f t="shared" si="51"/>
        <v xml:space="preserve"> </v>
      </c>
      <c r="V384" s="58" t="str">
        <f t="shared" si="52"/>
        <v xml:space="preserve"> </v>
      </c>
      <c r="W384" s="58" t="str">
        <f t="shared" si="53"/>
        <v xml:space="preserve"> </v>
      </c>
      <c r="X384" s="59" t="str">
        <f t="shared" si="54"/>
        <v>Mitigation</v>
      </c>
      <c r="Y384" s="60"/>
      <c r="Z384" s="16" t="s">
        <v>1987</v>
      </c>
      <c r="AA384" s="16" t="s">
        <v>1987</v>
      </c>
      <c r="AB384" s="16" t="s">
        <v>1987</v>
      </c>
      <c r="AC384" s="16" t="s">
        <v>1987</v>
      </c>
      <c r="AD384" s="16" t="s">
        <v>1987</v>
      </c>
      <c r="AE384" s="16" t="s">
        <v>1987</v>
      </c>
      <c r="AF384" s="16" t="s">
        <v>1987</v>
      </c>
      <c r="AG384" s="16" t="s">
        <v>1987</v>
      </c>
      <c r="AH384" s="16" t="s">
        <v>1987</v>
      </c>
      <c r="AI384" s="16" t="s">
        <v>1987</v>
      </c>
      <c r="AJ384" s="16" t="s">
        <v>1987</v>
      </c>
      <c r="AK384" s="16" t="s">
        <v>1987</v>
      </c>
      <c r="AL384" s="16" t="s">
        <v>1987</v>
      </c>
      <c r="AM384" s="16" t="s">
        <v>1987</v>
      </c>
      <c r="AN384" s="16" t="s">
        <v>1987</v>
      </c>
      <c r="AO384" s="16" t="s">
        <v>1987</v>
      </c>
      <c r="AP384" s="16" t="s">
        <v>1987</v>
      </c>
      <c r="AQ384" s="16" t="s">
        <v>1987</v>
      </c>
      <c r="AR384" s="16" t="s">
        <v>1987</v>
      </c>
      <c r="AS384" s="16" t="s">
        <v>1987</v>
      </c>
      <c r="AT384" s="16" t="s">
        <v>1987</v>
      </c>
      <c r="AU384" s="16" t="s">
        <v>1987</v>
      </c>
      <c r="AV384" s="16" t="s">
        <v>1987</v>
      </c>
      <c r="AW384" s="16" t="s">
        <v>1987</v>
      </c>
      <c r="AX384" s="16" t="s">
        <v>1987</v>
      </c>
      <c r="AY384" s="16" t="s">
        <v>1987</v>
      </c>
      <c r="AZ384" s="16" t="s">
        <v>1987</v>
      </c>
      <c r="BA384" s="16" t="s">
        <v>1987</v>
      </c>
      <c r="BB384" s="16" t="s">
        <v>1987</v>
      </c>
      <c r="BC384" s="16" t="s">
        <v>1987</v>
      </c>
      <c r="BD384" s="16" t="s">
        <v>1987</v>
      </c>
      <c r="BE384" s="16" t="s">
        <v>1987</v>
      </c>
      <c r="BF384" s="16" t="s">
        <v>1987</v>
      </c>
      <c r="BG384" s="16" t="s">
        <v>1987</v>
      </c>
      <c r="BH384" s="16" t="s">
        <v>1987</v>
      </c>
      <c r="BI384" s="16" t="s">
        <v>1987</v>
      </c>
      <c r="BJ384" s="16" t="s">
        <v>1987</v>
      </c>
      <c r="BK384" s="16" t="s">
        <v>1987</v>
      </c>
      <c r="BL384" s="16" t="s">
        <v>1987</v>
      </c>
      <c r="BM384" s="16" t="s">
        <v>1987</v>
      </c>
      <c r="BN384" s="16" t="s">
        <v>1987</v>
      </c>
      <c r="BO384" s="16" t="s">
        <v>1987</v>
      </c>
      <c r="BP384" s="16" t="s">
        <v>1987</v>
      </c>
      <c r="BQ384" s="16" t="s">
        <v>1987</v>
      </c>
      <c r="BR384" s="16" t="s">
        <v>1987</v>
      </c>
      <c r="BS384" s="16" t="s">
        <v>1987</v>
      </c>
      <c r="BT384" s="16" t="s">
        <v>1987</v>
      </c>
    </row>
    <row r="385" spans="1:72" ht="18" customHeight="1" x14ac:dyDescent="0.3">
      <c r="A385" s="47" t="s">
        <v>203</v>
      </c>
      <c r="B385" s="48" t="s">
        <v>204</v>
      </c>
      <c r="C385" s="49" t="s">
        <v>1379</v>
      </c>
      <c r="D385" s="49" t="s">
        <v>1114</v>
      </c>
      <c r="E385" s="50">
        <v>0</v>
      </c>
      <c r="F385" s="50">
        <v>0</v>
      </c>
      <c r="G385" s="61">
        <v>2</v>
      </c>
      <c r="H385" s="16">
        <v>300</v>
      </c>
      <c r="I385" s="48" t="s">
        <v>1016</v>
      </c>
      <c r="J385" s="16" t="s">
        <v>2386</v>
      </c>
      <c r="K385" s="49">
        <v>50</v>
      </c>
      <c r="L385" s="49">
        <v>50</v>
      </c>
      <c r="M385" s="64"/>
      <c r="N385" s="64"/>
      <c r="O385" s="49" t="str">
        <f t="shared" si="56"/>
        <v>YES</v>
      </c>
      <c r="P385" s="52"/>
      <c r="Q385" s="53">
        <f t="shared" si="48"/>
        <v>5000</v>
      </c>
      <c r="R385" s="54" t="str">
        <f t="shared" si="49"/>
        <v xml:space="preserve"> </v>
      </c>
      <c r="S385" s="55" t="str">
        <f t="shared" si="50"/>
        <v xml:space="preserve"> </v>
      </c>
      <c r="T385" s="56"/>
      <c r="U385" s="57" t="str">
        <f t="shared" si="51"/>
        <v xml:space="preserve"> </v>
      </c>
      <c r="V385" s="58" t="str">
        <f t="shared" si="52"/>
        <v xml:space="preserve"> </v>
      </c>
      <c r="W385" s="58" t="str">
        <f t="shared" si="53"/>
        <v xml:space="preserve"> </v>
      </c>
      <c r="X385" s="59" t="str">
        <f t="shared" si="54"/>
        <v>Water criteria (conductivity)</v>
      </c>
      <c r="Y385" s="60"/>
      <c r="Z385" s="64"/>
      <c r="AA385" s="64"/>
      <c r="AB385" s="64"/>
      <c r="AC385" s="64"/>
      <c r="AD385" s="64"/>
      <c r="AE385" s="16" t="s">
        <v>675</v>
      </c>
      <c r="AF385" s="16" t="s">
        <v>675</v>
      </c>
      <c r="AG385" s="64"/>
      <c r="AH385" s="64"/>
      <c r="AI385" s="64"/>
      <c r="AJ385" s="64"/>
      <c r="AK385" s="64"/>
      <c r="AL385" s="64"/>
      <c r="AM385" s="16" t="s">
        <v>675</v>
      </c>
      <c r="AN385" s="64"/>
      <c r="AO385" s="64"/>
      <c r="AP385" s="64"/>
      <c r="AQ385" s="64"/>
      <c r="AR385" s="64"/>
      <c r="AS385" s="16" t="s">
        <v>675</v>
      </c>
      <c r="AT385" s="16" t="s">
        <v>675</v>
      </c>
      <c r="AU385" s="64"/>
      <c r="AV385" s="64"/>
      <c r="AW385" s="64"/>
      <c r="AX385" s="16" t="s">
        <v>675</v>
      </c>
      <c r="AY385" s="64"/>
      <c r="AZ385" s="64"/>
      <c r="BA385" s="64"/>
      <c r="BB385" s="64"/>
      <c r="BC385" s="64"/>
      <c r="BD385" s="64"/>
      <c r="BE385" s="64"/>
      <c r="BF385" s="64"/>
      <c r="BG385" s="16" t="s">
        <v>675</v>
      </c>
      <c r="BH385" s="64"/>
      <c r="BI385" s="64"/>
      <c r="BJ385" s="64"/>
      <c r="BK385" s="64"/>
      <c r="BL385" s="64"/>
      <c r="BM385" s="64"/>
      <c r="BN385" s="64"/>
      <c r="BO385" s="64"/>
      <c r="BP385" s="64"/>
      <c r="BQ385" s="64"/>
      <c r="BR385" s="64"/>
      <c r="BS385" s="16" t="s">
        <v>675</v>
      </c>
      <c r="BT385" s="65"/>
    </row>
    <row r="386" spans="1:72" ht="18" customHeight="1" x14ac:dyDescent="0.3">
      <c r="A386" s="47" t="s">
        <v>53</v>
      </c>
      <c r="B386" s="48" t="s">
        <v>54</v>
      </c>
      <c r="C386" s="49" t="s">
        <v>1380</v>
      </c>
      <c r="D386" s="49" t="s">
        <v>1114</v>
      </c>
      <c r="E386" s="50">
        <v>0</v>
      </c>
      <c r="F386" s="50">
        <v>0</v>
      </c>
      <c r="G386" s="61">
        <v>2</v>
      </c>
      <c r="H386" s="16">
        <v>710</v>
      </c>
      <c r="I386" s="48" t="s">
        <v>1016</v>
      </c>
      <c r="J386" s="16" t="s">
        <v>2386</v>
      </c>
      <c r="K386" s="49">
        <v>50</v>
      </c>
      <c r="L386" s="49">
        <v>50</v>
      </c>
      <c r="M386" s="64"/>
      <c r="N386" s="64"/>
      <c r="O386" s="49" t="str">
        <f t="shared" si="56"/>
        <v>YES</v>
      </c>
      <c r="P386" s="52"/>
      <c r="Q386" s="53">
        <f t="shared" si="48"/>
        <v>5000</v>
      </c>
      <c r="R386" s="54" t="str">
        <f t="shared" si="49"/>
        <v xml:space="preserve"> </v>
      </c>
      <c r="S386" s="55" t="str">
        <f t="shared" si="50"/>
        <v xml:space="preserve"> </v>
      </c>
      <c r="T386" s="56"/>
      <c r="U386" s="57" t="str">
        <f t="shared" si="51"/>
        <v xml:space="preserve"> </v>
      </c>
      <c r="V386" s="58" t="str">
        <f t="shared" si="52"/>
        <v xml:space="preserve"> </v>
      </c>
      <c r="W386" s="58" t="str">
        <f t="shared" si="53"/>
        <v xml:space="preserve"> </v>
      </c>
      <c r="X386" s="59" t="str">
        <f t="shared" si="54"/>
        <v>Water criteria (conductivity)</v>
      </c>
      <c r="Y386" s="60"/>
      <c r="Z386" s="16" t="s">
        <v>675</v>
      </c>
      <c r="AA386" s="16" t="s">
        <v>675</v>
      </c>
      <c r="AB386" s="16" t="s">
        <v>675</v>
      </c>
      <c r="AC386" s="64"/>
      <c r="AD386" s="64"/>
      <c r="AE386" s="64"/>
      <c r="AF386" s="16" t="s">
        <v>675</v>
      </c>
      <c r="AG386" s="64"/>
      <c r="AH386" s="16" t="s">
        <v>675</v>
      </c>
      <c r="AI386" s="16" t="s">
        <v>675</v>
      </c>
      <c r="AJ386" s="64"/>
      <c r="AK386" s="16" t="s">
        <v>675</v>
      </c>
      <c r="AL386" s="16" t="s">
        <v>675</v>
      </c>
      <c r="AM386" s="16" t="s">
        <v>675</v>
      </c>
      <c r="AN386" s="64"/>
      <c r="AO386" s="64"/>
      <c r="AP386" s="64"/>
      <c r="AQ386" s="16" t="s">
        <v>675</v>
      </c>
      <c r="AR386" s="16" t="s">
        <v>675</v>
      </c>
      <c r="AS386" s="16" t="s">
        <v>675</v>
      </c>
      <c r="AT386" s="16" t="s">
        <v>675</v>
      </c>
      <c r="AU386" s="16" t="s">
        <v>675</v>
      </c>
      <c r="AV386" s="64"/>
      <c r="AW386" s="16" t="s">
        <v>675</v>
      </c>
      <c r="AX386" s="64"/>
      <c r="AY386" s="64"/>
      <c r="AZ386" s="64"/>
      <c r="BA386" s="16" t="s">
        <v>675</v>
      </c>
      <c r="BB386" s="16" t="s">
        <v>675</v>
      </c>
      <c r="BC386" s="64"/>
      <c r="BD386" s="64"/>
      <c r="BE386" s="64"/>
      <c r="BF386" s="64"/>
      <c r="BG386" s="16" t="s">
        <v>675</v>
      </c>
      <c r="BH386" s="64"/>
      <c r="BI386" s="64"/>
      <c r="BJ386" s="64"/>
      <c r="BK386" s="64"/>
      <c r="BL386" s="64"/>
      <c r="BM386" s="64"/>
      <c r="BN386" s="64"/>
      <c r="BO386" s="64"/>
      <c r="BP386" s="64"/>
      <c r="BQ386" s="64"/>
      <c r="BR386" s="64"/>
      <c r="BS386" s="16" t="s">
        <v>675</v>
      </c>
      <c r="BT386" s="65"/>
    </row>
    <row r="387" spans="1:72" ht="18" hidden="1" customHeight="1" x14ac:dyDescent="0.3">
      <c r="A387" s="81" t="s">
        <v>471</v>
      </c>
      <c r="B387" s="76" t="s">
        <v>459</v>
      </c>
      <c r="C387" s="16" t="s">
        <v>1499</v>
      </c>
      <c r="D387" s="16" t="s">
        <v>1496</v>
      </c>
      <c r="E387" s="50">
        <v>15</v>
      </c>
      <c r="F387" s="50">
        <v>0</v>
      </c>
      <c r="G387" s="16">
        <v>7</v>
      </c>
      <c r="H387" s="16" t="s">
        <v>1428</v>
      </c>
      <c r="I387" s="48" t="s">
        <v>1016</v>
      </c>
      <c r="J387" s="16" t="s">
        <v>2382</v>
      </c>
      <c r="K387" s="16">
        <v>50</v>
      </c>
      <c r="L387" s="16">
        <v>50</v>
      </c>
      <c r="M387" s="64"/>
      <c r="N387" s="64"/>
      <c r="O387" s="49" t="str">
        <f t="shared" si="56"/>
        <v>YES</v>
      </c>
      <c r="P387" s="52"/>
      <c r="Q387" s="53">
        <f t="shared" si="48"/>
        <v>5000</v>
      </c>
      <c r="R387" s="54">
        <f t="shared" si="49"/>
        <v>750</v>
      </c>
      <c r="S387" s="55" t="str">
        <f t="shared" si="50"/>
        <v xml:space="preserve"> </v>
      </c>
      <c r="T387" s="56"/>
      <c r="U387" s="57" t="str">
        <f t="shared" si="51"/>
        <v>100µg/100cm²</v>
      </c>
      <c r="V387" s="58">
        <f t="shared" si="52"/>
        <v>750</v>
      </c>
      <c r="W387" s="58" t="str">
        <f t="shared" si="53"/>
        <v xml:space="preserve"> </v>
      </c>
      <c r="X387" s="59" t="str">
        <f t="shared" si="54"/>
        <v/>
      </c>
      <c r="Y387" s="60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16" t="s">
        <v>675</v>
      </c>
      <c r="AT387" s="64"/>
      <c r="AU387" s="82"/>
      <c r="AV387" s="82"/>
      <c r="AW387" s="82"/>
      <c r="AX387" s="64"/>
      <c r="AY387" s="64"/>
      <c r="AZ387" s="64"/>
      <c r="BA387" s="64"/>
      <c r="BB387" s="64"/>
      <c r="BC387" s="64"/>
      <c r="BD387" s="64"/>
      <c r="BE387" s="64"/>
      <c r="BF387" s="64"/>
      <c r="BG387" s="64"/>
      <c r="BH387" s="64"/>
      <c r="BI387" s="64"/>
      <c r="BJ387" s="64"/>
      <c r="BK387" s="64"/>
      <c r="BL387" s="64"/>
      <c r="BM387" s="64"/>
      <c r="BN387" s="64"/>
      <c r="BO387" s="64"/>
      <c r="BP387" s="64"/>
      <c r="BQ387" s="64"/>
      <c r="BR387" s="64"/>
      <c r="BS387" s="64"/>
      <c r="BT387" s="65"/>
    </row>
    <row r="388" spans="1:72" ht="18" hidden="1" customHeight="1" x14ac:dyDescent="0.3">
      <c r="A388" s="81" t="s">
        <v>472</v>
      </c>
      <c r="B388" s="76" t="s">
        <v>459</v>
      </c>
      <c r="C388" s="16" t="s">
        <v>1499</v>
      </c>
      <c r="D388" s="16" t="s">
        <v>1496</v>
      </c>
      <c r="E388" s="50">
        <v>15</v>
      </c>
      <c r="F388" s="50">
        <v>0</v>
      </c>
      <c r="G388" s="16">
        <v>7</v>
      </c>
      <c r="H388" s="16" t="s">
        <v>1428</v>
      </c>
      <c r="I388" s="48" t="s">
        <v>1016</v>
      </c>
      <c r="J388" s="16" t="s">
        <v>2382</v>
      </c>
      <c r="K388" s="16">
        <v>50</v>
      </c>
      <c r="L388" s="16">
        <v>50</v>
      </c>
      <c r="M388" s="64"/>
      <c r="N388" s="64"/>
      <c r="O388" s="49" t="str">
        <f t="shared" si="56"/>
        <v>YES</v>
      </c>
      <c r="P388" s="52"/>
      <c r="Q388" s="53">
        <f t="shared" si="48"/>
        <v>5000</v>
      </c>
      <c r="R388" s="54">
        <f t="shared" si="49"/>
        <v>750</v>
      </c>
      <c r="S388" s="55" t="str">
        <f t="shared" si="50"/>
        <v xml:space="preserve"> </v>
      </c>
      <c r="T388" s="56"/>
      <c r="U388" s="57" t="str">
        <f t="shared" si="51"/>
        <v>100µg/100cm²</v>
      </c>
      <c r="V388" s="58">
        <f t="shared" si="52"/>
        <v>750</v>
      </c>
      <c r="W388" s="58" t="str">
        <f t="shared" si="53"/>
        <v xml:space="preserve"> </v>
      </c>
      <c r="X388" s="59" t="str">
        <f t="shared" si="54"/>
        <v/>
      </c>
      <c r="Y388" s="60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16" t="s">
        <v>675</v>
      </c>
      <c r="AT388" s="64"/>
      <c r="AU388" s="82"/>
      <c r="AV388" s="82"/>
      <c r="AW388" s="82"/>
      <c r="AX388" s="64"/>
      <c r="AY388" s="64"/>
      <c r="AZ388" s="64"/>
      <c r="BA388" s="64"/>
      <c r="BB388" s="64"/>
      <c r="BC388" s="64"/>
      <c r="BD388" s="64"/>
      <c r="BE388" s="64"/>
      <c r="BF388" s="64"/>
      <c r="BG388" s="64"/>
      <c r="BH388" s="64"/>
      <c r="BI388" s="64"/>
      <c r="BJ388" s="64"/>
      <c r="BK388" s="64"/>
      <c r="BL388" s="64"/>
      <c r="BM388" s="64"/>
      <c r="BN388" s="64"/>
      <c r="BO388" s="64"/>
      <c r="BP388" s="64"/>
      <c r="BQ388" s="64"/>
      <c r="BR388" s="64"/>
      <c r="BS388" s="64"/>
      <c r="BT388" s="65"/>
    </row>
    <row r="389" spans="1:72" ht="18" hidden="1" customHeight="1" x14ac:dyDescent="0.3">
      <c r="A389" s="81" t="s">
        <v>473</v>
      </c>
      <c r="B389" s="76" t="s">
        <v>459</v>
      </c>
      <c r="C389" s="16" t="s">
        <v>1499</v>
      </c>
      <c r="D389" s="16" t="s">
        <v>1496</v>
      </c>
      <c r="E389" s="50">
        <v>15</v>
      </c>
      <c r="F389" s="50">
        <v>0</v>
      </c>
      <c r="G389" s="16">
        <v>7</v>
      </c>
      <c r="H389" s="16" t="s">
        <v>1428</v>
      </c>
      <c r="I389" s="48" t="s">
        <v>1016</v>
      </c>
      <c r="J389" s="16" t="s">
        <v>2382</v>
      </c>
      <c r="K389" s="16">
        <v>50</v>
      </c>
      <c r="L389" s="16">
        <v>50</v>
      </c>
      <c r="M389" s="64"/>
      <c r="N389" s="64"/>
      <c r="O389" s="49" t="str">
        <f t="shared" si="56"/>
        <v>YES</v>
      </c>
      <c r="P389" s="52"/>
      <c r="Q389" s="53">
        <f t="shared" si="48"/>
        <v>5000</v>
      </c>
      <c r="R389" s="54">
        <f t="shared" si="49"/>
        <v>750</v>
      </c>
      <c r="S389" s="55" t="str">
        <f t="shared" si="50"/>
        <v xml:space="preserve"> </v>
      </c>
      <c r="T389" s="56"/>
      <c r="U389" s="57" t="str">
        <f t="shared" si="51"/>
        <v>100µg/100cm²</v>
      </c>
      <c r="V389" s="58">
        <f t="shared" si="52"/>
        <v>750</v>
      </c>
      <c r="W389" s="58" t="str">
        <f t="shared" si="53"/>
        <v xml:space="preserve"> </v>
      </c>
      <c r="X389" s="59" t="str">
        <f t="shared" si="54"/>
        <v/>
      </c>
      <c r="Y389" s="60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16" t="s">
        <v>675</v>
      </c>
      <c r="AT389" s="64"/>
      <c r="AU389" s="82"/>
      <c r="AV389" s="82"/>
      <c r="AW389" s="82"/>
      <c r="AX389" s="64"/>
      <c r="AY389" s="64"/>
      <c r="AZ389" s="64"/>
      <c r="BA389" s="64"/>
      <c r="BB389" s="64"/>
      <c r="BC389" s="64"/>
      <c r="BD389" s="64"/>
      <c r="BE389" s="64"/>
      <c r="BF389" s="64"/>
      <c r="BG389" s="64"/>
      <c r="BH389" s="64"/>
      <c r="BI389" s="64"/>
      <c r="BJ389" s="64"/>
      <c r="BK389" s="64"/>
      <c r="BL389" s="64"/>
      <c r="BM389" s="64"/>
      <c r="BN389" s="64"/>
      <c r="BO389" s="64"/>
      <c r="BP389" s="64"/>
      <c r="BQ389" s="64"/>
      <c r="BR389" s="64"/>
      <c r="BS389" s="64"/>
      <c r="BT389" s="65"/>
    </row>
    <row r="390" spans="1:72" ht="18" hidden="1" customHeight="1" x14ac:dyDescent="0.3">
      <c r="A390" s="127" t="s">
        <v>1782</v>
      </c>
      <c r="B390" s="76" t="s">
        <v>459</v>
      </c>
      <c r="C390" s="16" t="s">
        <v>1604</v>
      </c>
      <c r="D390" s="16" t="s">
        <v>1484</v>
      </c>
      <c r="E390" s="50">
        <v>50</v>
      </c>
      <c r="F390" s="50">
        <v>0</v>
      </c>
      <c r="G390" s="16">
        <v>3</v>
      </c>
      <c r="H390" s="16" t="s">
        <v>1810</v>
      </c>
      <c r="I390" s="48" t="s">
        <v>1016</v>
      </c>
      <c r="J390" s="16" t="s">
        <v>2382</v>
      </c>
      <c r="K390" s="16">
        <v>50</v>
      </c>
      <c r="L390" s="16">
        <v>50</v>
      </c>
      <c r="M390" s="64"/>
      <c r="N390" s="64"/>
      <c r="O390" s="49" t="str">
        <f t="shared" si="56"/>
        <v>YES</v>
      </c>
      <c r="P390" s="73"/>
      <c r="Q390" s="53">
        <f t="shared" si="48"/>
        <v>5000</v>
      </c>
      <c r="R390" s="54">
        <f t="shared" si="49"/>
        <v>2500</v>
      </c>
      <c r="S390" s="55" t="str">
        <f t="shared" si="50"/>
        <v xml:space="preserve"> </v>
      </c>
      <c r="T390" s="105"/>
      <c r="U390" s="57" t="str">
        <f t="shared" si="51"/>
        <v>100µg/100cm²</v>
      </c>
      <c r="V390" s="58">
        <f t="shared" si="52"/>
        <v>2500</v>
      </c>
      <c r="W390" s="58" t="str">
        <f t="shared" si="53"/>
        <v xml:space="preserve"> </v>
      </c>
      <c r="X390" s="59" t="str">
        <f t="shared" si="54"/>
        <v/>
      </c>
      <c r="Y390" s="60"/>
      <c r="Z390" s="64"/>
      <c r="AA390" s="16" t="s">
        <v>675</v>
      </c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16" t="s">
        <v>675</v>
      </c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  <c r="BD390" s="65"/>
      <c r="BE390" s="65"/>
      <c r="BF390" s="65"/>
      <c r="BG390" s="65"/>
      <c r="BH390" s="65"/>
      <c r="BI390" s="65"/>
      <c r="BJ390" s="65"/>
      <c r="BK390" s="65"/>
      <c r="BL390" s="65"/>
      <c r="BM390" s="65"/>
      <c r="BN390" s="65"/>
      <c r="BO390" s="65"/>
      <c r="BP390" s="65"/>
      <c r="BQ390" s="65"/>
      <c r="BR390" s="65"/>
      <c r="BS390" s="65"/>
      <c r="BT390" s="65"/>
    </row>
    <row r="391" spans="1:72" ht="18" hidden="1" customHeight="1" x14ac:dyDescent="0.3">
      <c r="A391" s="80" t="s">
        <v>1907</v>
      </c>
      <c r="B391" s="16" t="s">
        <v>1914</v>
      </c>
      <c r="C391" s="87" t="s">
        <v>1503</v>
      </c>
      <c r="D391" s="16" t="s">
        <v>1489</v>
      </c>
      <c r="E391" s="50">
        <v>42</v>
      </c>
      <c r="F391" s="50">
        <v>0</v>
      </c>
      <c r="G391" s="16">
        <v>4</v>
      </c>
      <c r="H391" s="16">
        <v>30</v>
      </c>
      <c r="I391" s="16" t="s">
        <v>1016</v>
      </c>
      <c r="J391" s="16" t="s">
        <v>2382</v>
      </c>
      <c r="K391" s="16">
        <v>50</v>
      </c>
      <c r="L391" s="16">
        <v>50</v>
      </c>
      <c r="M391" s="64"/>
      <c r="N391" s="64"/>
      <c r="O391" s="63" t="str">
        <f t="shared" si="56"/>
        <v>YES</v>
      </c>
      <c r="P391" s="73"/>
      <c r="Q391" s="53">
        <f t="shared" si="48"/>
        <v>5000</v>
      </c>
      <c r="R391" s="54">
        <f t="shared" si="49"/>
        <v>2100</v>
      </c>
      <c r="S391" s="55" t="str">
        <f t="shared" si="50"/>
        <v xml:space="preserve"> </v>
      </c>
      <c r="T391" s="105"/>
      <c r="U391" s="57" t="str">
        <f t="shared" si="51"/>
        <v>100µg/100cm²</v>
      </c>
      <c r="V391" s="58">
        <f t="shared" si="52"/>
        <v>2100</v>
      </c>
      <c r="W391" s="57" t="str">
        <f t="shared" si="53"/>
        <v xml:space="preserve"> </v>
      </c>
      <c r="X391" s="59" t="str">
        <f t="shared" si="54"/>
        <v/>
      </c>
      <c r="Y391" s="106"/>
      <c r="Z391" s="16" t="s">
        <v>1987</v>
      </c>
      <c r="AA391" s="16" t="s">
        <v>1987</v>
      </c>
      <c r="AB391" s="16" t="s">
        <v>1987</v>
      </c>
      <c r="AC391" s="16" t="s">
        <v>1987</v>
      </c>
      <c r="AD391" s="16" t="s">
        <v>1987</v>
      </c>
      <c r="AE391" s="16" t="s">
        <v>1987</v>
      </c>
      <c r="AF391" s="16" t="s">
        <v>1987</v>
      </c>
      <c r="AG391" s="16" t="s">
        <v>1987</v>
      </c>
      <c r="AH391" s="16" t="s">
        <v>1987</v>
      </c>
      <c r="AI391" s="16" t="s">
        <v>1987</v>
      </c>
      <c r="AJ391" s="16" t="s">
        <v>1987</v>
      </c>
      <c r="AK391" s="16" t="s">
        <v>1987</v>
      </c>
      <c r="AL391" s="16" t="s">
        <v>1987</v>
      </c>
      <c r="AM391" s="16" t="s">
        <v>1987</v>
      </c>
      <c r="AN391" s="16" t="s">
        <v>1987</v>
      </c>
      <c r="AO391" s="16" t="s">
        <v>1987</v>
      </c>
      <c r="AP391" s="16" t="s">
        <v>1987</v>
      </c>
      <c r="AQ391" s="16" t="s">
        <v>1987</v>
      </c>
      <c r="AR391" s="16" t="s">
        <v>1987</v>
      </c>
      <c r="AS391" s="16" t="s">
        <v>1987</v>
      </c>
      <c r="AT391" s="16" t="s">
        <v>1987</v>
      </c>
      <c r="AU391" s="16" t="s">
        <v>1987</v>
      </c>
      <c r="AV391" s="16" t="s">
        <v>1987</v>
      </c>
      <c r="AW391" s="16" t="s">
        <v>1987</v>
      </c>
      <c r="AX391" s="16" t="s">
        <v>1987</v>
      </c>
      <c r="AY391" s="16" t="s">
        <v>1987</v>
      </c>
      <c r="AZ391" s="16" t="s">
        <v>1987</v>
      </c>
      <c r="BA391" s="16" t="s">
        <v>1987</v>
      </c>
      <c r="BB391" s="16" t="s">
        <v>1987</v>
      </c>
      <c r="BC391" s="16" t="s">
        <v>1987</v>
      </c>
      <c r="BD391" s="16" t="s">
        <v>1987</v>
      </c>
      <c r="BE391" s="16" t="s">
        <v>1987</v>
      </c>
      <c r="BF391" s="16" t="s">
        <v>1987</v>
      </c>
      <c r="BG391" s="16" t="s">
        <v>1987</v>
      </c>
      <c r="BH391" s="16" t="s">
        <v>1987</v>
      </c>
      <c r="BI391" s="16" t="s">
        <v>1987</v>
      </c>
      <c r="BJ391" s="16" t="s">
        <v>1987</v>
      </c>
      <c r="BK391" s="16" t="s">
        <v>1987</v>
      </c>
      <c r="BL391" s="16" t="s">
        <v>1987</v>
      </c>
      <c r="BM391" s="16" t="s">
        <v>1987</v>
      </c>
      <c r="BN391" s="16" t="s">
        <v>1987</v>
      </c>
      <c r="BO391" s="16" t="s">
        <v>1987</v>
      </c>
      <c r="BP391" s="16" t="s">
        <v>1987</v>
      </c>
      <c r="BQ391" s="16" t="s">
        <v>1987</v>
      </c>
      <c r="BR391" s="16" t="s">
        <v>1987</v>
      </c>
      <c r="BS391" s="16" t="s">
        <v>1987</v>
      </c>
      <c r="BT391" s="16" t="s">
        <v>1987</v>
      </c>
    </row>
    <row r="392" spans="1:72" ht="18" hidden="1" customHeight="1" x14ac:dyDescent="0.3">
      <c r="A392" s="66" t="s">
        <v>594</v>
      </c>
      <c r="B392" s="69" t="s">
        <v>595</v>
      </c>
      <c r="C392" s="16" t="s">
        <v>2133</v>
      </c>
      <c r="D392" s="67" t="s">
        <v>1243</v>
      </c>
      <c r="E392" s="50">
        <v>42.1</v>
      </c>
      <c r="F392" s="50">
        <v>0</v>
      </c>
      <c r="G392" s="61">
        <v>1</v>
      </c>
      <c r="H392" s="16">
        <v>1080</v>
      </c>
      <c r="I392" s="48" t="s">
        <v>1016</v>
      </c>
      <c r="J392" s="16" t="s">
        <v>1275</v>
      </c>
      <c r="K392" s="62">
        <v>1000</v>
      </c>
      <c r="L392" s="62">
        <v>9000</v>
      </c>
      <c r="M392" s="62" t="s">
        <v>1276</v>
      </c>
      <c r="N392" s="51"/>
      <c r="O392" s="49" t="str">
        <f t="shared" si="56"/>
        <v>YES</v>
      </c>
      <c r="P392" s="52"/>
      <c r="Q392" s="53">
        <f t="shared" ref="Q392:Q455" si="57">IF(K392="Pending","Pending",IF(AND(K392&lt;5000,O392="YES"),MIN(ROUNDDOWN(K392*25550/140,1),5000),IF(AND(K392&lt;5000,O392="NO"),K392,IF(K392&gt;=5000,5000))))</f>
        <v>5000</v>
      </c>
      <c r="R392" s="54">
        <f t="shared" ref="R392:R455" si="58">IF(Q392="Pending","Pending",IF(E392=0," ",ROUNDDOWN(Q392*E392/100,1)))</f>
        <v>2105</v>
      </c>
      <c r="S392" s="55" t="str">
        <f t="shared" ref="S392:S455" si="59">IF(Q392="Pending","Pending",IF(F392=0, " ",ROUNDDOWN(Q392*F392/100,1)))</f>
        <v xml:space="preserve"> </v>
      </c>
      <c r="T392" s="56"/>
      <c r="U392" s="57" t="str">
        <f t="shared" ref="U392:U455" si="60">IF(Q392="Pending","Pending",IF(R392= " ", " ", IF(R392&lt;20, "Mitigation", "100µg/100cm²")))</f>
        <v>100µg/100cm²</v>
      </c>
      <c r="V392" s="58">
        <f t="shared" ref="V392:V455" si="61">IF(R392=0, " ", R392)</f>
        <v>2105</v>
      </c>
      <c r="W392" s="58" t="str">
        <f t="shared" ref="W392:W455" si="62">IF(Q392="Pending","Pending",IF(S392= " ", " ", IF(S392&lt;20, "Mitigation", "100µg/100cm²")))</f>
        <v xml:space="preserve"> </v>
      </c>
      <c r="X392" s="59" t="str">
        <f t="shared" ref="X392:X455" si="63">IF(K392="","Pending",IF(AND(Q392=5000,G392&lt;4,SUM(E392,F392)=0),"Water criteria (conductivity)",IF(AND(Q392=5000,G392&gt;3,SUM(E392,F392)=0),"Mitigation",IF(AND(Q392&lt;5000,G392&gt;0,SUM(E392,F392)=0),"Mitigation",""))))</f>
        <v/>
      </c>
      <c r="Y392" s="60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16" t="s">
        <v>675</v>
      </c>
      <c r="AV392" s="64"/>
      <c r="AW392" s="16" t="s">
        <v>675</v>
      </c>
      <c r="AX392" s="64"/>
      <c r="AY392" s="64"/>
      <c r="AZ392" s="64"/>
      <c r="BA392" s="64"/>
      <c r="BB392" s="64"/>
      <c r="BC392" s="64"/>
      <c r="BD392" s="64"/>
      <c r="BE392" s="64"/>
      <c r="BF392" s="64"/>
      <c r="BG392" s="64"/>
      <c r="BH392" s="64"/>
      <c r="BI392" s="64"/>
      <c r="BJ392" s="64"/>
      <c r="BK392" s="64"/>
      <c r="BL392" s="64"/>
      <c r="BM392" s="64"/>
      <c r="BN392" s="64"/>
      <c r="BO392" s="64"/>
      <c r="BP392" s="64"/>
      <c r="BQ392" s="64"/>
      <c r="BR392" s="64"/>
      <c r="BS392" s="64"/>
      <c r="BT392" s="65"/>
    </row>
    <row r="393" spans="1:72" ht="18" hidden="1" customHeight="1" x14ac:dyDescent="0.3">
      <c r="A393" s="47" t="s">
        <v>357</v>
      </c>
      <c r="B393" s="48" t="s">
        <v>358</v>
      </c>
      <c r="C393" s="16" t="s">
        <v>1242</v>
      </c>
      <c r="D393" s="49" t="s">
        <v>1243</v>
      </c>
      <c r="E393" s="50">
        <v>40</v>
      </c>
      <c r="F393" s="50">
        <v>0</v>
      </c>
      <c r="G393" s="61">
        <v>3</v>
      </c>
      <c r="H393" s="16">
        <v>50</v>
      </c>
      <c r="I393" s="48" t="s">
        <v>1016</v>
      </c>
      <c r="J393" s="16" t="s">
        <v>1244</v>
      </c>
      <c r="K393" s="62">
        <v>2780</v>
      </c>
      <c r="L393" s="62">
        <v>25020</v>
      </c>
      <c r="M393" s="62" t="s">
        <v>1245</v>
      </c>
      <c r="N393" s="62" t="s">
        <v>1058</v>
      </c>
      <c r="O393" s="63" t="str">
        <f t="shared" si="56"/>
        <v>NO</v>
      </c>
      <c r="P393" s="52"/>
      <c r="Q393" s="53">
        <f t="shared" si="57"/>
        <v>2780</v>
      </c>
      <c r="R393" s="54">
        <f t="shared" si="58"/>
        <v>1112</v>
      </c>
      <c r="S393" s="55" t="str">
        <f t="shared" si="59"/>
        <v xml:space="preserve"> </v>
      </c>
      <c r="T393" s="56"/>
      <c r="U393" s="57" t="str">
        <f t="shared" si="60"/>
        <v>100µg/100cm²</v>
      </c>
      <c r="V393" s="58">
        <f t="shared" si="61"/>
        <v>1112</v>
      </c>
      <c r="W393" s="58" t="str">
        <f t="shared" si="62"/>
        <v xml:space="preserve"> </v>
      </c>
      <c r="X393" s="59" t="str">
        <f t="shared" si="63"/>
        <v/>
      </c>
      <c r="Y393" s="60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16" t="s">
        <v>675</v>
      </c>
      <c r="AR393" s="64"/>
      <c r="AS393" s="16" t="s">
        <v>675</v>
      </c>
      <c r="AT393" s="64"/>
      <c r="AU393" s="64"/>
      <c r="AV393" s="64"/>
      <c r="AW393" s="64"/>
      <c r="AX393" s="64"/>
      <c r="AY393" s="64"/>
      <c r="AZ393" s="64"/>
      <c r="BA393" s="64"/>
      <c r="BB393" s="64"/>
      <c r="BC393" s="64"/>
      <c r="BD393" s="64"/>
      <c r="BE393" s="64"/>
      <c r="BF393" s="64"/>
      <c r="BG393" s="64"/>
      <c r="BH393" s="64"/>
      <c r="BI393" s="64"/>
      <c r="BJ393" s="64"/>
      <c r="BK393" s="64"/>
      <c r="BL393" s="64"/>
      <c r="BM393" s="64"/>
      <c r="BN393" s="64"/>
      <c r="BO393" s="64"/>
      <c r="BP393" s="64"/>
      <c r="BQ393" s="64"/>
      <c r="BR393" s="64"/>
      <c r="BS393" s="64"/>
      <c r="BT393" s="65"/>
    </row>
    <row r="394" spans="1:72" ht="18" customHeight="1" x14ac:dyDescent="0.3">
      <c r="A394" s="47" t="s">
        <v>349</v>
      </c>
      <c r="B394" s="49" t="s">
        <v>350</v>
      </c>
      <c r="C394" s="49" t="s">
        <v>1130</v>
      </c>
      <c r="D394" s="49" t="s">
        <v>1114</v>
      </c>
      <c r="E394" s="50">
        <v>0</v>
      </c>
      <c r="F394" s="50">
        <v>0</v>
      </c>
      <c r="G394" s="61">
        <v>1</v>
      </c>
      <c r="H394" s="16">
        <v>1980</v>
      </c>
      <c r="I394" s="49" t="s">
        <v>1016</v>
      </c>
      <c r="J394" s="16" t="s">
        <v>1131</v>
      </c>
      <c r="K394" s="62">
        <v>1.5</v>
      </c>
      <c r="L394" s="62">
        <v>1.5</v>
      </c>
      <c r="M394" s="62" t="s">
        <v>1036</v>
      </c>
      <c r="N394" s="51"/>
      <c r="O394" s="49" t="str">
        <f t="shared" si="56"/>
        <v>YES</v>
      </c>
      <c r="P394" s="52"/>
      <c r="Q394" s="53">
        <f t="shared" si="57"/>
        <v>273.7</v>
      </c>
      <c r="R394" s="54" t="str">
        <f t="shared" si="58"/>
        <v xml:space="preserve"> </v>
      </c>
      <c r="S394" s="55" t="str">
        <f t="shared" si="59"/>
        <v xml:space="preserve"> </v>
      </c>
      <c r="T394" s="56"/>
      <c r="U394" s="57" t="str">
        <f t="shared" si="60"/>
        <v xml:space="preserve"> </v>
      </c>
      <c r="V394" s="58" t="str">
        <f t="shared" si="61"/>
        <v xml:space="preserve"> </v>
      </c>
      <c r="W394" s="58" t="str">
        <f t="shared" si="62"/>
        <v xml:space="preserve"> </v>
      </c>
      <c r="X394" s="59" t="str">
        <f t="shared" si="63"/>
        <v>Mitigation</v>
      </c>
      <c r="Y394" s="60"/>
      <c r="Z394" s="64"/>
      <c r="AA394" s="64"/>
      <c r="AB394" s="64"/>
      <c r="AC394" s="64"/>
      <c r="AD394" s="16" t="s">
        <v>675</v>
      </c>
      <c r="AE394" s="64"/>
      <c r="AF394" s="64"/>
      <c r="AG394" s="64"/>
      <c r="AH394" s="64"/>
      <c r="AI394" s="64"/>
      <c r="AJ394" s="64"/>
      <c r="AK394" s="64"/>
      <c r="AL394" s="64"/>
      <c r="AM394" s="16" t="s">
        <v>675</v>
      </c>
      <c r="AN394" s="64"/>
      <c r="AO394" s="64"/>
      <c r="AP394" s="64"/>
      <c r="AQ394" s="16" t="s">
        <v>675</v>
      </c>
      <c r="AR394" s="64"/>
      <c r="AS394" s="64"/>
      <c r="AT394" s="64"/>
      <c r="AU394" s="16" t="s">
        <v>675</v>
      </c>
      <c r="AV394" s="64"/>
      <c r="AW394" s="16" t="s">
        <v>675</v>
      </c>
      <c r="AX394" s="64"/>
      <c r="AY394" s="64"/>
      <c r="AZ394" s="64"/>
      <c r="BA394" s="64"/>
      <c r="BB394" s="64"/>
      <c r="BC394" s="64"/>
      <c r="BD394" s="64"/>
      <c r="BE394" s="16" t="s">
        <v>675</v>
      </c>
      <c r="BF394" s="64"/>
      <c r="BG394" s="64"/>
      <c r="BH394" s="64"/>
      <c r="BI394" s="64"/>
      <c r="BJ394" s="64"/>
      <c r="BK394" s="64"/>
      <c r="BL394" s="64"/>
      <c r="BM394" s="64"/>
      <c r="BN394" s="64"/>
      <c r="BO394" s="64"/>
      <c r="BP394" s="64"/>
      <c r="BQ394" s="64"/>
      <c r="BR394" s="64"/>
      <c r="BS394" s="16" t="s">
        <v>675</v>
      </c>
      <c r="BT394" s="65"/>
    </row>
    <row r="395" spans="1:72" ht="18" customHeight="1" x14ac:dyDescent="0.3">
      <c r="A395" s="47" t="s">
        <v>691</v>
      </c>
      <c r="B395" s="49" t="s">
        <v>692</v>
      </c>
      <c r="C395" s="49" t="s">
        <v>1132</v>
      </c>
      <c r="D395" s="49" t="s">
        <v>1114</v>
      </c>
      <c r="E395" s="50">
        <v>0</v>
      </c>
      <c r="F395" s="50">
        <v>0</v>
      </c>
      <c r="G395" s="61">
        <v>3</v>
      </c>
      <c r="H395" s="16" t="s">
        <v>1133</v>
      </c>
      <c r="I395" s="49" t="s">
        <v>1016</v>
      </c>
      <c r="J395" s="16" t="s">
        <v>1134</v>
      </c>
      <c r="K395" s="62">
        <v>1.5</v>
      </c>
      <c r="L395" s="62">
        <v>1.5</v>
      </c>
      <c r="M395" s="62" t="s">
        <v>1036</v>
      </c>
      <c r="N395" s="51"/>
      <c r="O395" s="49" t="str">
        <f t="shared" si="56"/>
        <v>YES</v>
      </c>
      <c r="P395" s="52"/>
      <c r="Q395" s="53">
        <f t="shared" si="57"/>
        <v>273.7</v>
      </c>
      <c r="R395" s="54" t="str">
        <f t="shared" si="58"/>
        <v xml:space="preserve"> </v>
      </c>
      <c r="S395" s="55" t="str">
        <f t="shared" si="59"/>
        <v xml:space="preserve"> </v>
      </c>
      <c r="T395" s="56"/>
      <c r="U395" s="57" t="str">
        <f t="shared" si="60"/>
        <v xml:space="preserve"> </v>
      </c>
      <c r="V395" s="58" t="str">
        <f t="shared" si="61"/>
        <v xml:space="preserve"> </v>
      </c>
      <c r="W395" s="58" t="str">
        <f t="shared" si="62"/>
        <v xml:space="preserve"> </v>
      </c>
      <c r="X395" s="59" t="str">
        <f t="shared" si="63"/>
        <v>Mitigation</v>
      </c>
      <c r="Y395" s="60"/>
      <c r="Z395" s="64"/>
      <c r="AA395" s="16" t="s">
        <v>675</v>
      </c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16" t="s">
        <v>675</v>
      </c>
      <c r="AN395" s="65"/>
      <c r="AO395" s="65"/>
      <c r="AP395" s="65"/>
      <c r="AQ395" s="65"/>
      <c r="AR395" s="65"/>
      <c r="AS395" s="65"/>
      <c r="AT395" s="65"/>
      <c r="AU395" s="65"/>
      <c r="AV395" s="65"/>
      <c r="AW395" s="65"/>
      <c r="AX395" s="65"/>
      <c r="AY395" s="65"/>
      <c r="AZ395" s="65"/>
      <c r="BA395" s="65"/>
      <c r="BB395" s="65"/>
      <c r="BC395" s="65"/>
      <c r="BD395" s="65"/>
      <c r="BE395" s="65"/>
      <c r="BF395" s="65"/>
      <c r="BG395" s="65"/>
      <c r="BH395" s="65"/>
      <c r="BI395" s="65"/>
      <c r="BJ395" s="65"/>
      <c r="BK395" s="65"/>
      <c r="BL395" s="65"/>
      <c r="BM395" s="65"/>
      <c r="BN395" s="65"/>
      <c r="BO395" s="65"/>
      <c r="BP395" s="65"/>
      <c r="BQ395" s="65"/>
      <c r="BR395" s="65"/>
      <c r="BS395" s="65"/>
      <c r="BT395" s="65"/>
    </row>
    <row r="396" spans="1:72" ht="18" customHeight="1" x14ac:dyDescent="0.3">
      <c r="A396" s="47" t="s">
        <v>651</v>
      </c>
      <c r="B396" s="48" t="s">
        <v>485</v>
      </c>
      <c r="C396" s="49" t="s">
        <v>1135</v>
      </c>
      <c r="D396" s="49" t="s">
        <v>1114</v>
      </c>
      <c r="E396" s="50">
        <v>0</v>
      </c>
      <c r="F396" s="50">
        <v>0</v>
      </c>
      <c r="G396" s="61">
        <v>2</v>
      </c>
      <c r="H396" s="16">
        <v>762</v>
      </c>
      <c r="I396" s="48" t="s">
        <v>1016</v>
      </c>
      <c r="J396" s="16" t="s">
        <v>1136</v>
      </c>
      <c r="K396" s="62">
        <v>1.5</v>
      </c>
      <c r="L396" s="62">
        <v>1.5</v>
      </c>
      <c r="M396" s="62" t="s">
        <v>1036</v>
      </c>
      <c r="N396" s="51"/>
      <c r="O396" s="49" t="str">
        <f t="shared" si="56"/>
        <v>YES</v>
      </c>
      <c r="P396" s="52"/>
      <c r="Q396" s="53">
        <f t="shared" si="57"/>
        <v>273.7</v>
      </c>
      <c r="R396" s="54" t="str">
        <f t="shared" si="58"/>
        <v xml:space="preserve"> </v>
      </c>
      <c r="S396" s="55" t="str">
        <f t="shared" si="59"/>
        <v xml:space="preserve"> </v>
      </c>
      <c r="T396" s="56"/>
      <c r="U396" s="57" t="str">
        <f t="shared" si="60"/>
        <v xml:space="preserve"> </v>
      </c>
      <c r="V396" s="58" t="str">
        <f t="shared" si="61"/>
        <v xml:space="preserve"> </v>
      </c>
      <c r="W396" s="58" t="str">
        <f t="shared" si="62"/>
        <v xml:space="preserve"> </v>
      </c>
      <c r="X396" s="59" t="str">
        <f t="shared" si="63"/>
        <v>Mitigation</v>
      </c>
      <c r="Y396" s="60"/>
      <c r="Z396" s="16" t="s">
        <v>675</v>
      </c>
      <c r="AA396" s="16" t="s">
        <v>675</v>
      </c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16" t="s">
        <v>675</v>
      </c>
      <c r="AN396" s="64"/>
      <c r="AO396" s="64"/>
      <c r="AP396" s="64"/>
      <c r="AQ396" s="64"/>
      <c r="AR396" s="64"/>
      <c r="AS396" s="16" t="s">
        <v>675</v>
      </c>
      <c r="AT396" s="64"/>
      <c r="AU396" s="64"/>
      <c r="AV396" s="64"/>
      <c r="AW396" s="64"/>
      <c r="AX396" s="64"/>
      <c r="AY396" s="64"/>
      <c r="AZ396" s="64"/>
      <c r="BA396" s="16" t="s">
        <v>675</v>
      </c>
      <c r="BB396" s="16" t="s">
        <v>675</v>
      </c>
      <c r="BC396" s="64"/>
      <c r="BD396" s="64"/>
      <c r="BE396" s="64"/>
      <c r="BF396" s="64"/>
      <c r="BG396" s="64"/>
      <c r="BH396" s="64"/>
      <c r="BI396" s="64"/>
      <c r="BJ396" s="64"/>
      <c r="BK396" s="64"/>
      <c r="BL396" s="64"/>
      <c r="BM396" s="64"/>
      <c r="BN396" s="64"/>
      <c r="BO396" s="64"/>
      <c r="BP396" s="64"/>
      <c r="BQ396" s="64"/>
      <c r="BR396" s="64"/>
      <c r="BS396" s="64"/>
      <c r="BT396" s="65"/>
    </row>
    <row r="397" spans="1:72" ht="18" hidden="1" customHeight="1" x14ac:dyDescent="0.3">
      <c r="A397" s="47" t="s">
        <v>271</v>
      </c>
      <c r="B397" s="48" t="s">
        <v>272</v>
      </c>
      <c r="C397" s="16" t="s">
        <v>2160</v>
      </c>
      <c r="D397" s="49" t="s">
        <v>1028</v>
      </c>
      <c r="E397" s="50">
        <v>39.6</v>
      </c>
      <c r="F397" s="50">
        <v>0</v>
      </c>
      <c r="G397" s="61">
        <v>2</v>
      </c>
      <c r="H397" s="16">
        <v>182</v>
      </c>
      <c r="I397" s="48" t="s">
        <v>1016</v>
      </c>
      <c r="J397" s="16" t="s">
        <v>2386</v>
      </c>
      <c r="K397" s="49">
        <v>50</v>
      </c>
      <c r="L397" s="49">
        <v>50</v>
      </c>
      <c r="M397" s="64"/>
      <c r="N397" s="64"/>
      <c r="O397" s="49" t="str">
        <f t="shared" si="56"/>
        <v>YES</v>
      </c>
      <c r="P397" s="52"/>
      <c r="Q397" s="53">
        <f t="shared" si="57"/>
        <v>5000</v>
      </c>
      <c r="R397" s="54">
        <f t="shared" si="58"/>
        <v>1980</v>
      </c>
      <c r="S397" s="55" t="str">
        <f t="shared" si="59"/>
        <v xml:space="preserve"> </v>
      </c>
      <c r="T397" s="56"/>
      <c r="U397" s="57" t="str">
        <f t="shared" si="60"/>
        <v>100µg/100cm²</v>
      </c>
      <c r="V397" s="58">
        <f t="shared" si="61"/>
        <v>1980</v>
      </c>
      <c r="W397" s="58" t="str">
        <f t="shared" si="62"/>
        <v xml:space="preserve"> </v>
      </c>
      <c r="X397" s="59" t="str">
        <f t="shared" si="63"/>
        <v/>
      </c>
      <c r="Y397" s="60"/>
      <c r="Z397" s="64"/>
      <c r="AA397" s="64"/>
      <c r="AB397" s="64"/>
      <c r="AC397" s="64"/>
      <c r="AD397" s="64"/>
      <c r="AE397" s="64"/>
      <c r="AF397" s="16" t="s">
        <v>675</v>
      </c>
      <c r="AG397" s="64"/>
      <c r="AH397" s="64"/>
      <c r="AI397" s="64"/>
      <c r="AJ397" s="64"/>
      <c r="AK397" s="16" t="s">
        <v>675</v>
      </c>
      <c r="AL397" s="16" t="s">
        <v>675</v>
      </c>
      <c r="AM397" s="16" t="s">
        <v>675</v>
      </c>
      <c r="AN397" s="64"/>
      <c r="AO397" s="64"/>
      <c r="AP397" s="64"/>
      <c r="AQ397" s="64"/>
      <c r="AR397" s="64"/>
      <c r="AS397" s="16" t="s">
        <v>675</v>
      </c>
      <c r="AT397" s="16" t="s">
        <v>675</v>
      </c>
      <c r="AU397" s="64"/>
      <c r="AV397" s="64"/>
      <c r="AW397" s="64"/>
      <c r="AX397" s="64"/>
      <c r="AY397" s="64"/>
      <c r="AZ397" s="64"/>
      <c r="BA397" s="64"/>
      <c r="BB397" s="64"/>
      <c r="BC397" s="64"/>
      <c r="BD397" s="64"/>
      <c r="BE397" s="64"/>
      <c r="BF397" s="64"/>
      <c r="BG397" s="16" t="s">
        <v>675</v>
      </c>
      <c r="BH397" s="16" t="s">
        <v>675</v>
      </c>
      <c r="BI397" s="64"/>
      <c r="BJ397" s="64"/>
      <c r="BK397" s="64"/>
      <c r="BL397" s="64"/>
      <c r="BM397" s="64"/>
      <c r="BN397" s="64"/>
      <c r="BO397" s="64"/>
      <c r="BP397" s="64"/>
      <c r="BQ397" s="64"/>
      <c r="BR397" s="64"/>
      <c r="BS397" s="16" t="s">
        <v>675</v>
      </c>
      <c r="BT397" s="65"/>
    </row>
    <row r="398" spans="1:72" ht="18" hidden="1" customHeight="1" x14ac:dyDescent="0.3">
      <c r="A398" s="81" t="s">
        <v>531</v>
      </c>
      <c r="B398" s="76" t="s">
        <v>532</v>
      </c>
      <c r="C398" s="16" t="s">
        <v>1974</v>
      </c>
      <c r="D398" s="16" t="s">
        <v>1494</v>
      </c>
      <c r="E398" s="50">
        <v>50</v>
      </c>
      <c r="F398" s="50">
        <v>0</v>
      </c>
      <c r="G398" s="16">
        <v>3</v>
      </c>
      <c r="H398" s="16" t="s">
        <v>1263</v>
      </c>
      <c r="I398" s="99" t="s">
        <v>1016</v>
      </c>
      <c r="J398" s="16" t="s">
        <v>2382</v>
      </c>
      <c r="K398" s="16">
        <v>50</v>
      </c>
      <c r="L398" s="16">
        <v>50</v>
      </c>
      <c r="M398" s="64"/>
      <c r="N398" s="64"/>
      <c r="O398" s="49" t="str">
        <f t="shared" si="56"/>
        <v>YES</v>
      </c>
      <c r="P398" s="52"/>
      <c r="Q398" s="53">
        <f t="shared" si="57"/>
        <v>5000</v>
      </c>
      <c r="R398" s="54">
        <f t="shared" si="58"/>
        <v>2500</v>
      </c>
      <c r="S398" s="55" t="str">
        <f t="shared" si="59"/>
        <v xml:space="preserve"> </v>
      </c>
      <c r="T398" s="56"/>
      <c r="U398" s="57" t="str">
        <f t="shared" si="60"/>
        <v>100µg/100cm²</v>
      </c>
      <c r="V398" s="58">
        <f t="shared" si="61"/>
        <v>2500</v>
      </c>
      <c r="W398" s="58" t="str">
        <f t="shared" si="62"/>
        <v xml:space="preserve"> </v>
      </c>
      <c r="X398" s="59" t="str">
        <f t="shared" si="63"/>
        <v/>
      </c>
      <c r="Y398" s="60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16" t="s">
        <v>675</v>
      </c>
      <c r="AT398" s="64"/>
      <c r="AU398" s="82"/>
      <c r="AV398" s="82"/>
      <c r="AW398" s="82"/>
      <c r="AX398" s="64"/>
      <c r="AY398" s="64"/>
      <c r="AZ398" s="64"/>
      <c r="BA398" s="64"/>
      <c r="BB398" s="64"/>
      <c r="BC398" s="64"/>
      <c r="BD398" s="64"/>
      <c r="BE398" s="64"/>
      <c r="BF398" s="64"/>
      <c r="BG398" s="64"/>
      <c r="BH398" s="64"/>
      <c r="BI398" s="64"/>
      <c r="BJ398" s="64"/>
      <c r="BK398" s="64"/>
      <c r="BL398" s="64"/>
      <c r="BM398" s="64"/>
      <c r="BN398" s="64"/>
      <c r="BO398" s="64"/>
      <c r="BP398" s="64"/>
      <c r="BQ398" s="64"/>
      <c r="BR398" s="64"/>
      <c r="BS398" s="64"/>
      <c r="BT398" s="65"/>
    </row>
    <row r="399" spans="1:72" ht="18" hidden="1" customHeight="1" x14ac:dyDescent="0.3">
      <c r="A399" s="47" t="s">
        <v>1698</v>
      </c>
      <c r="B399" s="48" t="s">
        <v>1699</v>
      </c>
      <c r="C399" s="49" t="s">
        <v>2161</v>
      </c>
      <c r="D399" s="16" t="s">
        <v>1358</v>
      </c>
      <c r="E399" s="50">
        <v>62.41</v>
      </c>
      <c r="F399" s="50">
        <v>0</v>
      </c>
      <c r="G399" s="61">
        <v>3</v>
      </c>
      <c r="H399" s="16" t="s">
        <v>1263</v>
      </c>
      <c r="I399" s="70" t="s">
        <v>1474</v>
      </c>
      <c r="J399" s="16" t="s">
        <v>1700</v>
      </c>
      <c r="K399" s="16">
        <v>5</v>
      </c>
      <c r="L399" s="16">
        <v>5</v>
      </c>
      <c r="M399" s="49" t="s">
        <v>1033</v>
      </c>
      <c r="N399" s="16" t="s">
        <v>1058</v>
      </c>
      <c r="O399" s="63" t="str">
        <f t="shared" si="56"/>
        <v>NO</v>
      </c>
      <c r="P399" s="73"/>
      <c r="Q399" s="53">
        <f t="shared" si="57"/>
        <v>5</v>
      </c>
      <c r="R399" s="54">
        <f t="shared" si="58"/>
        <v>3.1</v>
      </c>
      <c r="S399" s="55" t="str">
        <f t="shared" si="59"/>
        <v xml:space="preserve"> </v>
      </c>
      <c r="T399" s="56"/>
      <c r="U399" s="57" t="str">
        <f t="shared" si="60"/>
        <v>Mitigation</v>
      </c>
      <c r="V399" s="58">
        <f t="shared" si="61"/>
        <v>3.1</v>
      </c>
      <c r="W399" s="58" t="str">
        <f t="shared" si="62"/>
        <v xml:space="preserve"> </v>
      </c>
      <c r="X399" s="59" t="str">
        <f t="shared" si="63"/>
        <v/>
      </c>
      <c r="Y399" s="60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16" t="s">
        <v>675</v>
      </c>
      <c r="AK399" s="64"/>
      <c r="AL399" s="64"/>
      <c r="AM399" s="16" t="s">
        <v>675</v>
      </c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64"/>
      <c r="BE399" s="64"/>
      <c r="BF399" s="64"/>
      <c r="BG399" s="64"/>
      <c r="BH399" s="64"/>
      <c r="BI399" s="64"/>
      <c r="BJ399" s="64"/>
      <c r="BK399" s="64"/>
      <c r="BL399" s="64"/>
      <c r="BM399" s="64"/>
      <c r="BN399" s="64"/>
      <c r="BO399" s="64"/>
      <c r="BP399" s="64"/>
      <c r="BQ399" s="64"/>
      <c r="BR399" s="64"/>
      <c r="BS399" s="64"/>
      <c r="BT399" s="65"/>
    </row>
    <row r="400" spans="1:72" ht="18" hidden="1" customHeight="1" x14ac:dyDescent="0.3">
      <c r="A400" s="81" t="s">
        <v>474</v>
      </c>
      <c r="B400" s="76" t="s">
        <v>459</v>
      </c>
      <c r="C400" s="16" t="s">
        <v>1500</v>
      </c>
      <c r="D400" s="16" t="s">
        <v>1485</v>
      </c>
      <c r="E400" s="50">
        <v>50</v>
      </c>
      <c r="F400" s="50">
        <v>0</v>
      </c>
      <c r="G400" s="16">
        <v>1</v>
      </c>
      <c r="H400" s="16" t="s">
        <v>1023</v>
      </c>
      <c r="I400" s="16" t="s">
        <v>1016</v>
      </c>
      <c r="J400" s="16" t="s">
        <v>2382</v>
      </c>
      <c r="K400" s="16">
        <v>50</v>
      </c>
      <c r="L400" s="16">
        <v>50</v>
      </c>
      <c r="M400" s="64"/>
      <c r="N400" s="64"/>
      <c r="O400" s="49" t="str">
        <f t="shared" si="56"/>
        <v>YES</v>
      </c>
      <c r="P400" s="52"/>
      <c r="Q400" s="53">
        <f t="shared" si="57"/>
        <v>5000</v>
      </c>
      <c r="R400" s="54">
        <f t="shared" si="58"/>
        <v>2500</v>
      </c>
      <c r="S400" s="55" t="str">
        <f t="shared" si="59"/>
        <v xml:space="preserve"> </v>
      </c>
      <c r="T400" s="56"/>
      <c r="U400" s="57" t="str">
        <f t="shared" si="60"/>
        <v>100µg/100cm²</v>
      </c>
      <c r="V400" s="58">
        <f t="shared" si="61"/>
        <v>2500</v>
      </c>
      <c r="W400" s="58" t="str">
        <f t="shared" si="62"/>
        <v xml:space="preserve"> </v>
      </c>
      <c r="X400" s="59" t="str">
        <f t="shared" si="63"/>
        <v/>
      </c>
      <c r="Y400" s="60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16" t="s">
        <v>675</v>
      </c>
      <c r="AT400" s="64"/>
      <c r="AU400" s="82"/>
      <c r="AV400" s="82"/>
      <c r="AW400" s="82"/>
      <c r="AX400" s="64"/>
      <c r="AY400" s="64"/>
      <c r="AZ400" s="64"/>
      <c r="BA400" s="64"/>
      <c r="BB400" s="64"/>
      <c r="BC400" s="64"/>
      <c r="BD400" s="64"/>
      <c r="BE400" s="64"/>
      <c r="BF400" s="64"/>
      <c r="BG400" s="64"/>
      <c r="BH400" s="64"/>
      <c r="BI400" s="64"/>
      <c r="BJ400" s="64"/>
      <c r="BK400" s="64"/>
      <c r="BL400" s="64"/>
      <c r="BM400" s="64"/>
      <c r="BN400" s="64"/>
      <c r="BO400" s="64"/>
      <c r="BP400" s="64"/>
      <c r="BQ400" s="64"/>
      <c r="BR400" s="64"/>
      <c r="BS400" s="64"/>
      <c r="BT400" s="65"/>
    </row>
    <row r="401" spans="1:72" ht="18" hidden="1" customHeight="1" x14ac:dyDescent="0.3">
      <c r="A401" s="81" t="s">
        <v>905</v>
      </c>
      <c r="B401" s="76" t="s">
        <v>459</v>
      </c>
      <c r="C401" s="16" t="s">
        <v>1501</v>
      </c>
      <c r="D401" s="16" t="s">
        <v>1497</v>
      </c>
      <c r="E401" s="50">
        <v>50</v>
      </c>
      <c r="F401" s="50">
        <v>0</v>
      </c>
      <c r="G401" s="16">
        <v>1</v>
      </c>
      <c r="H401" s="16" t="s">
        <v>1023</v>
      </c>
      <c r="I401" s="16" t="s">
        <v>1016</v>
      </c>
      <c r="J401" s="16" t="s">
        <v>2382</v>
      </c>
      <c r="K401" s="16">
        <v>50</v>
      </c>
      <c r="L401" s="16">
        <v>50</v>
      </c>
      <c r="M401" s="64"/>
      <c r="N401" s="64"/>
      <c r="O401" s="49" t="str">
        <f t="shared" si="56"/>
        <v>YES</v>
      </c>
      <c r="P401" s="52"/>
      <c r="Q401" s="53">
        <f t="shared" si="57"/>
        <v>5000</v>
      </c>
      <c r="R401" s="54">
        <f t="shared" si="58"/>
        <v>2500</v>
      </c>
      <c r="S401" s="55" t="str">
        <f t="shared" si="59"/>
        <v xml:space="preserve"> </v>
      </c>
      <c r="T401" s="56"/>
      <c r="U401" s="57" t="str">
        <f t="shared" si="60"/>
        <v>100µg/100cm²</v>
      </c>
      <c r="V401" s="58">
        <f t="shared" si="61"/>
        <v>2500</v>
      </c>
      <c r="W401" s="58" t="str">
        <f t="shared" si="62"/>
        <v xml:space="preserve"> </v>
      </c>
      <c r="X401" s="59" t="str">
        <f t="shared" si="63"/>
        <v/>
      </c>
      <c r="Y401" s="60"/>
      <c r="Z401" s="64"/>
      <c r="AA401" s="64"/>
      <c r="AB401" s="64"/>
      <c r="AC401" s="64"/>
      <c r="AD401" s="64"/>
      <c r="AE401" s="16" t="s">
        <v>675</v>
      </c>
      <c r="AF401" s="64"/>
      <c r="AG401" s="64"/>
      <c r="AH401" s="64"/>
      <c r="AI401" s="64"/>
      <c r="AJ401" s="64"/>
      <c r="AK401" s="64"/>
      <c r="AL401" s="64"/>
      <c r="AM401" s="16" t="s">
        <v>675</v>
      </c>
      <c r="AN401" s="64"/>
      <c r="AO401" s="64"/>
      <c r="AP401" s="64"/>
      <c r="AQ401" s="64"/>
      <c r="AR401" s="64"/>
      <c r="AS401" s="64"/>
      <c r="AT401" s="64"/>
      <c r="AU401" s="83" t="s">
        <v>675</v>
      </c>
      <c r="AV401" s="83" t="s">
        <v>675</v>
      </c>
      <c r="AW401" s="16" t="s">
        <v>675</v>
      </c>
      <c r="AX401" s="64"/>
      <c r="AY401" s="64"/>
      <c r="AZ401" s="64"/>
      <c r="BA401" s="64"/>
      <c r="BB401" s="64"/>
      <c r="BC401" s="64"/>
      <c r="BD401" s="64"/>
      <c r="BE401" s="64"/>
      <c r="BF401" s="64"/>
      <c r="BG401" s="64"/>
      <c r="BH401" s="64"/>
      <c r="BI401" s="64"/>
      <c r="BJ401" s="64"/>
      <c r="BK401" s="64"/>
      <c r="BL401" s="64"/>
      <c r="BM401" s="64"/>
      <c r="BN401" s="64"/>
      <c r="BO401" s="64"/>
      <c r="BP401" s="64"/>
      <c r="BQ401" s="64"/>
      <c r="BR401" s="64"/>
      <c r="BS401" s="64"/>
      <c r="BT401" s="65"/>
    </row>
    <row r="402" spans="1:72" ht="18" hidden="1" customHeight="1" x14ac:dyDescent="0.3">
      <c r="A402" s="128" t="s">
        <v>475</v>
      </c>
      <c r="B402" s="99" t="s">
        <v>459</v>
      </c>
      <c r="C402" s="16" t="s">
        <v>1500</v>
      </c>
      <c r="D402" s="16" t="s">
        <v>1485</v>
      </c>
      <c r="E402" s="50">
        <v>50</v>
      </c>
      <c r="F402" s="50">
        <v>0</v>
      </c>
      <c r="G402" s="16">
        <v>1</v>
      </c>
      <c r="H402" s="16" t="s">
        <v>1023</v>
      </c>
      <c r="I402" s="16" t="s">
        <v>1016</v>
      </c>
      <c r="J402" s="16" t="s">
        <v>2382</v>
      </c>
      <c r="K402" s="16">
        <v>50</v>
      </c>
      <c r="L402" s="16">
        <v>50</v>
      </c>
      <c r="M402" s="64"/>
      <c r="N402" s="64"/>
      <c r="O402" s="49" t="str">
        <f t="shared" si="56"/>
        <v>YES</v>
      </c>
      <c r="P402" s="52"/>
      <c r="Q402" s="53">
        <f t="shared" si="57"/>
        <v>5000</v>
      </c>
      <c r="R402" s="54">
        <f t="shared" si="58"/>
        <v>2500</v>
      </c>
      <c r="S402" s="55" t="str">
        <f t="shared" si="59"/>
        <v xml:space="preserve"> </v>
      </c>
      <c r="T402" s="56"/>
      <c r="U402" s="57" t="str">
        <f t="shared" si="60"/>
        <v>100µg/100cm²</v>
      </c>
      <c r="V402" s="58">
        <f t="shared" si="61"/>
        <v>2500</v>
      </c>
      <c r="W402" s="58" t="str">
        <f t="shared" si="62"/>
        <v xml:space="preserve"> </v>
      </c>
      <c r="X402" s="59" t="str">
        <f t="shared" si="63"/>
        <v/>
      </c>
      <c r="Y402" s="60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16" t="s">
        <v>675</v>
      </c>
      <c r="AT402" s="64"/>
      <c r="AU402" s="64"/>
      <c r="AV402" s="64"/>
      <c r="AW402" s="64"/>
      <c r="AX402" s="64"/>
      <c r="AY402" s="64"/>
      <c r="AZ402" s="64"/>
      <c r="BA402" s="64"/>
      <c r="BB402" s="64"/>
      <c r="BC402" s="64"/>
      <c r="BD402" s="64"/>
      <c r="BE402" s="64"/>
      <c r="BF402" s="64"/>
      <c r="BG402" s="64"/>
      <c r="BH402" s="64"/>
      <c r="BI402" s="64"/>
      <c r="BJ402" s="64"/>
      <c r="BK402" s="16" t="s">
        <v>675</v>
      </c>
      <c r="BL402" s="64"/>
      <c r="BM402" s="64"/>
      <c r="BN402" s="64"/>
      <c r="BO402" s="64"/>
      <c r="BP402" s="64"/>
      <c r="BQ402" s="64"/>
      <c r="BR402" s="64"/>
      <c r="BS402" s="16" t="s">
        <v>675</v>
      </c>
      <c r="BT402" s="65"/>
    </row>
    <row r="403" spans="1:72" ht="18" hidden="1" customHeight="1" x14ac:dyDescent="0.3">
      <c r="A403" s="81" t="s">
        <v>578</v>
      </c>
      <c r="B403" s="76" t="s">
        <v>459</v>
      </c>
      <c r="C403" s="16" t="s">
        <v>1500</v>
      </c>
      <c r="D403" s="16" t="s">
        <v>1485</v>
      </c>
      <c r="E403" s="50">
        <v>50</v>
      </c>
      <c r="F403" s="50">
        <v>0</v>
      </c>
      <c r="G403" s="16">
        <v>1</v>
      </c>
      <c r="H403" s="16" t="s">
        <v>1023</v>
      </c>
      <c r="I403" s="16" t="s">
        <v>1016</v>
      </c>
      <c r="J403" s="16" t="s">
        <v>2382</v>
      </c>
      <c r="K403" s="16">
        <v>50</v>
      </c>
      <c r="L403" s="16">
        <v>50</v>
      </c>
      <c r="M403" s="64"/>
      <c r="N403" s="64"/>
      <c r="O403" s="49" t="str">
        <f t="shared" si="56"/>
        <v>YES</v>
      </c>
      <c r="P403" s="52"/>
      <c r="Q403" s="53">
        <f t="shared" si="57"/>
        <v>5000</v>
      </c>
      <c r="R403" s="54">
        <f t="shared" si="58"/>
        <v>2500</v>
      </c>
      <c r="S403" s="55" t="str">
        <f t="shared" si="59"/>
        <v xml:space="preserve"> </v>
      </c>
      <c r="T403" s="56"/>
      <c r="U403" s="57" t="str">
        <f t="shared" si="60"/>
        <v>100µg/100cm²</v>
      </c>
      <c r="V403" s="58">
        <f t="shared" si="61"/>
        <v>2500</v>
      </c>
      <c r="W403" s="58" t="str">
        <f t="shared" si="62"/>
        <v xml:space="preserve"> </v>
      </c>
      <c r="X403" s="59" t="str">
        <f t="shared" si="63"/>
        <v/>
      </c>
      <c r="Y403" s="60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16" t="s">
        <v>675</v>
      </c>
      <c r="AT403" s="64"/>
      <c r="AU403" s="82"/>
      <c r="AV403" s="82"/>
      <c r="AW403" s="82"/>
      <c r="AX403" s="64"/>
      <c r="AY403" s="64"/>
      <c r="AZ403" s="64"/>
      <c r="BA403" s="64"/>
      <c r="BB403" s="64"/>
      <c r="BC403" s="64"/>
      <c r="BD403" s="64"/>
      <c r="BE403" s="64"/>
      <c r="BF403" s="64"/>
      <c r="BG403" s="64"/>
      <c r="BH403" s="64"/>
      <c r="BI403" s="64"/>
      <c r="BJ403" s="64"/>
      <c r="BK403" s="64"/>
      <c r="BL403" s="64"/>
      <c r="BM403" s="64"/>
      <c r="BN403" s="64"/>
      <c r="BO403" s="64"/>
      <c r="BP403" s="64"/>
      <c r="BQ403" s="64"/>
      <c r="BR403" s="64"/>
      <c r="BS403" s="64"/>
      <c r="BT403" s="65"/>
    </row>
    <row r="404" spans="1:72" ht="18" hidden="1" customHeight="1" x14ac:dyDescent="0.3">
      <c r="A404" s="81" t="s">
        <v>906</v>
      </c>
      <c r="B404" s="76" t="s">
        <v>459</v>
      </c>
      <c r="C404" s="16" t="s">
        <v>1501</v>
      </c>
      <c r="D404" s="16" t="s">
        <v>1497</v>
      </c>
      <c r="E404" s="50">
        <v>50</v>
      </c>
      <c r="F404" s="50">
        <v>0</v>
      </c>
      <c r="G404" s="16">
        <v>1</v>
      </c>
      <c r="H404" s="16" t="s">
        <v>1023</v>
      </c>
      <c r="I404" s="16" t="s">
        <v>1016</v>
      </c>
      <c r="J404" s="16" t="s">
        <v>2382</v>
      </c>
      <c r="K404" s="16">
        <v>50</v>
      </c>
      <c r="L404" s="16">
        <v>50</v>
      </c>
      <c r="M404" s="64"/>
      <c r="N404" s="64"/>
      <c r="O404" s="49" t="str">
        <f t="shared" si="56"/>
        <v>YES</v>
      </c>
      <c r="P404" s="52"/>
      <c r="Q404" s="53">
        <f t="shared" si="57"/>
        <v>5000</v>
      </c>
      <c r="R404" s="54">
        <f t="shared" si="58"/>
        <v>2500</v>
      </c>
      <c r="S404" s="55" t="str">
        <f t="shared" si="59"/>
        <v xml:space="preserve"> </v>
      </c>
      <c r="T404" s="56"/>
      <c r="U404" s="57" t="str">
        <f t="shared" si="60"/>
        <v>100µg/100cm²</v>
      </c>
      <c r="V404" s="58">
        <f t="shared" si="61"/>
        <v>2500</v>
      </c>
      <c r="W404" s="58" t="str">
        <f t="shared" si="62"/>
        <v xml:space="preserve"> </v>
      </c>
      <c r="X404" s="59" t="str">
        <f t="shared" si="63"/>
        <v/>
      </c>
      <c r="Y404" s="60"/>
      <c r="Z404" s="64"/>
      <c r="AA404" s="64"/>
      <c r="AB404" s="64"/>
      <c r="AC404" s="64"/>
      <c r="AD404" s="64"/>
      <c r="AE404" s="16" t="s">
        <v>675</v>
      </c>
      <c r="AF404" s="64"/>
      <c r="AG404" s="64"/>
      <c r="AH404" s="64"/>
      <c r="AI404" s="64"/>
      <c r="AJ404" s="64"/>
      <c r="AK404" s="64"/>
      <c r="AL404" s="64"/>
      <c r="AM404" s="16" t="s">
        <v>675</v>
      </c>
      <c r="AN404" s="64"/>
      <c r="AO404" s="64"/>
      <c r="AP404" s="64"/>
      <c r="AQ404" s="64"/>
      <c r="AR404" s="64"/>
      <c r="AS404" s="64"/>
      <c r="AT404" s="64"/>
      <c r="AU404" s="83" t="s">
        <v>675</v>
      </c>
      <c r="AV404" s="83" t="s">
        <v>675</v>
      </c>
      <c r="AW404" s="16" t="s">
        <v>675</v>
      </c>
      <c r="AX404" s="64"/>
      <c r="AY404" s="64"/>
      <c r="AZ404" s="64"/>
      <c r="BA404" s="64"/>
      <c r="BB404" s="64"/>
      <c r="BC404" s="64"/>
      <c r="BD404" s="64"/>
      <c r="BE404" s="64"/>
      <c r="BF404" s="64"/>
      <c r="BG404" s="64"/>
      <c r="BH404" s="64"/>
      <c r="BI404" s="64"/>
      <c r="BJ404" s="64"/>
      <c r="BK404" s="64"/>
      <c r="BL404" s="64"/>
      <c r="BM404" s="64"/>
      <c r="BN404" s="64"/>
      <c r="BO404" s="64"/>
      <c r="BP404" s="64"/>
      <c r="BQ404" s="64"/>
      <c r="BR404" s="64"/>
      <c r="BS404" s="64"/>
      <c r="BT404" s="65"/>
    </row>
    <row r="405" spans="1:72" ht="18" hidden="1" customHeight="1" x14ac:dyDescent="0.3">
      <c r="A405" s="81" t="s">
        <v>907</v>
      </c>
      <c r="B405" s="76" t="s">
        <v>459</v>
      </c>
      <c r="C405" s="16" t="s">
        <v>1501</v>
      </c>
      <c r="D405" s="16" t="s">
        <v>1497</v>
      </c>
      <c r="E405" s="50">
        <v>50</v>
      </c>
      <c r="F405" s="50">
        <v>0</v>
      </c>
      <c r="G405" s="16">
        <v>1</v>
      </c>
      <c r="H405" s="16" t="s">
        <v>1023</v>
      </c>
      <c r="I405" s="16" t="s">
        <v>1016</v>
      </c>
      <c r="J405" s="16" t="s">
        <v>2382</v>
      </c>
      <c r="K405" s="16">
        <v>50</v>
      </c>
      <c r="L405" s="16">
        <v>50</v>
      </c>
      <c r="M405" s="64"/>
      <c r="N405" s="64"/>
      <c r="O405" s="49" t="str">
        <f t="shared" si="56"/>
        <v>YES</v>
      </c>
      <c r="P405" s="52"/>
      <c r="Q405" s="53">
        <f t="shared" si="57"/>
        <v>5000</v>
      </c>
      <c r="R405" s="54">
        <f t="shared" si="58"/>
        <v>2500</v>
      </c>
      <c r="S405" s="55" t="str">
        <f t="shared" si="59"/>
        <v xml:space="preserve"> </v>
      </c>
      <c r="T405" s="56"/>
      <c r="U405" s="57" t="str">
        <f t="shared" si="60"/>
        <v>100µg/100cm²</v>
      </c>
      <c r="V405" s="58">
        <f t="shared" si="61"/>
        <v>2500</v>
      </c>
      <c r="W405" s="58" t="str">
        <f t="shared" si="62"/>
        <v xml:space="preserve"> </v>
      </c>
      <c r="X405" s="59" t="str">
        <f t="shared" si="63"/>
        <v/>
      </c>
      <c r="Y405" s="60"/>
      <c r="Z405" s="64"/>
      <c r="AA405" s="64"/>
      <c r="AB405" s="64"/>
      <c r="AC405" s="64"/>
      <c r="AD405" s="64"/>
      <c r="AE405" s="16" t="s">
        <v>675</v>
      </c>
      <c r="AF405" s="64"/>
      <c r="AG405" s="64"/>
      <c r="AH405" s="64"/>
      <c r="AI405" s="64"/>
      <c r="AJ405" s="64"/>
      <c r="AK405" s="64"/>
      <c r="AL405" s="64"/>
      <c r="AM405" s="16" t="s">
        <v>675</v>
      </c>
      <c r="AN405" s="64"/>
      <c r="AO405" s="64"/>
      <c r="AP405" s="64"/>
      <c r="AQ405" s="64"/>
      <c r="AR405" s="64"/>
      <c r="AS405" s="64"/>
      <c r="AT405" s="64"/>
      <c r="AU405" s="83" t="s">
        <v>675</v>
      </c>
      <c r="AV405" s="83" t="s">
        <v>675</v>
      </c>
      <c r="AW405" s="16" t="s">
        <v>675</v>
      </c>
      <c r="AX405" s="64"/>
      <c r="AY405" s="64"/>
      <c r="AZ405" s="64"/>
      <c r="BA405" s="64"/>
      <c r="BB405" s="64"/>
      <c r="BC405" s="64"/>
      <c r="BD405" s="64"/>
      <c r="BE405" s="64"/>
      <c r="BF405" s="64"/>
      <c r="BG405" s="64"/>
      <c r="BH405" s="64"/>
      <c r="BI405" s="64"/>
      <c r="BJ405" s="64"/>
      <c r="BK405" s="64"/>
      <c r="BL405" s="64"/>
      <c r="BM405" s="64"/>
      <c r="BN405" s="64"/>
      <c r="BO405" s="64"/>
      <c r="BP405" s="64"/>
      <c r="BQ405" s="64"/>
      <c r="BR405" s="64"/>
      <c r="BS405" s="64"/>
      <c r="BT405" s="65"/>
    </row>
    <row r="406" spans="1:72" ht="18" hidden="1" customHeight="1" x14ac:dyDescent="0.3">
      <c r="A406" s="81" t="s">
        <v>908</v>
      </c>
      <c r="B406" s="76" t="s">
        <v>459</v>
      </c>
      <c r="C406" s="16" t="s">
        <v>1501</v>
      </c>
      <c r="D406" s="16" t="s">
        <v>1497</v>
      </c>
      <c r="E406" s="50">
        <v>50</v>
      </c>
      <c r="F406" s="50">
        <v>0</v>
      </c>
      <c r="G406" s="16">
        <v>1</v>
      </c>
      <c r="H406" s="16" t="s">
        <v>1023</v>
      </c>
      <c r="I406" s="16" t="s">
        <v>1016</v>
      </c>
      <c r="J406" s="16" t="s">
        <v>2382</v>
      </c>
      <c r="K406" s="16">
        <v>50</v>
      </c>
      <c r="L406" s="16">
        <v>50</v>
      </c>
      <c r="M406" s="64"/>
      <c r="N406" s="64"/>
      <c r="O406" s="49" t="str">
        <f t="shared" si="56"/>
        <v>YES</v>
      </c>
      <c r="P406" s="52"/>
      <c r="Q406" s="53">
        <f t="shared" si="57"/>
        <v>5000</v>
      </c>
      <c r="R406" s="54">
        <f t="shared" si="58"/>
        <v>2500</v>
      </c>
      <c r="S406" s="55" t="str">
        <f t="shared" si="59"/>
        <v xml:space="preserve"> </v>
      </c>
      <c r="T406" s="56"/>
      <c r="U406" s="57" t="str">
        <f t="shared" si="60"/>
        <v>100µg/100cm²</v>
      </c>
      <c r="V406" s="58">
        <f t="shared" si="61"/>
        <v>2500</v>
      </c>
      <c r="W406" s="58" t="str">
        <f t="shared" si="62"/>
        <v xml:space="preserve"> </v>
      </c>
      <c r="X406" s="59" t="str">
        <f t="shared" si="63"/>
        <v/>
      </c>
      <c r="Y406" s="60"/>
      <c r="Z406" s="64"/>
      <c r="AA406" s="64"/>
      <c r="AB406" s="64"/>
      <c r="AC406" s="64"/>
      <c r="AD406" s="64"/>
      <c r="AE406" s="16" t="s">
        <v>675</v>
      </c>
      <c r="AF406" s="64"/>
      <c r="AG406" s="64"/>
      <c r="AH406" s="64"/>
      <c r="AI406" s="64"/>
      <c r="AJ406" s="64"/>
      <c r="AK406" s="64"/>
      <c r="AL406" s="64"/>
      <c r="AM406" s="16" t="s">
        <v>675</v>
      </c>
      <c r="AN406" s="64"/>
      <c r="AO406" s="64"/>
      <c r="AP406" s="64"/>
      <c r="AQ406" s="64"/>
      <c r="AR406" s="64"/>
      <c r="AS406" s="64"/>
      <c r="AT406" s="64"/>
      <c r="AU406" s="83" t="s">
        <v>675</v>
      </c>
      <c r="AV406" s="83" t="s">
        <v>675</v>
      </c>
      <c r="AW406" s="16" t="s">
        <v>675</v>
      </c>
      <c r="AX406" s="64"/>
      <c r="AY406" s="64"/>
      <c r="AZ406" s="64"/>
      <c r="BA406" s="64"/>
      <c r="BB406" s="64"/>
      <c r="BC406" s="64"/>
      <c r="BD406" s="64"/>
      <c r="BE406" s="64"/>
      <c r="BF406" s="64"/>
      <c r="BG406" s="64"/>
      <c r="BH406" s="64"/>
      <c r="BI406" s="64"/>
      <c r="BJ406" s="64"/>
      <c r="BK406" s="64"/>
      <c r="BL406" s="64"/>
      <c r="BM406" s="64"/>
      <c r="BN406" s="64"/>
      <c r="BO406" s="64"/>
      <c r="BP406" s="64"/>
      <c r="BQ406" s="64"/>
      <c r="BR406" s="64"/>
      <c r="BS406" s="64"/>
      <c r="BT406" s="65"/>
    </row>
    <row r="407" spans="1:72" ht="18" hidden="1" customHeight="1" x14ac:dyDescent="0.3">
      <c r="A407" s="47" t="s">
        <v>224</v>
      </c>
      <c r="B407" s="48" t="s">
        <v>225</v>
      </c>
      <c r="C407" s="16" t="s">
        <v>2162</v>
      </c>
      <c r="D407" s="49" t="s">
        <v>1174</v>
      </c>
      <c r="E407" s="50">
        <v>76.739999999999995</v>
      </c>
      <c r="F407" s="50">
        <v>0</v>
      </c>
      <c r="G407" s="61">
        <v>7</v>
      </c>
      <c r="H407" s="16" t="s">
        <v>1105</v>
      </c>
      <c r="I407" s="48" t="s">
        <v>1016</v>
      </c>
      <c r="J407" s="16" t="s">
        <v>2386</v>
      </c>
      <c r="K407" s="49">
        <v>50</v>
      </c>
      <c r="L407" s="49">
        <v>50</v>
      </c>
      <c r="M407" s="64"/>
      <c r="N407" s="64"/>
      <c r="O407" s="49" t="str">
        <f t="shared" si="56"/>
        <v>YES</v>
      </c>
      <c r="P407" s="52"/>
      <c r="Q407" s="53">
        <f t="shared" si="57"/>
        <v>5000</v>
      </c>
      <c r="R407" s="54">
        <f t="shared" si="58"/>
        <v>3837</v>
      </c>
      <c r="S407" s="55" t="str">
        <f t="shared" si="59"/>
        <v xml:space="preserve"> </v>
      </c>
      <c r="T407" s="56"/>
      <c r="U407" s="57" t="str">
        <f t="shared" si="60"/>
        <v>100µg/100cm²</v>
      </c>
      <c r="V407" s="58">
        <f t="shared" si="61"/>
        <v>3837</v>
      </c>
      <c r="W407" s="58" t="str">
        <f t="shared" si="62"/>
        <v xml:space="preserve"> </v>
      </c>
      <c r="X407" s="59" t="str">
        <f t="shared" si="63"/>
        <v/>
      </c>
      <c r="Y407" s="60"/>
      <c r="Z407" s="64"/>
      <c r="AA407" s="64"/>
      <c r="AB407" s="64"/>
      <c r="AC407" s="64"/>
      <c r="AD407" s="64"/>
      <c r="AE407" s="16" t="s">
        <v>675</v>
      </c>
      <c r="AF407" s="16" t="s">
        <v>675</v>
      </c>
      <c r="AG407" s="64"/>
      <c r="AH407" s="64"/>
      <c r="AI407" s="16" t="s">
        <v>675</v>
      </c>
      <c r="AJ407" s="64"/>
      <c r="AK407" s="64"/>
      <c r="AL407" s="64"/>
      <c r="AM407" s="16" t="s">
        <v>675</v>
      </c>
      <c r="AN407" s="64"/>
      <c r="AO407" s="64"/>
      <c r="AP407" s="64"/>
      <c r="AQ407" s="64"/>
      <c r="AR407" s="64"/>
      <c r="AS407" s="16" t="s">
        <v>675</v>
      </c>
      <c r="AT407" s="16" t="s">
        <v>675</v>
      </c>
      <c r="AU407" s="64"/>
      <c r="AV407" s="64"/>
      <c r="AW407" s="64"/>
      <c r="AX407" s="64"/>
      <c r="AY407" s="64"/>
      <c r="AZ407" s="64"/>
      <c r="BA407" s="64"/>
      <c r="BB407" s="64"/>
      <c r="BC407" s="64"/>
      <c r="BD407" s="64"/>
      <c r="BE407" s="64"/>
      <c r="BF407" s="64"/>
      <c r="BG407" s="16" t="s">
        <v>675</v>
      </c>
      <c r="BH407" s="64"/>
      <c r="BI407" s="64"/>
      <c r="BJ407" s="64"/>
      <c r="BK407" s="64"/>
      <c r="BL407" s="64"/>
      <c r="BM407" s="64"/>
      <c r="BN407" s="64"/>
      <c r="BO407" s="64"/>
      <c r="BP407" s="64"/>
      <c r="BQ407" s="64"/>
      <c r="BR407" s="64"/>
      <c r="BS407" s="16" t="s">
        <v>675</v>
      </c>
      <c r="BT407" s="65"/>
    </row>
    <row r="408" spans="1:72" ht="18" hidden="1" customHeight="1" x14ac:dyDescent="0.3">
      <c r="A408" s="47" t="s">
        <v>273</v>
      </c>
      <c r="B408" s="48" t="s">
        <v>274</v>
      </c>
      <c r="C408" s="49" t="s">
        <v>1466</v>
      </c>
      <c r="D408" s="49" t="s">
        <v>1291</v>
      </c>
      <c r="E408" s="50">
        <v>47.83</v>
      </c>
      <c r="F408" s="50">
        <v>0</v>
      </c>
      <c r="G408" s="61">
        <v>3</v>
      </c>
      <c r="H408" s="16">
        <v>50</v>
      </c>
      <c r="I408" s="16" t="s">
        <v>1016</v>
      </c>
      <c r="J408" s="16" t="s">
        <v>1467</v>
      </c>
      <c r="K408" s="49">
        <v>1.5</v>
      </c>
      <c r="L408" s="49">
        <v>1.5</v>
      </c>
      <c r="M408" s="62" t="s">
        <v>1036</v>
      </c>
      <c r="N408" s="62" t="s">
        <v>1468</v>
      </c>
      <c r="O408" s="63" t="str">
        <f t="shared" si="56"/>
        <v>NO</v>
      </c>
      <c r="P408" s="52"/>
      <c r="Q408" s="53">
        <f t="shared" si="57"/>
        <v>1.5</v>
      </c>
      <c r="R408" s="54">
        <f t="shared" si="58"/>
        <v>0.7</v>
      </c>
      <c r="S408" s="55" t="str">
        <f t="shared" si="59"/>
        <v xml:space="preserve"> </v>
      </c>
      <c r="T408" s="56"/>
      <c r="U408" s="57" t="str">
        <f t="shared" si="60"/>
        <v>Mitigation</v>
      </c>
      <c r="V408" s="58">
        <f t="shared" si="61"/>
        <v>0.7</v>
      </c>
      <c r="W408" s="58" t="str">
        <f t="shared" si="62"/>
        <v xml:space="preserve"> </v>
      </c>
      <c r="X408" s="59" t="str">
        <f t="shared" si="63"/>
        <v/>
      </c>
      <c r="Y408" s="60"/>
      <c r="Z408" s="64"/>
      <c r="AA408" s="64"/>
      <c r="AB408" s="64"/>
      <c r="AC408" s="64"/>
      <c r="AD408" s="64"/>
      <c r="AE408" s="64"/>
      <c r="AF408" s="16" t="s">
        <v>675</v>
      </c>
      <c r="AG408" s="64"/>
      <c r="AH408" s="64"/>
      <c r="AI408" s="16" t="s">
        <v>675</v>
      </c>
      <c r="AJ408" s="64"/>
      <c r="AK408" s="64"/>
      <c r="AL408" s="64"/>
      <c r="AM408" s="16" t="s">
        <v>675</v>
      </c>
      <c r="AN408" s="16" t="s">
        <v>675</v>
      </c>
      <c r="AO408" s="64"/>
      <c r="AP408" s="16" t="s">
        <v>675</v>
      </c>
      <c r="AQ408" s="64"/>
      <c r="AR408" s="64"/>
      <c r="AS408" s="64"/>
      <c r="AT408" s="16" t="s">
        <v>675</v>
      </c>
      <c r="AU408" s="64"/>
      <c r="AV408" s="64"/>
      <c r="AW408" s="64"/>
      <c r="AX408" s="16" t="s">
        <v>675</v>
      </c>
      <c r="AY408" s="64"/>
      <c r="AZ408" s="64"/>
      <c r="BA408" s="64"/>
      <c r="BB408" s="64"/>
      <c r="BC408" s="64"/>
      <c r="BD408" s="64"/>
      <c r="BE408" s="64"/>
      <c r="BF408" s="64"/>
      <c r="BG408" s="16" t="s">
        <v>675</v>
      </c>
      <c r="BH408" s="64"/>
      <c r="BI408" s="64"/>
      <c r="BJ408" s="64"/>
      <c r="BK408" s="64"/>
      <c r="BL408" s="64"/>
      <c r="BM408" s="64"/>
      <c r="BN408" s="64"/>
      <c r="BO408" s="64"/>
      <c r="BP408" s="64"/>
      <c r="BQ408" s="64"/>
      <c r="BR408" s="64"/>
      <c r="BS408" s="16" t="s">
        <v>675</v>
      </c>
      <c r="BT408" s="65"/>
    </row>
    <row r="409" spans="1:72" ht="18" customHeight="1" x14ac:dyDescent="0.3">
      <c r="A409" s="47" t="s">
        <v>2280</v>
      </c>
      <c r="B409" s="49" t="s">
        <v>2281</v>
      </c>
      <c r="C409" s="49" t="s">
        <v>2282</v>
      </c>
      <c r="D409" s="49" t="s">
        <v>1114</v>
      </c>
      <c r="E409" s="50">
        <v>0</v>
      </c>
      <c r="F409" s="50">
        <v>0</v>
      </c>
      <c r="G409" s="16">
        <v>7</v>
      </c>
      <c r="H409" s="16">
        <v>0.06</v>
      </c>
      <c r="I409" s="70" t="s">
        <v>2247</v>
      </c>
      <c r="J409" s="16" t="s">
        <v>2283</v>
      </c>
      <c r="K409" s="49">
        <v>0.28000000000000003</v>
      </c>
      <c r="L409" s="49">
        <v>2.5</v>
      </c>
      <c r="M409" s="49" t="s">
        <v>1014</v>
      </c>
      <c r="N409" s="64"/>
      <c r="O409" s="49" t="str">
        <f t="shared" si="56"/>
        <v>YES</v>
      </c>
      <c r="P409" s="73"/>
      <c r="Q409" s="53">
        <f t="shared" si="57"/>
        <v>51.1</v>
      </c>
      <c r="R409" s="54" t="str">
        <f t="shared" si="58"/>
        <v xml:space="preserve"> </v>
      </c>
      <c r="S409" s="55" t="str">
        <f t="shared" si="59"/>
        <v xml:space="preserve"> </v>
      </c>
      <c r="T409" s="105"/>
      <c r="U409" s="57" t="str">
        <f t="shared" si="60"/>
        <v xml:space="preserve"> </v>
      </c>
      <c r="V409" s="58" t="str">
        <f t="shared" si="61"/>
        <v xml:space="preserve"> </v>
      </c>
      <c r="W409" s="57" t="str">
        <f t="shared" si="62"/>
        <v xml:space="preserve"> </v>
      </c>
      <c r="X409" s="59" t="str">
        <f t="shared" si="63"/>
        <v>Mitigation</v>
      </c>
      <c r="Y409" s="106"/>
      <c r="Z409" s="16" t="s">
        <v>1987</v>
      </c>
      <c r="AA409" s="16" t="s">
        <v>1987</v>
      </c>
      <c r="AB409" s="16" t="s">
        <v>1987</v>
      </c>
      <c r="AC409" s="16" t="s">
        <v>1987</v>
      </c>
      <c r="AD409" s="16" t="s">
        <v>1987</v>
      </c>
      <c r="AE409" s="16" t="s">
        <v>1987</v>
      </c>
      <c r="AF409" s="16" t="s">
        <v>1987</v>
      </c>
      <c r="AG409" s="16" t="s">
        <v>1987</v>
      </c>
      <c r="AH409" s="16" t="s">
        <v>1987</v>
      </c>
      <c r="AI409" s="16" t="s">
        <v>1987</v>
      </c>
      <c r="AJ409" s="16" t="s">
        <v>1987</v>
      </c>
      <c r="AK409" s="16" t="s">
        <v>1987</v>
      </c>
      <c r="AL409" s="16" t="s">
        <v>1987</v>
      </c>
      <c r="AM409" s="16" t="s">
        <v>1987</v>
      </c>
      <c r="AN409" s="16" t="s">
        <v>1987</v>
      </c>
      <c r="AO409" s="16" t="s">
        <v>1987</v>
      </c>
      <c r="AP409" s="16" t="s">
        <v>1987</v>
      </c>
      <c r="AQ409" s="16" t="s">
        <v>1987</v>
      </c>
      <c r="AR409" s="16" t="s">
        <v>1987</v>
      </c>
      <c r="AS409" s="16" t="s">
        <v>1987</v>
      </c>
      <c r="AT409" s="16" t="s">
        <v>1987</v>
      </c>
      <c r="AU409" s="16" t="s">
        <v>1987</v>
      </c>
      <c r="AV409" s="16" t="s">
        <v>1987</v>
      </c>
      <c r="AW409" s="16" t="s">
        <v>1987</v>
      </c>
      <c r="AX409" s="16" t="s">
        <v>1987</v>
      </c>
      <c r="AY409" s="16" t="s">
        <v>1987</v>
      </c>
      <c r="AZ409" s="16" t="s">
        <v>1987</v>
      </c>
      <c r="BA409" s="16" t="s">
        <v>1987</v>
      </c>
      <c r="BB409" s="16" t="s">
        <v>1987</v>
      </c>
      <c r="BC409" s="16" t="s">
        <v>1987</v>
      </c>
      <c r="BD409" s="16" t="s">
        <v>1987</v>
      </c>
      <c r="BE409" s="16" t="s">
        <v>1987</v>
      </c>
      <c r="BF409" s="16" t="s">
        <v>1987</v>
      </c>
      <c r="BG409" s="16" t="s">
        <v>1987</v>
      </c>
      <c r="BH409" s="16" t="s">
        <v>1987</v>
      </c>
      <c r="BI409" s="16" t="s">
        <v>1987</v>
      </c>
      <c r="BJ409" s="16" t="s">
        <v>1987</v>
      </c>
      <c r="BK409" s="16" t="s">
        <v>1987</v>
      </c>
      <c r="BL409" s="16" t="s">
        <v>1987</v>
      </c>
      <c r="BM409" s="16" t="s">
        <v>1987</v>
      </c>
      <c r="BN409" s="16" t="s">
        <v>1987</v>
      </c>
      <c r="BO409" s="16" t="s">
        <v>1987</v>
      </c>
      <c r="BP409" s="16" t="s">
        <v>1987</v>
      </c>
      <c r="BQ409" s="16" t="s">
        <v>1987</v>
      </c>
      <c r="BR409" s="16" t="s">
        <v>1987</v>
      </c>
      <c r="BS409" s="16" t="s">
        <v>1987</v>
      </c>
      <c r="BT409" s="16" t="s">
        <v>1987</v>
      </c>
    </row>
    <row r="410" spans="1:72" ht="18" hidden="1" customHeight="1" x14ac:dyDescent="0.3">
      <c r="A410" s="47" t="s">
        <v>385</v>
      </c>
      <c r="B410" s="48" t="s">
        <v>386</v>
      </c>
      <c r="C410" s="16" t="s">
        <v>2163</v>
      </c>
      <c r="D410" s="49" t="s">
        <v>1028</v>
      </c>
      <c r="E410" s="50">
        <v>37.49</v>
      </c>
      <c r="F410" s="50">
        <v>0</v>
      </c>
      <c r="G410" s="61">
        <v>1</v>
      </c>
      <c r="H410" s="16" t="s">
        <v>1023</v>
      </c>
      <c r="I410" s="48" t="s">
        <v>1040</v>
      </c>
      <c r="J410" s="16" t="s">
        <v>1041</v>
      </c>
      <c r="K410" s="49">
        <v>3330</v>
      </c>
      <c r="L410" s="49">
        <v>30000</v>
      </c>
      <c r="M410" s="62" t="s">
        <v>1030</v>
      </c>
      <c r="N410" s="51"/>
      <c r="O410" s="49" t="str">
        <f t="shared" si="56"/>
        <v>YES</v>
      </c>
      <c r="P410" s="52"/>
      <c r="Q410" s="53">
        <f t="shared" si="57"/>
        <v>5000</v>
      </c>
      <c r="R410" s="54">
        <f t="shared" si="58"/>
        <v>1874.5</v>
      </c>
      <c r="S410" s="55" t="str">
        <f t="shared" si="59"/>
        <v xml:space="preserve"> </v>
      </c>
      <c r="T410" s="56"/>
      <c r="U410" s="57" t="str">
        <f t="shared" si="60"/>
        <v>100µg/100cm²</v>
      </c>
      <c r="V410" s="58">
        <f t="shared" si="61"/>
        <v>1874.5</v>
      </c>
      <c r="W410" s="58" t="str">
        <f t="shared" si="62"/>
        <v xml:space="preserve"> </v>
      </c>
      <c r="X410" s="59" t="str">
        <f t="shared" si="63"/>
        <v/>
      </c>
      <c r="Y410" s="60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16" t="s">
        <v>675</v>
      </c>
      <c r="AS410" s="64"/>
      <c r="AT410" s="64"/>
      <c r="AU410" s="16" t="s">
        <v>675</v>
      </c>
      <c r="AV410" s="64"/>
      <c r="AW410" s="16" t="s">
        <v>675</v>
      </c>
      <c r="AX410" s="64"/>
      <c r="AY410" s="64"/>
      <c r="AZ410" s="64"/>
      <c r="BA410" s="16" t="s">
        <v>675</v>
      </c>
      <c r="BB410" s="16" t="s">
        <v>675</v>
      </c>
      <c r="BC410" s="64"/>
      <c r="BD410" s="64"/>
      <c r="BE410" s="16" t="s">
        <v>675</v>
      </c>
      <c r="BF410" s="64"/>
      <c r="BG410" s="64"/>
      <c r="BH410" s="64"/>
      <c r="BI410" s="64"/>
      <c r="BJ410" s="64"/>
      <c r="BK410" s="64"/>
      <c r="BL410" s="64"/>
      <c r="BM410" s="64"/>
      <c r="BN410" s="64"/>
      <c r="BO410" s="64"/>
      <c r="BP410" s="64"/>
      <c r="BQ410" s="64"/>
      <c r="BR410" s="64"/>
      <c r="BS410" s="16" t="s">
        <v>675</v>
      </c>
      <c r="BT410" s="65"/>
    </row>
    <row r="411" spans="1:72" ht="18" hidden="1" customHeight="1" x14ac:dyDescent="0.3">
      <c r="A411" s="90" t="s">
        <v>2284</v>
      </c>
      <c r="B411" s="49" t="s">
        <v>2285</v>
      </c>
      <c r="C411" s="48" t="s">
        <v>2337</v>
      </c>
      <c r="D411" s="16" t="s">
        <v>1055</v>
      </c>
      <c r="E411" s="50">
        <v>51.43</v>
      </c>
      <c r="F411" s="50">
        <v>0</v>
      </c>
      <c r="G411" s="16">
        <v>2</v>
      </c>
      <c r="H411" s="16">
        <v>895</v>
      </c>
      <c r="I411" s="70" t="s">
        <v>2247</v>
      </c>
      <c r="J411" s="16" t="s">
        <v>2286</v>
      </c>
      <c r="K411" s="49">
        <v>5</v>
      </c>
      <c r="L411" s="49">
        <v>5</v>
      </c>
      <c r="M411" s="49" t="s">
        <v>2287</v>
      </c>
      <c r="N411" s="64"/>
      <c r="O411" s="49" t="str">
        <f t="shared" si="56"/>
        <v>YES</v>
      </c>
      <c r="P411" s="73"/>
      <c r="Q411" s="53">
        <f t="shared" si="57"/>
        <v>912.5</v>
      </c>
      <c r="R411" s="54">
        <f t="shared" si="58"/>
        <v>469.2</v>
      </c>
      <c r="S411" s="55" t="str">
        <f t="shared" si="59"/>
        <v xml:space="preserve"> </v>
      </c>
      <c r="T411" s="105"/>
      <c r="U411" s="57" t="str">
        <f t="shared" si="60"/>
        <v>100µg/100cm²</v>
      </c>
      <c r="V411" s="58">
        <f t="shared" si="61"/>
        <v>469.2</v>
      </c>
      <c r="W411" s="57" t="str">
        <f t="shared" si="62"/>
        <v xml:space="preserve"> </v>
      </c>
      <c r="X411" s="59" t="str">
        <f t="shared" si="63"/>
        <v/>
      </c>
      <c r="Y411" s="106"/>
      <c r="Z411" s="16" t="s">
        <v>1987</v>
      </c>
      <c r="AA411" s="16" t="s">
        <v>1987</v>
      </c>
      <c r="AB411" s="16" t="s">
        <v>1987</v>
      </c>
      <c r="AC411" s="16" t="s">
        <v>1987</v>
      </c>
      <c r="AD411" s="16" t="s">
        <v>1987</v>
      </c>
      <c r="AE411" s="16" t="s">
        <v>1987</v>
      </c>
      <c r="AF411" s="16" t="s">
        <v>1987</v>
      </c>
      <c r="AG411" s="16" t="s">
        <v>1987</v>
      </c>
      <c r="AH411" s="16" t="s">
        <v>1987</v>
      </c>
      <c r="AI411" s="16" t="s">
        <v>1987</v>
      </c>
      <c r="AJ411" s="16" t="s">
        <v>1987</v>
      </c>
      <c r="AK411" s="16" t="s">
        <v>1987</v>
      </c>
      <c r="AL411" s="16" t="s">
        <v>1987</v>
      </c>
      <c r="AM411" s="16" t="s">
        <v>1987</v>
      </c>
      <c r="AN411" s="16" t="s">
        <v>1987</v>
      </c>
      <c r="AO411" s="16" t="s">
        <v>1987</v>
      </c>
      <c r="AP411" s="16" t="s">
        <v>1987</v>
      </c>
      <c r="AQ411" s="16" t="s">
        <v>1987</v>
      </c>
      <c r="AR411" s="16" t="s">
        <v>1987</v>
      </c>
      <c r="AS411" s="16" t="s">
        <v>1987</v>
      </c>
      <c r="AT411" s="16" t="s">
        <v>1987</v>
      </c>
      <c r="AU411" s="16" t="s">
        <v>1987</v>
      </c>
      <c r="AV411" s="16" t="s">
        <v>1987</v>
      </c>
      <c r="AW411" s="16" t="s">
        <v>1987</v>
      </c>
      <c r="AX411" s="16" t="s">
        <v>1987</v>
      </c>
      <c r="AY411" s="16" t="s">
        <v>1987</v>
      </c>
      <c r="AZ411" s="16" t="s">
        <v>1987</v>
      </c>
      <c r="BA411" s="16" t="s">
        <v>1987</v>
      </c>
      <c r="BB411" s="16" t="s">
        <v>1987</v>
      </c>
      <c r="BC411" s="16" t="s">
        <v>1987</v>
      </c>
      <c r="BD411" s="16" t="s">
        <v>1987</v>
      </c>
      <c r="BE411" s="16" t="s">
        <v>1987</v>
      </c>
      <c r="BF411" s="16" t="s">
        <v>1987</v>
      </c>
      <c r="BG411" s="16" t="s">
        <v>1987</v>
      </c>
      <c r="BH411" s="16" t="s">
        <v>1987</v>
      </c>
      <c r="BI411" s="16" t="s">
        <v>1987</v>
      </c>
      <c r="BJ411" s="16" t="s">
        <v>1987</v>
      </c>
      <c r="BK411" s="16" t="s">
        <v>1987</v>
      </c>
      <c r="BL411" s="16" t="s">
        <v>1987</v>
      </c>
      <c r="BM411" s="16" t="s">
        <v>1987</v>
      </c>
      <c r="BN411" s="16" t="s">
        <v>1987</v>
      </c>
      <c r="BO411" s="16" t="s">
        <v>1987</v>
      </c>
      <c r="BP411" s="16" t="s">
        <v>1987</v>
      </c>
      <c r="BQ411" s="16" t="s">
        <v>1987</v>
      </c>
      <c r="BR411" s="16" t="s">
        <v>1987</v>
      </c>
      <c r="BS411" s="16" t="s">
        <v>1987</v>
      </c>
      <c r="BT411" s="16" t="s">
        <v>1987</v>
      </c>
    </row>
    <row r="412" spans="1:72" ht="18" hidden="1" customHeight="1" x14ac:dyDescent="0.3">
      <c r="A412" s="47" t="s">
        <v>1837</v>
      </c>
      <c r="B412" s="48" t="s">
        <v>382</v>
      </c>
      <c r="C412" s="49" t="s">
        <v>1429</v>
      </c>
      <c r="D412" s="49" t="s">
        <v>1301</v>
      </c>
      <c r="E412" s="50">
        <v>52.8</v>
      </c>
      <c r="F412" s="50">
        <v>0</v>
      </c>
      <c r="G412" s="61">
        <v>7</v>
      </c>
      <c r="H412" s="68" t="s">
        <v>1250</v>
      </c>
      <c r="I412" s="48" t="s">
        <v>1016</v>
      </c>
      <c r="J412" s="16" t="s">
        <v>2386</v>
      </c>
      <c r="K412" s="49">
        <v>50</v>
      </c>
      <c r="L412" s="49">
        <v>50</v>
      </c>
      <c r="M412" s="64"/>
      <c r="N412" s="64"/>
      <c r="O412" s="49" t="str">
        <f t="shared" si="56"/>
        <v>YES</v>
      </c>
      <c r="P412" s="52"/>
      <c r="Q412" s="53">
        <f t="shared" si="57"/>
        <v>5000</v>
      </c>
      <c r="R412" s="54">
        <f t="shared" si="58"/>
        <v>2640</v>
      </c>
      <c r="S412" s="55" t="str">
        <f t="shared" si="59"/>
        <v xml:space="preserve"> </v>
      </c>
      <c r="T412" s="56"/>
      <c r="U412" s="57" t="str">
        <f t="shared" si="60"/>
        <v>100µg/100cm²</v>
      </c>
      <c r="V412" s="58">
        <f t="shared" si="61"/>
        <v>2640</v>
      </c>
      <c r="W412" s="58" t="str">
        <f t="shared" si="62"/>
        <v xml:space="preserve"> </v>
      </c>
      <c r="X412" s="59" t="str">
        <f t="shared" si="63"/>
        <v/>
      </c>
      <c r="Y412" s="60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16" t="s">
        <v>675</v>
      </c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F412" s="64"/>
      <c r="BG412" s="64"/>
      <c r="BH412" s="64"/>
      <c r="BI412" s="64"/>
      <c r="BJ412" s="64"/>
      <c r="BK412" s="64"/>
      <c r="BL412" s="64"/>
      <c r="BM412" s="64"/>
      <c r="BN412" s="64"/>
      <c r="BO412" s="64"/>
      <c r="BP412" s="64"/>
      <c r="BQ412" s="64"/>
      <c r="BR412" s="64"/>
      <c r="BS412" s="64"/>
      <c r="BT412" s="65"/>
    </row>
    <row r="413" spans="1:72" ht="18" hidden="1" customHeight="1" x14ac:dyDescent="0.3">
      <c r="A413" s="66" t="s">
        <v>663</v>
      </c>
      <c r="B413" s="69" t="s">
        <v>664</v>
      </c>
      <c r="C413" s="16" t="s">
        <v>2164</v>
      </c>
      <c r="D413" s="67" t="s">
        <v>1443</v>
      </c>
      <c r="E413" s="50">
        <v>66.599999999999994</v>
      </c>
      <c r="F413" s="50">
        <v>0</v>
      </c>
      <c r="G413" s="61">
        <v>2</v>
      </c>
      <c r="H413" s="55">
        <v>275</v>
      </c>
      <c r="I413" s="48" t="s">
        <v>1016</v>
      </c>
      <c r="J413" s="16" t="s">
        <v>1444</v>
      </c>
      <c r="K413" s="49">
        <v>36</v>
      </c>
      <c r="L413" s="49">
        <v>320</v>
      </c>
      <c r="M413" s="64"/>
      <c r="N413" s="64"/>
      <c r="O413" s="49" t="str">
        <f t="shared" si="56"/>
        <v>YES</v>
      </c>
      <c r="P413" s="52"/>
      <c r="Q413" s="53">
        <f t="shared" si="57"/>
        <v>5000</v>
      </c>
      <c r="R413" s="54">
        <f t="shared" si="58"/>
        <v>3330</v>
      </c>
      <c r="S413" s="55" t="str">
        <f t="shared" si="59"/>
        <v xml:space="preserve"> </v>
      </c>
      <c r="T413" s="56"/>
      <c r="U413" s="57" t="str">
        <f t="shared" si="60"/>
        <v>100µg/100cm²</v>
      </c>
      <c r="V413" s="58">
        <f t="shared" si="61"/>
        <v>3330</v>
      </c>
      <c r="W413" s="58" t="str">
        <f t="shared" si="62"/>
        <v xml:space="preserve"> </v>
      </c>
      <c r="X413" s="59" t="str">
        <f t="shared" si="63"/>
        <v/>
      </c>
      <c r="Y413" s="60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16" t="s">
        <v>675</v>
      </c>
      <c r="BB413" s="16" t="s">
        <v>675</v>
      </c>
      <c r="BC413" s="64"/>
      <c r="BD413" s="64"/>
      <c r="BE413" s="64"/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/>
      <c r="BR413" s="64"/>
      <c r="BS413" s="64"/>
      <c r="BT413" s="65"/>
    </row>
    <row r="414" spans="1:72" ht="18" hidden="1" customHeight="1" x14ac:dyDescent="0.3">
      <c r="A414" s="66" t="s">
        <v>1838</v>
      </c>
      <c r="B414" s="69" t="s">
        <v>657</v>
      </c>
      <c r="C414" s="16" t="s">
        <v>2165</v>
      </c>
      <c r="D414" s="67" t="s">
        <v>1273</v>
      </c>
      <c r="E414" s="50">
        <v>72</v>
      </c>
      <c r="F414" s="50">
        <v>0</v>
      </c>
      <c r="G414" s="61">
        <v>5</v>
      </c>
      <c r="H414" s="68">
        <v>20</v>
      </c>
      <c r="I414" s="48" t="s">
        <v>1016</v>
      </c>
      <c r="J414" s="16" t="s">
        <v>1274</v>
      </c>
      <c r="K414" s="49">
        <v>720</v>
      </c>
      <c r="L414" s="49">
        <v>6480</v>
      </c>
      <c r="M414" s="49" t="s">
        <v>1014</v>
      </c>
      <c r="N414" s="51"/>
      <c r="O414" s="49" t="str">
        <f t="shared" si="56"/>
        <v>YES</v>
      </c>
      <c r="P414" s="52"/>
      <c r="Q414" s="53">
        <f t="shared" si="57"/>
        <v>5000</v>
      </c>
      <c r="R414" s="54">
        <f t="shared" si="58"/>
        <v>3600</v>
      </c>
      <c r="S414" s="55" t="str">
        <f t="shared" si="59"/>
        <v xml:space="preserve"> </v>
      </c>
      <c r="T414" s="56"/>
      <c r="U414" s="57" t="str">
        <f t="shared" si="60"/>
        <v>100µg/100cm²</v>
      </c>
      <c r="V414" s="58">
        <f t="shared" si="61"/>
        <v>3600</v>
      </c>
      <c r="W414" s="58" t="str">
        <f t="shared" si="62"/>
        <v xml:space="preserve"> </v>
      </c>
      <c r="X414" s="59" t="str">
        <f t="shared" si="63"/>
        <v/>
      </c>
      <c r="Y414" s="60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16" t="s">
        <v>675</v>
      </c>
      <c r="BB414" s="16" t="s">
        <v>675</v>
      </c>
      <c r="BC414" s="64"/>
      <c r="BD414" s="64"/>
      <c r="BE414" s="64"/>
      <c r="BF414" s="64"/>
      <c r="BG414" s="64"/>
      <c r="BH414" s="64"/>
      <c r="BI414" s="64"/>
      <c r="BJ414" s="64"/>
      <c r="BK414" s="64"/>
      <c r="BL414" s="64"/>
      <c r="BM414" s="64"/>
      <c r="BN414" s="64"/>
      <c r="BO414" s="64"/>
      <c r="BP414" s="64"/>
      <c r="BQ414" s="64"/>
      <c r="BR414" s="64"/>
      <c r="BS414" s="64"/>
      <c r="BT414" s="65"/>
    </row>
    <row r="415" spans="1:72" ht="18" hidden="1" customHeight="1" x14ac:dyDescent="0.3">
      <c r="A415" s="129" t="s">
        <v>747</v>
      </c>
      <c r="B415" s="92" t="s">
        <v>491</v>
      </c>
      <c r="C415" s="16" t="s">
        <v>2166</v>
      </c>
      <c r="D415" s="49" t="s">
        <v>1104</v>
      </c>
      <c r="E415" s="50">
        <v>77.5</v>
      </c>
      <c r="F415" s="50">
        <v>0</v>
      </c>
      <c r="G415" s="61">
        <v>4</v>
      </c>
      <c r="H415" s="16">
        <v>19.809999999999999</v>
      </c>
      <c r="I415" s="16" t="s">
        <v>1573</v>
      </c>
      <c r="J415" s="16" t="s">
        <v>2386</v>
      </c>
      <c r="K415" s="49">
        <v>50</v>
      </c>
      <c r="L415" s="49">
        <v>50</v>
      </c>
      <c r="M415" s="64"/>
      <c r="N415" s="64"/>
      <c r="O415" s="49" t="str">
        <f t="shared" si="56"/>
        <v>YES</v>
      </c>
      <c r="P415" s="52"/>
      <c r="Q415" s="53">
        <f t="shared" si="57"/>
        <v>5000</v>
      </c>
      <c r="R415" s="54">
        <f t="shared" si="58"/>
        <v>3875</v>
      </c>
      <c r="S415" s="55" t="str">
        <f t="shared" si="59"/>
        <v xml:space="preserve"> </v>
      </c>
      <c r="T415" s="56"/>
      <c r="U415" s="57" t="str">
        <f t="shared" si="60"/>
        <v>100µg/100cm²</v>
      </c>
      <c r="V415" s="58">
        <f t="shared" si="61"/>
        <v>3875</v>
      </c>
      <c r="W415" s="58" t="str">
        <f t="shared" si="62"/>
        <v xml:space="preserve"> </v>
      </c>
      <c r="X415" s="59" t="str">
        <f t="shared" si="63"/>
        <v/>
      </c>
      <c r="Y415" s="60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16" t="s">
        <v>675</v>
      </c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F415" s="64"/>
      <c r="BG415" s="64"/>
      <c r="BH415" s="64"/>
      <c r="BI415" s="64"/>
      <c r="BJ415" s="64"/>
      <c r="BK415" s="64"/>
      <c r="BL415" s="64"/>
      <c r="BM415" s="64"/>
      <c r="BN415" s="64"/>
      <c r="BO415" s="64"/>
      <c r="BP415" s="64"/>
      <c r="BQ415" s="64"/>
      <c r="BR415" s="64"/>
      <c r="BS415" s="64"/>
      <c r="BT415" s="65"/>
    </row>
    <row r="416" spans="1:72" ht="18" hidden="1" customHeight="1" x14ac:dyDescent="0.3">
      <c r="A416" s="47" t="s">
        <v>1727</v>
      </c>
      <c r="B416" s="48" t="s">
        <v>1728</v>
      </c>
      <c r="C416" s="49" t="s">
        <v>2167</v>
      </c>
      <c r="D416" s="16" t="s">
        <v>1795</v>
      </c>
      <c r="E416" s="50">
        <v>47.37</v>
      </c>
      <c r="F416" s="50">
        <v>0</v>
      </c>
      <c r="G416" s="16">
        <v>2</v>
      </c>
      <c r="H416" s="68">
        <v>285</v>
      </c>
      <c r="I416" s="70" t="s">
        <v>1474</v>
      </c>
      <c r="J416" s="16" t="s">
        <v>2386</v>
      </c>
      <c r="K416" s="49">
        <v>50</v>
      </c>
      <c r="L416" s="49">
        <v>50</v>
      </c>
      <c r="M416" s="64"/>
      <c r="N416" s="64"/>
      <c r="O416" s="49" t="str">
        <f t="shared" ref="O416:O441" si="64">IF(AND(ISBLANK(K416),ISBLANK(N416))," ",IF(ISBLANK(N416),"YES","NO"))</f>
        <v>YES</v>
      </c>
      <c r="P416" s="52"/>
      <c r="Q416" s="53">
        <f t="shared" si="57"/>
        <v>5000</v>
      </c>
      <c r="R416" s="54">
        <f t="shared" si="58"/>
        <v>2368.5</v>
      </c>
      <c r="S416" s="55" t="str">
        <f t="shared" si="59"/>
        <v xml:space="preserve"> </v>
      </c>
      <c r="T416" s="56"/>
      <c r="U416" s="57" t="str">
        <f t="shared" si="60"/>
        <v>100µg/100cm²</v>
      </c>
      <c r="V416" s="58">
        <f t="shared" si="61"/>
        <v>2368.5</v>
      </c>
      <c r="W416" s="58" t="str">
        <f t="shared" si="62"/>
        <v xml:space="preserve"> </v>
      </c>
      <c r="X416" s="59" t="str">
        <f t="shared" si="63"/>
        <v/>
      </c>
      <c r="Y416" s="60"/>
      <c r="Z416" s="16" t="s">
        <v>675</v>
      </c>
      <c r="AA416" s="16" t="s">
        <v>675</v>
      </c>
      <c r="AB416" s="16" t="s">
        <v>675</v>
      </c>
      <c r="AC416" s="64"/>
      <c r="AD416" s="64"/>
      <c r="AE416" s="16" t="s">
        <v>675</v>
      </c>
      <c r="AF416" s="16" t="s">
        <v>675</v>
      </c>
      <c r="AG416" s="16" t="s">
        <v>675</v>
      </c>
      <c r="AH416" s="16" t="s">
        <v>675</v>
      </c>
      <c r="AI416" s="64"/>
      <c r="AJ416" s="16" t="s">
        <v>675</v>
      </c>
      <c r="AK416" s="16" t="s">
        <v>675</v>
      </c>
      <c r="AL416" s="16" t="s">
        <v>675</v>
      </c>
      <c r="AM416" s="16" t="s">
        <v>675</v>
      </c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  <c r="BQ416" s="64"/>
      <c r="BR416" s="64"/>
      <c r="BS416" s="64"/>
      <c r="BT416" s="65"/>
    </row>
    <row r="417" spans="1:72" ht="18" hidden="1" customHeight="1" x14ac:dyDescent="0.3">
      <c r="A417" s="47" t="s">
        <v>383</v>
      </c>
      <c r="B417" s="48" t="s">
        <v>384</v>
      </c>
      <c r="C417" s="49" t="s">
        <v>1456</v>
      </c>
      <c r="D417" s="49" t="s">
        <v>1247</v>
      </c>
      <c r="E417" s="50">
        <v>40.700000000000003</v>
      </c>
      <c r="F417" s="50">
        <v>0</v>
      </c>
      <c r="G417" s="61">
        <v>7</v>
      </c>
      <c r="H417" s="16" t="s">
        <v>1105</v>
      </c>
      <c r="I417" s="48" t="s">
        <v>1016</v>
      </c>
      <c r="J417" s="16" t="s">
        <v>1166</v>
      </c>
      <c r="K417" s="62">
        <v>2000</v>
      </c>
      <c r="L417" s="62">
        <v>18000</v>
      </c>
      <c r="M417" s="62" t="s">
        <v>1014</v>
      </c>
      <c r="N417" s="51"/>
      <c r="O417" s="49" t="str">
        <f t="shared" si="64"/>
        <v>YES</v>
      </c>
      <c r="P417" s="52"/>
      <c r="Q417" s="53">
        <f t="shared" si="57"/>
        <v>5000</v>
      </c>
      <c r="R417" s="54">
        <f t="shared" si="58"/>
        <v>2035</v>
      </c>
      <c r="S417" s="55" t="str">
        <f t="shared" si="59"/>
        <v xml:space="preserve"> </v>
      </c>
      <c r="T417" s="56"/>
      <c r="U417" s="57" t="str">
        <f t="shared" si="60"/>
        <v>100µg/100cm²</v>
      </c>
      <c r="V417" s="58">
        <f t="shared" si="61"/>
        <v>2035</v>
      </c>
      <c r="W417" s="58" t="str">
        <f t="shared" si="62"/>
        <v xml:space="preserve"> </v>
      </c>
      <c r="X417" s="59" t="str">
        <f t="shared" si="63"/>
        <v/>
      </c>
      <c r="Y417" s="60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16" t="s">
        <v>675</v>
      </c>
      <c r="AR417" s="16" t="s">
        <v>675</v>
      </c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F417" s="64"/>
      <c r="BG417" s="64"/>
      <c r="BH417" s="64"/>
      <c r="BI417" s="64"/>
      <c r="BJ417" s="64"/>
      <c r="BK417" s="64"/>
      <c r="BL417" s="64"/>
      <c r="BM417" s="64"/>
      <c r="BN417" s="64"/>
      <c r="BO417" s="64"/>
      <c r="BP417" s="64"/>
      <c r="BQ417" s="64"/>
      <c r="BR417" s="64"/>
      <c r="BS417" s="64"/>
      <c r="BT417" s="65"/>
    </row>
    <row r="418" spans="1:72" ht="18" hidden="1" customHeight="1" x14ac:dyDescent="0.3">
      <c r="A418" s="130" t="s">
        <v>735</v>
      </c>
      <c r="B418" s="69" t="s">
        <v>444</v>
      </c>
      <c r="C418" s="67" t="s">
        <v>1290</v>
      </c>
      <c r="D418" s="67" t="s">
        <v>1291</v>
      </c>
      <c r="E418" s="50">
        <v>32.119999999999997</v>
      </c>
      <c r="F418" s="50">
        <v>0</v>
      </c>
      <c r="G418" s="61">
        <v>1</v>
      </c>
      <c r="H418" s="17" t="s">
        <v>1292</v>
      </c>
      <c r="I418" s="48" t="s">
        <v>1196</v>
      </c>
      <c r="J418" s="16" t="s">
        <v>1293</v>
      </c>
      <c r="K418" s="62">
        <v>5</v>
      </c>
      <c r="L418" s="62">
        <v>5</v>
      </c>
      <c r="M418" s="62" t="s">
        <v>1033</v>
      </c>
      <c r="N418" s="62" t="s">
        <v>1047</v>
      </c>
      <c r="O418" s="63" t="str">
        <f t="shared" si="64"/>
        <v>NO</v>
      </c>
      <c r="P418" s="52"/>
      <c r="Q418" s="53">
        <f t="shared" si="57"/>
        <v>5</v>
      </c>
      <c r="R418" s="54">
        <f t="shared" si="58"/>
        <v>1.6</v>
      </c>
      <c r="S418" s="55" t="str">
        <f t="shared" si="59"/>
        <v xml:space="preserve"> </v>
      </c>
      <c r="T418" s="56"/>
      <c r="U418" s="57" t="str">
        <f t="shared" si="60"/>
        <v>Mitigation</v>
      </c>
      <c r="V418" s="58">
        <f t="shared" si="61"/>
        <v>1.6</v>
      </c>
      <c r="W418" s="58" t="str">
        <f t="shared" si="62"/>
        <v xml:space="preserve"> </v>
      </c>
      <c r="X418" s="59" t="str">
        <f t="shared" si="63"/>
        <v/>
      </c>
      <c r="Y418" s="60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16" t="s">
        <v>675</v>
      </c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/>
      <c r="BR418" s="64"/>
      <c r="BS418" s="64"/>
      <c r="BT418" s="65"/>
    </row>
    <row r="419" spans="1:72" ht="15.75" hidden="1" x14ac:dyDescent="0.3">
      <c r="A419" s="90" t="s">
        <v>821</v>
      </c>
      <c r="B419" s="48" t="s">
        <v>822</v>
      </c>
      <c r="C419" s="16" t="s">
        <v>1622</v>
      </c>
      <c r="D419" s="16" t="s">
        <v>1096</v>
      </c>
      <c r="E419" s="50">
        <v>60</v>
      </c>
      <c r="F419" s="50">
        <v>0</v>
      </c>
      <c r="G419" s="16">
        <v>3</v>
      </c>
      <c r="H419" s="16">
        <v>40</v>
      </c>
      <c r="I419" s="16" t="s">
        <v>1016</v>
      </c>
      <c r="J419" s="17" t="s">
        <v>2349</v>
      </c>
      <c r="K419" s="16">
        <v>1.5</v>
      </c>
      <c r="L419" s="16">
        <v>1.5</v>
      </c>
      <c r="M419" s="16" t="s">
        <v>1036</v>
      </c>
      <c r="N419" s="64"/>
      <c r="O419" s="63" t="str">
        <f t="shared" si="64"/>
        <v>YES</v>
      </c>
      <c r="P419" s="131"/>
      <c r="Q419" s="53">
        <f t="shared" si="57"/>
        <v>273.7</v>
      </c>
      <c r="R419" s="54">
        <f t="shared" si="58"/>
        <v>164.2</v>
      </c>
      <c r="S419" s="55" t="str">
        <f t="shared" si="59"/>
        <v xml:space="preserve"> </v>
      </c>
      <c r="T419" s="56"/>
      <c r="U419" s="57" t="str">
        <f t="shared" si="60"/>
        <v>100µg/100cm²</v>
      </c>
      <c r="V419" s="58">
        <f t="shared" si="61"/>
        <v>164.2</v>
      </c>
      <c r="W419" s="57" t="str">
        <f t="shared" si="62"/>
        <v xml:space="preserve"> </v>
      </c>
      <c r="X419" s="59" t="str">
        <f t="shared" si="63"/>
        <v/>
      </c>
      <c r="Y419" s="60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16" t="s">
        <v>675</v>
      </c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/>
      <c r="BD419" s="64"/>
      <c r="BE419" s="64"/>
      <c r="BF419" s="64"/>
      <c r="BG419" s="64"/>
      <c r="BH419" s="64"/>
      <c r="BI419" s="64"/>
      <c r="BJ419" s="64"/>
      <c r="BK419" s="64"/>
      <c r="BL419" s="64"/>
      <c r="BM419" s="64"/>
      <c r="BN419" s="64"/>
      <c r="BO419" s="64"/>
      <c r="BP419" s="64"/>
      <c r="BQ419" s="64"/>
      <c r="BR419" s="64"/>
      <c r="BS419" s="64"/>
      <c r="BT419" s="65"/>
    </row>
    <row r="420" spans="1:72" ht="18" hidden="1" customHeight="1" x14ac:dyDescent="0.3">
      <c r="A420" s="66" t="s">
        <v>445</v>
      </c>
      <c r="B420" s="69" t="s">
        <v>446</v>
      </c>
      <c r="C420" s="67" t="s">
        <v>1294</v>
      </c>
      <c r="D420" s="67" t="s">
        <v>1291</v>
      </c>
      <c r="E420" s="50">
        <v>41.72</v>
      </c>
      <c r="F420" s="50">
        <v>0</v>
      </c>
      <c r="G420" s="61">
        <v>1</v>
      </c>
      <c r="H420" s="16" t="s">
        <v>1295</v>
      </c>
      <c r="I420" s="48" t="s">
        <v>1189</v>
      </c>
      <c r="J420" s="16" t="s">
        <v>1296</v>
      </c>
      <c r="K420" s="62">
        <v>5</v>
      </c>
      <c r="L420" s="62">
        <v>5</v>
      </c>
      <c r="M420" s="62" t="s">
        <v>1033</v>
      </c>
      <c r="N420" s="62" t="s">
        <v>1047</v>
      </c>
      <c r="O420" s="63" t="str">
        <f t="shared" si="64"/>
        <v>NO</v>
      </c>
      <c r="P420" s="52"/>
      <c r="Q420" s="53">
        <f t="shared" si="57"/>
        <v>5</v>
      </c>
      <c r="R420" s="54">
        <f t="shared" si="58"/>
        <v>2</v>
      </c>
      <c r="S420" s="55" t="str">
        <f t="shared" si="59"/>
        <v xml:space="preserve"> </v>
      </c>
      <c r="T420" s="56"/>
      <c r="U420" s="57" t="str">
        <f t="shared" si="60"/>
        <v>Mitigation</v>
      </c>
      <c r="V420" s="58">
        <f t="shared" si="61"/>
        <v>2</v>
      </c>
      <c r="W420" s="58" t="str">
        <f t="shared" si="62"/>
        <v xml:space="preserve"> </v>
      </c>
      <c r="X420" s="59" t="str">
        <f t="shared" si="63"/>
        <v/>
      </c>
      <c r="Y420" s="60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16" t="s">
        <v>675</v>
      </c>
      <c r="AT420" s="64"/>
      <c r="AU420" s="64"/>
      <c r="AV420" s="64"/>
      <c r="AW420" s="64"/>
      <c r="AX420" s="64"/>
      <c r="AY420" s="64"/>
      <c r="AZ420" s="64"/>
      <c r="BA420" s="64"/>
      <c r="BB420" s="64"/>
      <c r="BC420" s="64"/>
      <c r="BD420" s="64"/>
      <c r="BE420" s="64"/>
      <c r="BF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  <c r="BQ420" s="64"/>
      <c r="BR420" s="64"/>
      <c r="BS420" s="64"/>
      <c r="BT420" s="65"/>
    </row>
    <row r="421" spans="1:72" ht="15.75" hidden="1" x14ac:dyDescent="0.3">
      <c r="A421" s="47" t="s">
        <v>823</v>
      </c>
      <c r="B421" s="48" t="s">
        <v>824</v>
      </c>
      <c r="C421" s="16" t="s">
        <v>1623</v>
      </c>
      <c r="D421" s="16" t="s">
        <v>1096</v>
      </c>
      <c r="E421" s="50">
        <v>51.3</v>
      </c>
      <c r="F421" s="50">
        <v>0</v>
      </c>
      <c r="G421" s="16">
        <v>5</v>
      </c>
      <c r="H421" s="16">
        <v>5</v>
      </c>
      <c r="I421" s="16" t="s">
        <v>1016</v>
      </c>
      <c r="J421" s="17" t="s">
        <v>2350</v>
      </c>
      <c r="K421" s="16">
        <v>1.5</v>
      </c>
      <c r="L421" s="16">
        <v>1.5</v>
      </c>
      <c r="M421" s="16" t="s">
        <v>1036</v>
      </c>
      <c r="N421" s="64"/>
      <c r="O421" s="63" t="str">
        <f t="shared" si="64"/>
        <v>YES</v>
      </c>
      <c r="P421" s="52"/>
      <c r="Q421" s="53">
        <f t="shared" si="57"/>
        <v>273.7</v>
      </c>
      <c r="R421" s="54">
        <f t="shared" si="58"/>
        <v>140.4</v>
      </c>
      <c r="S421" s="55" t="str">
        <f t="shared" si="59"/>
        <v xml:space="preserve"> </v>
      </c>
      <c r="T421" s="56"/>
      <c r="U421" s="57" t="str">
        <f t="shared" si="60"/>
        <v>100µg/100cm²</v>
      </c>
      <c r="V421" s="58">
        <f t="shared" si="61"/>
        <v>140.4</v>
      </c>
      <c r="W421" s="57" t="str">
        <f t="shared" si="62"/>
        <v xml:space="preserve"> </v>
      </c>
      <c r="X421" s="59" t="str">
        <f t="shared" si="63"/>
        <v/>
      </c>
      <c r="Y421" s="60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16" t="s">
        <v>675</v>
      </c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/>
      <c r="BD421" s="64"/>
      <c r="BE421" s="64"/>
      <c r="BF421" s="64"/>
      <c r="BG421" s="64"/>
      <c r="BH421" s="64"/>
      <c r="BI421" s="64"/>
      <c r="BJ421" s="64"/>
      <c r="BK421" s="64"/>
      <c r="BL421" s="64"/>
      <c r="BM421" s="64"/>
      <c r="BN421" s="64"/>
      <c r="BO421" s="64"/>
      <c r="BP421" s="64"/>
      <c r="BQ421" s="64"/>
      <c r="BR421" s="64"/>
      <c r="BS421" s="64"/>
      <c r="BT421" s="65"/>
    </row>
    <row r="422" spans="1:72" ht="18" hidden="1" customHeight="1" x14ac:dyDescent="0.3">
      <c r="A422" s="47" t="s">
        <v>708</v>
      </c>
      <c r="B422" s="48" t="s">
        <v>709</v>
      </c>
      <c r="C422" s="49" t="s">
        <v>1802</v>
      </c>
      <c r="D422" s="16" t="s">
        <v>1268</v>
      </c>
      <c r="E422" s="50">
        <v>80</v>
      </c>
      <c r="F422" s="50">
        <v>0</v>
      </c>
      <c r="G422" s="61">
        <v>7</v>
      </c>
      <c r="H422" s="16" t="s">
        <v>1211</v>
      </c>
      <c r="I422" s="70" t="s">
        <v>1474</v>
      </c>
      <c r="J422" s="16" t="s">
        <v>1212</v>
      </c>
      <c r="K422" s="49">
        <v>13</v>
      </c>
      <c r="L422" s="49">
        <v>117</v>
      </c>
      <c r="M422" s="49" t="s">
        <v>1014</v>
      </c>
      <c r="N422" s="51"/>
      <c r="O422" s="63" t="str">
        <f t="shared" si="64"/>
        <v>YES</v>
      </c>
      <c r="P422" s="52"/>
      <c r="Q422" s="53">
        <f t="shared" si="57"/>
        <v>2372.5</v>
      </c>
      <c r="R422" s="54">
        <f t="shared" si="58"/>
        <v>1898</v>
      </c>
      <c r="S422" s="55" t="str">
        <f t="shared" si="59"/>
        <v xml:space="preserve"> </v>
      </c>
      <c r="T422" s="56"/>
      <c r="U422" s="57" t="str">
        <f t="shared" si="60"/>
        <v>100µg/100cm²</v>
      </c>
      <c r="V422" s="58">
        <f t="shared" si="61"/>
        <v>1898</v>
      </c>
      <c r="W422" s="58" t="str">
        <f t="shared" si="62"/>
        <v xml:space="preserve"> </v>
      </c>
      <c r="X422" s="59" t="str">
        <f t="shared" si="63"/>
        <v/>
      </c>
      <c r="Y422" s="60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16" t="s">
        <v>675</v>
      </c>
      <c r="AK422" s="64"/>
      <c r="AL422" s="64"/>
      <c r="AM422" s="16" t="s">
        <v>675</v>
      </c>
      <c r="AN422" s="16" t="s">
        <v>675</v>
      </c>
      <c r="AO422" s="16" t="s">
        <v>675</v>
      </c>
      <c r="AP422" s="16" t="s">
        <v>675</v>
      </c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16" t="s">
        <v>675</v>
      </c>
      <c r="BD422" s="64"/>
      <c r="BE422" s="64"/>
      <c r="BF422" s="64"/>
      <c r="BG422" s="64"/>
      <c r="BH422" s="64"/>
      <c r="BI422" s="64"/>
      <c r="BJ422" s="64"/>
      <c r="BK422" s="64"/>
      <c r="BL422" s="64"/>
      <c r="BM422" s="64"/>
      <c r="BN422" s="64"/>
      <c r="BO422" s="64"/>
      <c r="BP422" s="64"/>
      <c r="BQ422" s="64"/>
      <c r="BR422" s="64"/>
      <c r="BS422" s="64"/>
      <c r="BT422" s="65"/>
    </row>
    <row r="423" spans="1:72" ht="18" hidden="1" customHeight="1" x14ac:dyDescent="0.3">
      <c r="A423" s="47" t="s">
        <v>703</v>
      </c>
      <c r="B423" s="48" t="s">
        <v>704</v>
      </c>
      <c r="C423" s="49" t="s">
        <v>1188</v>
      </c>
      <c r="D423" s="49" t="s">
        <v>1163</v>
      </c>
      <c r="E423" s="50">
        <v>56.47</v>
      </c>
      <c r="F423" s="50">
        <v>0</v>
      </c>
      <c r="G423" s="61">
        <v>6</v>
      </c>
      <c r="H423" s="16">
        <v>0.68</v>
      </c>
      <c r="I423" s="48" t="s">
        <v>1189</v>
      </c>
      <c r="J423" s="16" t="s">
        <v>1190</v>
      </c>
      <c r="K423" s="62">
        <v>1.5</v>
      </c>
      <c r="L423" s="62">
        <v>1.5</v>
      </c>
      <c r="M423" s="62" t="s">
        <v>1036</v>
      </c>
      <c r="N423" s="49" t="s">
        <v>2357</v>
      </c>
      <c r="O423" s="63" t="str">
        <f t="shared" si="64"/>
        <v>NO</v>
      </c>
      <c r="P423" s="52"/>
      <c r="Q423" s="53">
        <f t="shared" si="57"/>
        <v>1.5</v>
      </c>
      <c r="R423" s="54">
        <f t="shared" si="58"/>
        <v>0.8</v>
      </c>
      <c r="S423" s="55" t="str">
        <f t="shared" si="59"/>
        <v xml:space="preserve"> </v>
      </c>
      <c r="T423" s="56"/>
      <c r="U423" s="57" t="str">
        <f t="shared" si="60"/>
        <v>Mitigation</v>
      </c>
      <c r="V423" s="58">
        <f t="shared" si="61"/>
        <v>0.8</v>
      </c>
      <c r="W423" s="58" t="str">
        <f t="shared" si="62"/>
        <v xml:space="preserve"> </v>
      </c>
      <c r="X423" s="59" t="str">
        <f t="shared" si="63"/>
        <v/>
      </c>
      <c r="Y423" s="60"/>
      <c r="Z423" s="64"/>
      <c r="AA423" s="64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  <c r="BD423" s="65"/>
      <c r="BE423" s="65"/>
      <c r="BF423" s="65"/>
      <c r="BG423" s="65"/>
      <c r="BH423" s="65"/>
      <c r="BI423" s="65"/>
      <c r="BJ423" s="65"/>
      <c r="BK423" s="65"/>
      <c r="BL423" s="65"/>
      <c r="BM423" s="65"/>
      <c r="BN423" s="65"/>
      <c r="BO423" s="65"/>
      <c r="BP423" s="65"/>
      <c r="BQ423" s="65"/>
      <c r="BR423" s="65"/>
      <c r="BS423" s="65"/>
      <c r="BT423" s="65"/>
    </row>
    <row r="424" spans="1:72" ht="18" hidden="1" customHeight="1" x14ac:dyDescent="0.3">
      <c r="A424" s="47" t="s">
        <v>96</v>
      </c>
      <c r="B424" s="48" t="s">
        <v>97</v>
      </c>
      <c r="C424" s="16" t="s">
        <v>2168</v>
      </c>
      <c r="D424" s="49" t="s">
        <v>1028</v>
      </c>
      <c r="E424" s="50">
        <v>39.299999999999997</v>
      </c>
      <c r="F424" s="50">
        <v>0</v>
      </c>
      <c r="G424" s="61">
        <v>1</v>
      </c>
      <c r="H424" s="16" t="s">
        <v>1023</v>
      </c>
      <c r="I424" s="48" t="s">
        <v>1016</v>
      </c>
      <c r="J424" s="16" t="s">
        <v>1042</v>
      </c>
      <c r="K424" s="62">
        <v>5</v>
      </c>
      <c r="L424" s="62">
        <v>5</v>
      </c>
      <c r="M424" s="62" t="s">
        <v>1033</v>
      </c>
      <c r="N424" s="62" t="s">
        <v>1043</v>
      </c>
      <c r="O424" s="63" t="str">
        <f t="shared" si="64"/>
        <v>NO</v>
      </c>
      <c r="P424" s="52"/>
      <c r="Q424" s="53">
        <f t="shared" si="57"/>
        <v>5</v>
      </c>
      <c r="R424" s="54">
        <f t="shared" si="58"/>
        <v>1.9</v>
      </c>
      <c r="S424" s="55" t="str">
        <f t="shared" si="59"/>
        <v xml:space="preserve"> </v>
      </c>
      <c r="T424" s="56"/>
      <c r="U424" s="57" t="str">
        <f t="shared" si="60"/>
        <v>Mitigation</v>
      </c>
      <c r="V424" s="58">
        <f t="shared" si="61"/>
        <v>1.9</v>
      </c>
      <c r="W424" s="58" t="str">
        <f t="shared" si="62"/>
        <v xml:space="preserve"> </v>
      </c>
      <c r="X424" s="59" t="str">
        <f t="shared" si="63"/>
        <v/>
      </c>
      <c r="Y424" s="60"/>
      <c r="Z424" s="64"/>
      <c r="AA424" s="64"/>
      <c r="AB424" s="64"/>
      <c r="AC424" s="16" t="s">
        <v>675</v>
      </c>
      <c r="AD424" s="16" t="s">
        <v>675</v>
      </c>
      <c r="AE424" s="64"/>
      <c r="AF424" s="64"/>
      <c r="AG424" s="64"/>
      <c r="AH424" s="64"/>
      <c r="AI424" s="64"/>
      <c r="AJ424" s="64"/>
      <c r="AK424" s="64"/>
      <c r="AL424" s="64"/>
      <c r="AM424" s="16" t="s">
        <v>675</v>
      </c>
      <c r="AN424" s="64"/>
      <c r="AO424" s="64"/>
      <c r="AP424" s="64"/>
      <c r="AQ424" s="64"/>
      <c r="AR424" s="64"/>
      <c r="AS424" s="16" t="s">
        <v>675</v>
      </c>
      <c r="AT424" s="64"/>
      <c r="AU424" s="64"/>
      <c r="AV424" s="64"/>
      <c r="AW424" s="64"/>
      <c r="AX424" s="64"/>
      <c r="AY424" s="64"/>
      <c r="AZ424" s="64"/>
      <c r="BA424" s="64"/>
      <c r="BB424" s="64"/>
      <c r="BC424" s="64"/>
      <c r="BD424" s="64"/>
      <c r="BE424" s="64"/>
      <c r="BF424" s="64"/>
      <c r="BG424" s="64"/>
      <c r="BH424" s="64"/>
      <c r="BI424" s="64"/>
      <c r="BJ424" s="64"/>
      <c r="BK424" s="64"/>
      <c r="BL424" s="64"/>
      <c r="BM424" s="64"/>
      <c r="BN424" s="64"/>
      <c r="BO424" s="64"/>
      <c r="BP424" s="64"/>
      <c r="BQ424" s="64"/>
      <c r="BR424" s="64"/>
      <c r="BS424" s="64"/>
      <c r="BT424" s="65"/>
    </row>
    <row r="425" spans="1:72" ht="18" hidden="1" customHeight="1" x14ac:dyDescent="0.3">
      <c r="A425" s="66" t="s">
        <v>1574</v>
      </c>
      <c r="B425" s="69" t="s">
        <v>1559</v>
      </c>
      <c r="C425" s="16" t="s">
        <v>2169</v>
      </c>
      <c r="D425" s="16" t="s">
        <v>1104</v>
      </c>
      <c r="E425" s="50">
        <v>66</v>
      </c>
      <c r="F425" s="50">
        <v>0</v>
      </c>
      <c r="G425" s="16">
        <v>7</v>
      </c>
      <c r="H425" s="16" t="s">
        <v>1811</v>
      </c>
      <c r="I425" s="16" t="s">
        <v>1016</v>
      </c>
      <c r="J425" s="16" t="s">
        <v>2382</v>
      </c>
      <c r="K425" s="16">
        <v>50</v>
      </c>
      <c r="L425" s="16">
        <v>50</v>
      </c>
      <c r="M425" s="64"/>
      <c r="N425" s="64"/>
      <c r="O425" s="63" t="str">
        <f t="shared" si="64"/>
        <v>YES</v>
      </c>
      <c r="P425" s="52"/>
      <c r="Q425" s="53">
        <f t="shared" si="57"/>
        <v>5000</v>
      </c>
      <c r="R425" s="54">
        <f t="shared" si="58"/>
        <v>3300</v>
      </c>
      <c r="S425" s="55" t="str">
        <f t="shared" si="59"/>
        <v xml:space="preserve"> </v>
      </c>
      <c r="T425" s="56"/>
      <c r="U425" s="57" t="str">
        <f t="shared" si="60"/>
        <v>100µg/100cm²</v>
      </c>
      <c r="V425" s="58">
        <f t="shared" si="61"/>
        <v>3300</v>
      </c>
      <c r="W425" s="58" t="str">
        <f t="shared" si="62"/>
        <v xml:space="preserve"> </v>
      </c>
      <c r="X425" s="59" t="str">
        <f t="shared" si="63"/>
        <v/>
      </c>
      <c r="Y425" s="60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16" t="s">
        <v>675</v>
      </c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/>
      <c r="BD425" s="64"/>
      <c r="BE425" s="64"/>
      <c r="BF425" s="64"/>
      <c r="BG425" s="64"/>
      <c r="BH425" s="64"/>
      <c r="BI425" s="64"/>
      <c r="BJ425" s="64"/>
      <c r="BK425" s="64"/>
      <c r="BL425" s="64"/>
      <c r="BM425" s="64"/>
      <c r="BN425" s="64"/>
      <c r="BO425" s="64"/>
      <c r="BP425" s="64"/>
      <c r="BQ425" s="64"/>
      <c r="BR425" s="64"/>
      <c r="BS425" s="64"/>
      <c r="BT425" s="65"/>
    </row>
    <row r="426" spans="1:72" ht="18" customHeight="1" x14ac:dyDescent="0.3">
      <c r="A426" s="84" t="s">
        <v>1839</v>
      </c>
      <c r="B426" s="70" t="s">
        <v>55</v>
      </c>
      <c r="C426" s="70" t="s">
        <v>1381</v>
      </c>
      <c r="D426" s="49" t="s">
        <v>1114</v>
      </c>
      <c r="E426" s="50">
        <v>0</v>
      </c>
      <c r="F426" s="50">
        <v>0</v>
      </c>
      <c r="G426" s="61">
        <v>2</v>
      </c>
      <c r="H426" s="16">
        <v>222</v>
      </c>
      <c r="I426" s="70" t="s">
        <v>1012</v>
      </c>
      <c r="J426" s="16" t="s">
        <v>2386</v>
      </c>
      <c r="K426" s="49">
        <v>50</v>
      </c>
      <c r="L426" s="49">
        <v>50</v>
      </c>
      <c r="M426" s="64"/>
      <c r="N426" s="64"/>
      <c r="O426" s="63" t="str">
        <f t="shared" si="64"/>
        <v>YES</v>
      </c>
      <c r="P426" s="52"/>
      <c r="Q426" s="53">
        <f t="shared" si="57"/>
        <v>5000</v>
      </c>
      <c r="R426" s="54" t="str">
        <f t="shared" si="58"/>
        <v xml:space="preserve"> </v>
      </c>
      <c r="S426" s="55" t="str">
        <f t="shared" si="59"/>
        <v xml:space="preserve"> </v>
      </c>
      <c r="T426" s="56"/>
      <c r="U426" s="57" t="str">
        <f t="shared" si="60"/>
        <v xml:space="preserve"> </v>
      </c>
      <c r="V426" s="58" t="str">
        <f t="shared" si="61"/>
        <v xml:space="preserve"> </v>
      </c>
      <c r="W426" s="58" t="str">
        <f t="shared" si="62"/>
        <v xml:space="preserve"> </v>
      </c>
      <c r="X426" s="59" t="str">
        <f t="shared" si="63"/>
        <v>Water criteria (conductivity)</v>
      </c>
      <c r="Y426" s="60"/>
      <c r="Z426" s="16" t="s">
        <v>675</v>
      </c>
      <c r="AA426" s="16" t="s">
        <v>675</v>
      </c>
      <c r="AB426" s="16" t="s">
        <v>675</v>
      </c>
      <c r="AC426" s="16" t="s">
        <v>675</v>
      </c>
      <c r="AD426" s="16" t="s">
        <v>675</v>
      </c>
      <c r="AE426" s="16" t="s">
        <v>675</v>
      </c>
      <c r="AF426" s="16" t="s">
        <v>675</v>
      </c>
      <c r="AG426" s="16" t="s">
        <v>675</v>
      </c>
      <c r="AH426" s="64"/>
      <c r="AI426" s="64"/>
      <c r="AJ426" s="16" t="s">
        <v>675</v>
      </c>
      <c r="AK426" s="16" t="s">
        <v>675</v>
      </c>
      <c r="AL426" s="16" t="s">
        <v>675</v>
      </c>
      <c r="AM426" s="16" t="s">
        <v>675</v>
      </c>
      <c r="AN426" s="16" t="s">
        <v>675</v>
      </c>
      <c r="AO426" s="16" t="s">
        <v>675</v>
      </c>
      <c r="AP426" s="16" t="s">
        <v>675</v>
      </c>
      <c r="AQ426" s="16" t="s">
        <v>675</v>
      </c>
      <c r="AR426" s="16" t="s">
        <v>675</v>
      </c>
      <c r="AS426" s="16" t="s">
        <v>675</v>
      </c>
      <c r="AT426" s="16" t="s">
        <v>675</v>
      </c>
      <c r="AU426" s="16" t="s">
        <v>675</v>
      </c>
      <c r="AV426" s="16" t="s">
        <v>675</v>
      </c>
      <c r="AW426" s="16" t="s">
        <v>675</v>
      </c>
      <c r="AX426" s="16" t="s">
        <v>675</v>
      </c>
      <c r="AY426" s="16" t="s">
        <v>675</v>
      </c>
      <c r="AZ426" s="16" t="s">
        <v>675</v>
      </c>
      <c r="BA426" s="16" t="s">
        <v>675</v>
      </c>
      <c r="BB426" s="16" t="s">
        <v>675</v>
      </c>
      <c r="BC426" s="16" t="s">
        <v>675</v>
      </c>
      <c r="BD426" s="64"/>
      <c r="BE426" s="64"/>
      <c r="BF426" s="64"/>
      <c r="BG426" s="16" t="s">
        <v>675</v>
      </c>
      <c r="BH426" s="16" t="s">
        <v>675</v>
      </c>
      <c r="BI426" s="64"/>
      <c r="BJ426" s="64"/>
      <c r="BK426" s="64"/>
      <c r="BL426" s="64"/>
      <c r="BM426" s="64"/>
      <c r="BN426" s="64"/>
      <c r="BO426" s="64"/>
      <c r="BP426" s="64"/>
      <c r="BQ426" s="64"/>
      <c r="BR426" s="64"/>
      <c r="BS426" s="16" t="s">
        <v>675</v>
      </c>
      <c r="BT426" s="65"/>
    </row>
    <row r="427" spans="1:72" ht="18" hidden="1" customHeight="1" x14ac:dyDescent="0.3">
      <c r="A427" s="47" t="s">
        <v>163</v>
      </c>
      <c r="B427" s="48" t="s">
        <v>164</v>
      </c>
      <c r="C427" s="49" t="s">
        <v>1315</v>
      </c>
      <c r="D427" s="49" t="s">
        <v>1028</v>
      </c>
      <c r="E427" s="50">
        <v>33.299999999999997</v>
      </c>
      <c r="F427" s="50">
        <v>0</v>
      </c>
      <c r="G427" s="61">
        <v>5</v>
      </c>
      <c r="H427" s="68" t="s">
        <v>1316</v>
      </c>
      <c r="I427" s="48" t="s">
        <v>1016</v>
      </c>
      <c r="J427" s="16" t="s">
        <v>1317</v>
      </c>
      <c r="K427" s="49">
        <v>25</v>
      </c>
      <c r="L427" s="49">
        <v>225</v>
      </c>
      <c r="M427" s="62" t="s">
        <v>1053</v>
      </c>
      <c r="N427" s="132"/>
      <c r="O427" s="63" t="str">
        <f t="shared" si="64"/>
        <v>YES</v>
      </c>
      <c r="P427" s="52"/>
      <c r="Q427" s="53">
        <f t="shared" si="57"/>
        <v>4562.5</v>
      </c>
      <c r="R427" s="54">
        <f t="shared" si="58"/>
        <v>1519.3</v>
      </c>
      <c r="S427" s="55" t="str">
        <f t="shared" si="59"/>
        <v xml:space="preserve"> </v>
      </c>
      <c r="T427" s="56"/>
      <c r="U427" s="57" t="str">
        <f t="shared" si="60"/>
        <v>100µg/100cm²</v>
      </c>
      <c r="V427" s="58">
        <f t="shared" si="61"/>
        <v>1519.3</v>
      </c>
      <c r="W427" s="58" t="str">
        <f t="shared" si="62"/>
        <v xml:space="preserve"> </v>
      </c>
      <c r="X427" s="59" t="str">
        <f t="shared" si="63"/>
        <v/>
      </c>
      <c r="Y427" s="60"/>
      <c r="Z427" s="64"/>
      <c r="AA427" s="64"/>
      <c r="AB427" s="64"/>
      <c r="AC427" s="64"/>
      <c r="AD427" s="16" t="s">
        <v>675</v>
      </c>
      <c r="AE427" s="64"/>
      <c r="AF427" s="64"/>
      <c r="AG427" s="64"/>
      <c r="AH427" s="64"/>
      <c r="AI427" s="64"/>
      <c r="AJ427" s="64"/>
      <c r="AK427" s="64"/>
      <c r="AL427" s="64"/>
      <c r="AM427" s="16" t="s">
        <v>675</v>
      </c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/>
      <c r="BD427" s="64"/>
      <c r="BE427" s="64"/>
      <c r="BF427" s="64"/>
      <c r="BG427" s="64"/>
      <c r="BH427" s="64"/>
      <c r="BI427" s="64"/>
      <c r="BJ427" s="64"/>
      <c r="BK427" s="64"/>
      <c r="BL427" s="64"/>
      <c r="BM427" s="64"/>
      <c r="BN427" s="64"/>
      <c r="BO427" s="64"/>
      <c r="BP427" s="64"/>
      <c r="BQ427" s="64"/>
      <c r="BR427" s="64"/>
      <c r="BS427" s="64"/>
      <c r="BT427" s="65"/>
    </row>
    <row r="428" spans="1:72" ht="18" hidden="1" customHeight="1" x14ac:dyDescent="0.3">
      <c r="A428" s="81" t="s">
        <v>909</v>
      </c>
      <c r="B428" s="76" t="s">
        <v>459</v>
      </c>
      <c r="C428" s="16" t="s">
        <v>1502</v>
      </c>
      <c r="D428" s="16" t="s">
        <v>1484</v>
      </c>
      <c r="E428" s="50">
        <v>50</v>
      </c>
      <c r="F428" s="50">
        <v>0</v>
      </c>
      <c r="G428" s="16">
        <v>1</v>
      </c>
      <c r="H428" s="16" t="s">
        <v>1023</v>
      </c>
      <c r="I428" s="16" t="s">
        <v>1016</v>
      </c>
      <c r="J428" s="16" t="s">
        <v>2382</v>
      </c>
      <c r="K428" s="16">
        <v>50</v>
      </c>
      <c r="L428" s="16">
        <v>50</v>
      </c>
      <c r="M428" s="64"/>
      <c r="N428" s="64"/>
      <c r="O428" s="63" t="str">
        <f t="shared" si="64"/>
        <v>YES</v>
      </c>
      <c r="P428" s="52"/>
      <c r="Q428" s="53">
        <f t="shared" si="57"/>
        <v>5000</v>
      </c>
      <c r="R428" s="54">
        <f t="shared" si="58"/>
        <v>2500</v>
      </c>
      <c r="S428" s="55" t="str">
        <f t="shared" si="59"/>
        <v xml:space="preserve"> </v>
      </c>
      <c r="T428" s="56"/>
      <c r="U428" s="57" t="str">
        <f t="shared" si="60"/>
        <v>100µg/100cm²</v>
      </c>
      <c r="V428" s="58">
        <f t="shared" si="61"/>
        <v>2500</v>
      </c>
      <c r="W428" s="58" t="str">
        <f t="shared" si="62"/>
        <v xml:space="preserve"> </v>
      </c>
      <c r="X428" s="59" t="str">
        <f t="shared" si="63"/>
        <v/>
      </c>
      <c r="Y428" s="60"/>
      <c r="Z428" s="64"/>
      <c r="AA428" s="64"/>
      <c r="AB428" s="64"/>
      <c r="AC428" s="64"/>
      <c r="AD428" s="64"/>
      <c r="AE428" s="64"/>
      <c r="AF428" s="16" t="s">
        <v>675</v>
      </c>
      <c r="AG428" s="16" t="s">
        <v>675</v>
      </c>
      <c r="AH428" s="64"/>
      <c r="AI428" s="64"/>
      <c r="AJ428" s="64"/>
      <c r="AK428" s="64"/>
      <c r="AL428" s="64"/>
      <c r="AM428" s="16" t="s">
        <v>675</v>
      </c>
      <c r="AN428" s="16" t="s">
        <v>675</v>
      </c>
      <c r="AO428" s="16" t="s">
        <v>675</v>
      </c>
      <c r="AP428" s="16" t="s">
        <v>675</v>
      </c>
      <c r="AQ428" s="64"/>
      <c r="AR428" s="64"/>
      <c r="AS428" s="64"/>
      <c r="AT428" s="64"/>
      <c r="AU428" s="83" t="s">
        <v>675</v>
      </c>
      <c r="AV428" s="83" t="s">
        <v>675</v>
      </c>
      <c r="AW428" s="16" t="s">
        <v>675</v>
      </c>
      <c r="AX428" s="16" t="s">
        <v>675</v>
      </c>
      <c r="AY428" s="64"/>
      <c r="AZ428" s="64"/>
      <c r="BA428" s="64"/>
      <c r="BB428" s="64"/>
      <c r="BC428" s="16" t="s">
        <v>675</v>
      </c>
      <c r="BD428" s="64"/>
      <c r="BE428" s="64"/>
      <c r="BF428" s="64"/>
      <c r="BG428" s="64"/>
      <c r="BH428" s="64"/>
      <c r="BI428" s="64"/>
      <c r="BJ428" s="64"/>
      <c r="BK428" s="64"/>
      <c r="BL428" s="64"/>
      <c r="BM428" s="64"/>
      <c r="BN428" s="64"/>
      <c r="BO428" s="64"/>
      <c r="BP428" s="64"/>
      <c r="BQ428" s="64"/>
      <c r="BR428" s="64"/>
      <c r="BS428" s="64"/>
      <c r="BT428" s="65"/>
    </row>
    <row r="429" spans="1:72" ht="18" hidden="1" customHeight="1" x14ac:dyDescent="0.3">
      <c r="A429" s="81" t="s">
        <v>910</v>
      </c>
      <c r="B429" s="76" t="s">
        <v>459</v>
      </c>
      <c r="C429" s="16" t="s">
        <v>1502</v>
      </c>
      <c r="D429" s="16" t="s">
        <v>1484</v>
      </c>
      <c r="E429" s="50">
        <v>50</v>
      </c>
      <c r="F429" s="50">
        <v>0</v>
      </c>
      <c r="G429" s="16">
        <v>1</v>
      </c>
      <c r="H429" s="16" t="s">
        <v>1023</v>
      </c>
      <c r="I429" s="16" t="s">
        <v>1016</v>
      </c>
      <c r="J429" s="16" t="s">
        <v>2382</v>
      </c>
      <c r="K429" s="16">
        <v>50</v>
      </c>
      <c r="L429" s="16">
        <v>50</v>
      </c>
      <c r="M429" s="64"/>
      <c r="N429" s="64"/>
      <c r="O429" s="63" t="str">
        <f t="shared" si="64"/>
        <v>YES</v>
      </c>
      <c r="P429" s="52"/>
      <c r="Q429" s="53">
        <f t="shared" si="57"/>
        <v>5000</v>
      </c>
      <c r="R429" s="54">
        <f t="shared" si="58"/>
        <v>2500</v>
      </c>
      <c r="S429" s="55" t="str">
        <f t="shared" si="59"/>
        <v xml:space="preserve"> </v>
      </c>
      <c r="T429" s="56"/>
      <c r="U429" s="57" t="str">
        <f t="shared" si="60"/>
        <v>100µg/100cm²</v>
      </c>
      <c r="V429" s="58">
        <f t="shared" si="61"/>
        <v>2500</v>
      </c>
      <c r="W429" s="58" t="str">
        <f t="shared" si="62"/>
        <v xml:space="preserve"> </v>
      </c>
      <c r="X429" s="59" t="str">
        <f t="shared" si="63"/>
        <v/>
      </c>
      <c r="Y429" s="60"/>
      <c r="Z429" s="64"/>
      <c r="AA429" s="64"/>
      <c r="AB429" s="64"/>
      <c r="AC429" s="64"/>
      <c r="AD429" s="64"/>
      <c r="AE429" s="64"/>
      <c r="AF429" s="16" t="s">
        <v>675</v>
      </c>
      <c r="AG429" s="16" t="s">
        <v>675</v>
      </c>
      <c r="AH429" s="64"/>
      <c r="AI429" s="64"/>
      <c r="AJ429" s="64"/>
      <c r="AK429" s="64"/>
      <c r="AL429" s="64"/>
      <c r="AM429" s="16" t="s">
        <v>675</v>
      </c>
      <c r="AN429" s="16" t="s">
        <v>675</v>
      </c>
      <c r="AO429" s="16" t="s">
        <v>675</v>
      </c>
      <c r="AP429" s="16" t="s">
        <v>675</v>
      </c>
      <c r="AQ429" s="64"/>
      <c r="AR429" s="64"/>
      <c r="AS429" s="64"/>
      <c r="AT429" s="64"/>
      <c r="AU429" s="83" t="s">
        <v>675</v>
      </c>
      <c r="AV429" s="83" t="s">
        <v>675</v>
      </c>
      <c r="AW429" s="16" t="s">
        <v>675</v>
      </c>
      <c r="AX429" s="16" t="s">
        <v>675</v>
      </c>
      <c r="AY429" s="64"/>
      <c r="AZ429" s="64"/>
      <c r="BA429" s="64"/>
      <c r="BB429" s="64"/>
      <c r="BC429" s="16" t="s">
        <v>675</v>
      </c>
      <c r="BD429" s="64"/>
      <c r="BE429" s="64"/>
      <c r="BF429" s="64"/>
      <c r="BG429" s="64"/>
      <c r="BH429" s="64"/>
      <c r="BI429" s="64"/>
      <c r="BJ429" s="64"/>
      <c r="BK429" s="64"/>
      <c r="BL429" s="64"/>
      <c r="BM429" s="64"/>
      <c r="BN429" s="64"/>
      <c r="BO429" s="64"/>
      <c r="BP429" s="64"/>
      <c r="BQ429" s="64"/>
      <c r="BR429" s="64"/>
      <c r="BS429" s="64"/>
      <c r="BT429" s="65"/>
    </row>
    <row r="430" spans="1:72" ht="18" hidden="1" customHeight="1" x14ac:dyDescent="0.3">
      <c r="A430" s="81" t="s">
        <v>911</v>
      </c>
      <c r="B430" s="76" t="s">
        <v>459</v>
      </c>
      <c r="C430" s="16" t="s">
        <v>1502</v>
      </c>
      <c r="D430" s="16" t="s">
        <v>1484</v>
      </c>
      <c r="E430" s="50">
        <v>50</v>
      </c>
      <c r="F430" s="50">
        <v>0</v>
      </c>
      <c r="G430" s="16">
        <v>1</v>
      </c>
      <c r="H430" s="16" t="s">
        <v>1023</v>
      </c>
      <c r="I430" s="16" t="s">
        <v>1016</v>
      </c>
      <c r="J430" s="16" t="s">
        <v>2382</v>
      </c>
      <c r="K430" s="16">
        <v>50</v>
      </c>
      <c r="L430" s="16">
        <v>50</v>
      </c>
      <c r="M430" s="64"/>
      <c r="N430" s="64"/>
      <c r="O430" s="63" t="str">
        <f t="shared" si="64"/>
        <v>YES</v>
      </c>
      <c r="P430" s="52"/>
      <c r="Q430" s="53">
        <f t="shared" si="57"/>
        <v>5000</v>
      </c>
      <c r="R430" s="54">
        <f t="shared" si="58"/>
        <v>2500</v>
      </c>
      <c r="S430" s="55" t="str">
        <f t="shared" si="59"/>
        <v xml:space="preserve"> </v>
      </c>
      <c r="T430" s="56"/>
      <c r="U430" s="57" t="str">
        <f t="shared" si="60"/>
        <v>100µg/100cm²</v>
      </c>
      <c r="V430" s="58">
        <f t="shared" si="61"/>
        <v>2500</v>
      </c>
      <c r="W430" s="58" t="str">
        <f t="shared" si="62"/>
        <v xml:space="preserve"> </v>
      </c>
      <c r="X430" s="59" t="str">
        <f t="shared" si="63"/>
        <v/>
      </c>
      <c r="Y430" s="60"/>
      <c r="Z430" s="64"/>
      <c r="AA430" s="64"/>
      <c r="AB430" s="64"/>
      <c r="AC430" s="64"/>
      <c r="AD430" s="64"/>
      <c r="AE430" s="64"/>
      <c r="AF430" s="16" t="s">
        <v>675</v>
      </c>
      <c r="AG430" s="16" t="s">
        <v>675</v>
      </c>
      <c r="AH430" s="64"/>
      <c r="AI430" s="64"/>
      <c r="AJ430" s="64"/>
      <c r="AK430" s="64"/>
      <c r="AL430" s="64"/>
      <c r="AM430" s="16" t="s">
        <v>675</v>
      </c>
      <c r="AN430" s="64"/>
      <c r="AO430" s="64"/>
      <c r="AP430" s="64"/>
      <c r="AQ430" s="64"/>
      <c r="AR430" s="64"/>
      <c r="AS430" s="64"/>
      <c r="AT430" s="64"/>
      <c r="AU430" s="82"/>
      <c r="AV430" s="82"/>
      <c r="AW430" s="82"/>
      <c r="AX430" s="64"/>
      <c r="AY430" s="64"/>
      <c r="AZ430" s="64"/>
      <c r="BA430" s="64"/>
      <c r="BB430" s="64"/>
      <c r="BC430" s="16" t="s">
        <v>675</v>
      </c>
      <c r="BD430" s="64"/>
      <c r="BE430" s="64"/>
      <c r="BF430" s="64"/>
      <c r="BG430" s="64"/>
      <c r="BH430" s="64"/>
      <c r="BI430" s="64"/>
      <c r="BJ430" s="64"/>
      <c r="BK430" s="64"/>
      <c r="BL430" s="64"/>
      <c r="BM430" s="64"/>
      <c r="BN430" s="64"/>
      <c r="BO430" s="64"/>
      <c r="BP430" s="64"/>
      <c r="BQ430" s="64"/>
      <c r="BR430" s="64"/>
      <c r="BS430" s="64"/>
      <c r="BT430" s="65"/>
    </row>
    <row r="431" spans="1:72" ht="18" hidden="1" customHeight="1" x14ac:dyDescent="0.3">
      <c r="A431" s="81" t="s">
        <v>912</v>
      </c>
      <c r="B431" s="76" t="s">
        <v>459</v>
      </c>
      <c r="C431" s="16" t="s">
        <v>1502</v>
      </c>
      <c r="D431" s="16" t="s">
        <v>1484</v>
      </c>
      <c r="E431" s="50">
        <v>50</v>
      </c>
      <c r="F431" s="50">
        <v>0</v>
      </c>
      <c r="G431" s="16">
        <v>1</v>
      </c>
      <c r="H431" s="16" t="s">
        <v>1023</v>
      </c>
      <c r="I431" s="16" t="s">
        <v>1016</v>
      </c>
      <c r="J431" s="16" t="s">
        <v>2382</v>
      </c>
      <c r="K431" s="16">
        <v>50</v>
      </c>
      <c r="L431" s="16">
        <v>50</v>
      </c>
      <c r="M431" s="64"/>
      <c r="N431" s="64"/>
      <c r="O431" s="63" t="str">
        <f t="shared" si="64"/>
        <v>YES</v>
      </c>
      <c r="P431" s="52"/>
      <c r="Q431" s="53">
        <f t="shared" si="57"/>
        <v>5000</v>
      </c>
      <c r="R431" s="54">
        <f t="shared" si="58"/>
        <v>2500</v>
      </c>
      <c r="S431" s="55" t="str">
        <f t="shared" si="59"/>
        <v xml:space="preserve"> </v>
      </c>
      <c r="T431" s="56"/>
      <c r="U431" s="57" t="str">
        <f t="shared" si="60"/>
        <v>100µg/100cm²</v>
      </c>
      <c r="V431" s="58">
        <f t="shared" si="61"/>
        <v>2500</v>
      </c>
      <c r="W431" s="58" t="str">
        <f t="shared" si="62"/>
        <v xml:space="preserve"> </v>
      </c>
      <c r="X431" s="59" t="str">
        <f t="shared" si="63"/>
        <v/>
      </c>
      <c r="Y431" s="60"/>
      <c r="Z431" s="64"/>
      <c r="AA431" s="64"/>
      <c r="AB431" s="64"/>
      <c r="AC431" s="64"/>
      <c r="AD431" s="64"/>
      <c r="AE431" s="64"/>
      <c r="AF431" s="16" t="s">
        <v>675</v>
      </c>
      <c r="AG431" s="16" t="s">
        <v>675</v>
      </c>
      <c r="AH431" s="64"/>
      <c r="AI431" s="64"/>
      <c r="AJ431" s="64"/>
      <c r="AK431" s="64"/>
      <c r="AL431" s="64"/>
      <c r="AM431" s="16" t="s">
        <v>675</v>
      </c>
      <c r="AN431" s="64"/>
      <c r="AO431" s="64"/>
      <c r="AP431" s="64"/>
      <c r="AQ431" s="64"/>
      <c r="AR431" s="64"/>
      <c r="AS431" s="64"/>
      <c r="AT431" s="64"/>
      <c r="AU431" s="82"/>
      <c r="AV431" s="82"/>
      <c r="AW431" s="82"/>
      <c r="AX431" s="64"/>
      <c r="AY431" s="64"/>
      <c r="AZ431" s="64"/>
      <c r="BA431" s="64"/>
      <c r="BB431" s="64"/>
      <c r="BC431" s="16" t="s">
        <v>675</v>
      </c>
      <c r="BD431" s="64"/>
      <c r="BE431" s="64"/>
      <c r="BF431" s="64"/>
      <c r="BG431" s="64"/>
      <c r="BH431" s="64"/>
      <c r="BI431" s="64"/>
      <c r="BJ431" s="64"/>
      <c r="BK431" s="64"/>
      <c r="BL431" s="64"/>
      <c r="BM431" s="64"/>
      <c r="BN431" s="64"/>
      <c r="BO431" s="64"/>
      <c r="BP431" s="64"/>
      <c r="BQ431" s="64"/>
      <c r="BR431" s="64"/>
      <c r="BS431" s="64"/>
      <c r="BT431" s="65"/>
    </row>
    <row r="432" spans="1:72" ht="18" hidden="1" customHeight="1" x14ac:dyDescent="0.3">
      <c r="A432" s="81" t="s">
        <v>913</v>
      </c>
      <c r="B432" s="76" t="s">
        <v>459</v>
      </c>
      <c r="C432" s="16" t="s">
        <v>1502</v>
      </c>
      <c r="D432" s="16" t="s">
        <v>1484</v>
      </c>
      <c r="E432" s="50">
        <v>50</v>
      </c>
      <c r="F432" s="50">
        <v>0</v>
      </c>
      <c r="G432" s="16">
        <v>1</v>
      </c>
      <c r="H432" s="16" t="s">
        <v>1023</v>
      </c>
      <c r="I432" s="16" t="s">
        <v>1016</v>
      </c>
      <c r="J432" s="16" t="s">
        <v>2382</v>
      </c>
      <c r="K432" s="16">
        <v>50</v>
      </c>
      <c r="L432" s="16">
        <v>50</v>
      </c>
      <c r="M432" s="64"/>
      <c r="N432" s="64"/>
      <c r="O432" s="63" t="str">
        <f t="shared" si="64"/>
        <v>YES</v>
      </c>
      <c r="P432" s="52"/>
      <c r="Q432" s="53">
        <f t="shared" si="57"/>
        <v>5000</v>
      </c>
      <c r="R432" s="54">
        <f t="shared" si="58"/>
        <v>2500</v>
      </c>
      <c r="S432" s="55" t="str">
        <f t="shared" si="59"/>
        <v xml:space="preserve"> </v>
      </c>
      <c r="T432" s="56"/>
      <c r="U432" s="57" t="str">
        <f t="shared" si="60"/>
        <v>100µg/100cm²</v>
      </c>
      <c r="V432" s="58">
        <f t="shared" si="61"/>
        <v>2500</v>
      </c>
      <c r="W432" s="58" t="str">
        <f t="shared" si="62"/>
        <v xml:space="preserve"> </v>
      </c>
      <c r="X432" s="59" t="str">
        <f t="shared" si="63"/>
        <v/>
      </c>
      <c r="Y432" s="60"/>
      <c r="Z432" s="64"/>
      <c r="AA432" s="64"/>
      <c r="AB432" s="64"/>
      <c r="AC432" s="64"/>
      <c r="AD432" s="64"/>
      <c r="AE432" s="64"/>
      <c r="AF432" s="16" t="s">
        <v>675</v>
      </c>
      <c r="AG432" s="16" t="s">
        <v>675</v>
      </c>
      <c r="AH432" s="64"/>
      <c r="AI432" s="64"/>
      <c r="AJ432" s="64"/>
      <c r="AK432" s="64"/>
      <c r="AL432" s="64"/>
      <c r="AM432" s="16" t="s">
        <v>675</v>
      </c>
      <c r="AN432" s="64"/>
      <c r="AO432" s="64"/>
      <c r="AP432" s="64"/>
      <c r="AQ432" s="64"/>
      <c r="AR432" s="64"/>
      <c r="AS432" s="64"/>
      <c r="AT432" s="64"/>
      <c r="AU432" s="82"/>
      <c r="AV432" s="82"/>
      <c r="AW432" s="82"/>
      <c r="AX432" s="64"/>
      <c r="AY432" s="64"/>
      <c r="AZ432" s="64"/>
      <c r="BA432" s="64"/>
      <c r="BB432" s="64"/>
      <c r="BC432" s="16" t="s">
        <v>675</v>
      </c>
      <c r="BD432" s="64"/>
      <c r="BE432" s="64"/>
      <c r="BF432" s="64"/>
      <c r="BG432" s="64"/>
      <c r="BH432" s="64"/>
      <c r="BI432" s="64"/>
      <c r="BJ432" s="64"/>
      <c r="BK432" s="64"/>
      <c r="BL432" s="64"/>
      <c r="BM432" s="64"/>
      <c r="BN432" s="64"/>
      <c r="BO432" s="64"/>
      <c r="BP432" s="64"/>
      <c r="BQ432" s="64"/>
      <c r="BR432" s="64"/>
      <c r="BS432" s="64"/>
      <c r="BT432" s="65"/>
    </row>
    <row r="433" spans="1:72" ht="18" hidden="1" customHeight="1" x14ac:dyDescent="0.3">
      <c r="A433" s="81" t="s">
        <v>914</v>
      </c>
      <c r="B433" s="76" t="s">
        <v>459</v>
      </c>
      <c r="C433" s="16" t="s">
        <v>1502</v>
      </c>
      <c r="D433" s="16" t="s">
        <v>1484</v>
      </c>
      <c r="E433" s="50">
        <v>50</v>
      </c>
      <c r="F433" s="50">
        <v>0</v>
      </c>
      <c r="G433" s="16">
        <v>1</v>
      </c>
      <c r="H433" s="16" t="s">
        <v>1023</v>
      </c>
      <c r="I433" s="16" t="s">
        <v>1016</v>
      </c>
      <c r="J433" s="16" t="s">
        <v>2382</v>
      </c>
      <c r="K433" s="16">
        <v>50</v>
      </c>
      <c r="L433" s="16">
        <v>50</v>
      </c>
      <c r="M433" s="64"/>
      <c r="N433" s="64"/>
      <c r="O433" s="63" t="str">
        <f t="shared" si="64"/>
        <v>YES</v>
      </c>
      <c r="P433" s="52"/>
      <c r="Q433" s="53">
        <f t="shared" si="57"/>
        <v>5000</v>
      </c>
      <c r="R433" s="54">
        <f t="shared" si="58"/>
        <v>2500</v>
      </c>
      <c r="S433" s="55" t="str">
        <f t="shared" si="59"/>
        <v xml:space="preserve"> </v>
      </c>
      <c r="T433" s="56"/>
      <c r="U433" s="57" t="str">
        <f t="shared" si="60"/>
        <v>100µg/100cm²</v>
      </c>
      <c r="V433" s="58">
        <f t="shared" si="61"/>
        <v>2500</v>
      </c>
      <c r="W433" s="58" t="str">
        <f t="shared" si="62"/>
        <v xml:space="preserve"> </v>
      </c>
      <c r="X433" s="59" t="str">
        <f t="shared" si="63"/>
        <v/>
      </c>
      <c r="Y433" s="60"/>
      <c r="Z433" s="64"/>
      <c r="AA433" s="64"/>
      <c r="AB433" s="64"/>
      <c r="AC433" s="64"/>
      <c r="AD433" s="64"/>
      <c r="AE433" s="64"/>
      <c r="AF433" s="16" t="s">
        <v>675</v>
      </c>
      <c r="AG433" s="16" t="s">
        <v>675</v>
      </c>
      <c r="AH433" s="64"/>
      <c r="AI433" s="64"/>
      <c r="AJ433" s="64"/>
      <c r="AK433" s="64"/>
      <c r="AL433" s="64"/>
      <c r="AM433" s="16" t="s">
        <v>675</v>
      </c>
      <c r="AN433" s="64"/>
      <c r="AO433" s="64"/>
      <c r="AP433" s="64"/>
      <c r="AQ433" s="64"/>
      <c r="AR433" s="64"/>
      <c r="AS433" s="64"/>
      <c r="AT433" s="64"/>
      <c r="AU433" s="82"/>
      <c r="AV433" s="82"/>
      <c r="AW433" s="82"/>
      <c r="AX433" s="64"/>
      <c r="AY433" s="64"/>
      <c r="AZ433" s="64"/>
      <c r="BA433" s="64"/>
      <c r="BB433" s="64"/>
      <c r="BC433" s="16" t="s">
        <v>675</v>
      </c>
      <c r="BD433" s="64"/>
      <c r="BE433" s="64"/>
      <c r="BF433" s="64"/>
      <c r="BG433" s="64"/>
      <c r="BH433" s="64"/>
      <c r="BI433" s="64"/>
      <c r="BJ433" s="64"/>
      <c r="BK433" s="64"/>
      <c r="BL433" s="64"/>
      <c r="BM433" s="64"/>
      <c r="BN433" s="64"/>
      <c r="BO433" s="64"/>
      <c r="BP433" s="64"/>
      <c r="BQ433" s="64"/>
      <c r="BR433" s="64"/>
      <c r="BS433" s="64"/>
      <c r="BT433" s="65"/>
    </row>
    <row r="434" spans="1:72" ht="18" hidden="1" customHeight="1" x14ac:dyDescent="0.3">
      <c r="A434" s="81" t="s">
        <v>915</v>
      </c>
      <c r="B434" s="76" t="s">
        <v>459</v>
      </c>
      <c r="C434" s="16" t="s">
        <v>1502</v>
      </c>
      <c r="D434" s="16" t="s">
        <v>1484</v>
      </c>
      <c r="E434" s="50">
        <v>50</v>
      </c>
      <c r="F434" s="50">
        <v>0</v>
      </c>
      <c r="G434" s="16">
        <v>1</v>
      </c>
      <c r="H434" s="16" t="s">
        <v>1023</v>
      </c>
      <c r="I434" s="16" t="s">
        <v>1016</v>
      </c>
      <c r="J434" s="16" t="s">
        <v>2382</v>
      </c>
      <c r="K434" s="16">
        <v>50</v>
      </c>
      <c r="L434" s="16">
        <v>50</v>
      </c>
      <c r="M434" s="64"/>
      <c r="N434" s="64"/>
      <c r="O434" s="63" t="str">
        <f t="shared" si="64"/>
        <v>YES</v>
      </c>
      <c r="P434" s="52"/>
      <c r="Q434" s="53">
        <f t="shared" si="57"/>
        <v>5000</v>
      </c>
      <c r="R434" s="54">
        <f t="shared" si="58"/>
        <v>2500</v>
      </c>
      <c r="S434" s="55" t="str">
        <f t="shared" si="59"/>
        <v xml:space="preserve"> </v>
      </c>
      <c r="T434" s="56"/>
      <c r="U434" s="57" t="str">
        <f t="shared" si="60"/>
        <v>100µg/100cm²</v>
      </c>
      <c r="V434" s="58">
        <f t="shared" si="61"/>
        <v>2500</v>
      </c>
      <c r="W434" s="58" t="str">
        <f t="shared" si="62"/>
        <v xml:space="preserve"> </v>
      </c>
      <c r="X434" s="59" t="str">
        <f t="shared" si="63"/>
        <v/>
      </c>
      <c r="Y434" s="60"/>
      <c r="Z434" s="64"/>
      <c r="AA434" s="64"/>
      <c r="AB434" s="64"/>
      <c r="AC434" s="64"/>
      <c r="AD434" s="64"/>
      <c r="AE434" s="64"/>
      <c r="AF434" s="16" t="s">
        <v>675</v>
      </c>
      <c r="AG434" s="16" t="s">
        <v>675</v>
      </c>
      <c r="AH434" s="64"/>
      <c r="AI434" s="64"/>
      <c r="AJ434" s="64"/>
      <c r="AK434" s="64"/>
      <c r="AL434" s="64"/>
      <c r="AM434" s="16" t="s">
        <v>675</v>
      </c>
      <c r="AN434" s="16" t="s">
        <v>675</v>
      </c>
      <c r="AO434" s="16" t="s">
        <v>675</v>
      </c>
      <c r="AP434" s="16" t="s">
        <v>675</v>
      </c>
      <c r="AQ434" s="64"/>
      <c r="AR434" s="64"/>
      <c r="AS434" s="64"/>
      <c r="AT434" s="64"/>
      <c r="AU434" s="82"/>
      <c r="AV434" s="82"/>
      <c r="AW434" s="82"/>
      <c r="AX434" s="16" t="s">
        <v>675</v>
      </c>
      <c r="AY434" s="64"/>
      <c r="AZ434" s="64"/>
      <c r="BA434" s="64"/>
      <c r="BB434" s="64"/>
      <c r="BC434" s="16" t="s">
        <v>675</v>
      </c>
      <c r="BD434" s="64"/>
      <c r="BE434" s="64"/>
      <c r="BF434" s="64"/>
      <c r="BG434" s="64"/>
      <c r="BH434" s="64"/>
      <c r="BI434" s="64"/>
      <c r="BJ434" s="64"/>
      <c r="BK434" s="64"/>
      <c r="BL434" s="64"/>
      <c r="BM434" s="64"/>
      <c r="BN434" s="64"/>
      <c r="BO434" s="64"/>
      <c r="BP434" s="64"/>
      <c r="BQ434" s="64"/>
      <c r="BR434" s="64"/>
      <c r="BS434" s="64"/>
      <c r="BT434" s="65"/>
    </row>
    <row r="435" spans="1:72" ht="18" hidden="1" customHeight="1" x14ac:dyDescent="0.3">
      <c r="A435" s="81" t="s">
        <v>916</v>
      </c>
      <c r="B435" s="76" t="s">
        <v>459</v>
      </c>
      <c r="C435" s="16" t="s">
        <v>1502</v>
      </c>
      <c r="D435" s="16" t="s">
        <v>1484</v>
      </c>
      <c r="E435" s="50">
        <v>50</v>
      </c>
      <c r="F435" s="50">
        <v>0</v>
      </c>
      <c r="G435" s="16">
        <v>1</v>
      </c>
      <c r="H435" s="16" t="s">
        <v>1023</v>
      </c>
      <c r="I435" s="16" t="s">
        <v>1016</v>
      </c>
      <c r="J435" s="16" t="s">
        <v>2382</v>
      </c>
      <c r="K435" s="16">
        <v>50</v>
      </c>
      <c r="L435" s="16">
        <v>50</v>
      </c>
      <c r="M435" s="64"/>
      <c r="N435" s="64"/>
      <c r="O435" s="63" t="str">
        <f t="shared" si="64"/>
        <v>YES</v>
      </c>
      <c r="P435" s="52"/>
      <c r="Q435" s="53">
        <f t="shared" si="57"/>
        <v>5000</v>
      </c>
      <c r="R435" s="54">
        <f t="shared" si="58"/>
        <v>2500</v>
      </c>
      <c r="S435" s="55" t="str">
        <f t="shared" si="59"/>
        <v xml:space="preserve"> </v>
      </c>
      <c r="T435" s="56"/>
      <c r="U435" s="57" t="str">
        <f t="shared" si="60"/>
        <v>100µg/100cm²</v>
      </c>
      <c r="V435" s="58">
        <f t="shared" si="61"/>
        <v>2500</v>
      </c>
      <c r="W435" s="58" t="str">
        <f t="shared" si="62"/>
        <v xml:space="preserve"> </v>
      </c>
      <c r="X435" s="59" t="str">
        <f t="shared" si="63"/>
        <v/>
      </c>
      <c r="Y435" s="60"/>
      <c r="Z435" s="64"/>
      <c r="AA435" s="16" t="s">
        <v>675</v>
      </c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16" t="s">
        <v>675</v>
      </c>
      <c r="AN435" s="64"/>
      <c r="AO435" s="64"/>
      <c r="AP435" s="64"/>
      <c r="AQ435" s="64"/>
      <c r="AR435" s="64"/>
      <c r="AS435" s="64"/>
      <c r="AT435" s="64"/>
      <c r="AU435" s="82"/>
      <c r="AV435" s="82"/>
      <c r="AW435" s="82"/>
      <c r="AX435" s="16" t="s">
        <v>675</v>
      </c>
      <c r="AY435" s="64"/>
      <c r="AZ435" s="64"/>
      <c r="BA435" s="64"/>
      <c r="BB435" s="64"/>
      <c r="BC435" s="64"/>
      <c r="BD435" s="16" t="s">
        <v>675</v>
      </c>
      <c r="BE435" s="64"/>
      <c r="BF435" s="64"/>
      <c r="BG435" s="64"/>
      <c r="BH435" s="64"/>
      <c r="BI435" s="64"/>
      <c r="BJ435" s="64"/>
      <c r="BK435" s="64"/>
      <c r="BL435" s="64"/>
      <c r="BM435" s="64"/>
      <c r="BN435" s="64"/>
      <c r="BO435" s="64"/>
      <c r="BP435" s="64"/>
      <c r="BQ435" s="64"/>
      <c r="BR435" s="64"/>
      <c r="BS435" s="64"/>
      <c r="BT435" s="65"/>
    </row>
    <row r="436" spans="1:72" ht="18" hidden="1" customHeight="1" x14ac:dyDescent="0.3">
      <c r="A436" s="84" t="s">
        <v>1579</v>
      </c>
      <c r="B436" s="120" t="s">
        <v>229</v>
      </c>
      <c r="C436" s="70" t="s">
        <v>1453</v>
      </c>
      <c r="D436" s="49" t="s">
        <v>1104</v>
      </c>
      <c r="E436" s="50">
        <v>65.42</v>
      </c>
      <c r="F436" s="50">
        <v>0</v>
      </c>
      <c r="G436" s="61">
        <v>7</v>
      </c>
      <c r="H436" s="16" t="s">
        <v>1105</v>
      </c>
      <c r="I436" s="48" t="s">
        <v>1016</v>
      </c>
      <c r="J436" s="16" t="s">
        <v>1454</v>
      </c>
      <c r="K436" s="49">
        <v>0.3</v>
      </c>
      <c r="L436" s="49">
        <v>2.7</v>
      </c>
      <c r="M436" s="62" t="s">
        <v>1014</v>
      </c>
      <c r="N436" s="49" t="s">
        <v>2358</v>
      </c>
      <c r="O436" s="63" t="str">
        <f t="shared" si="64"/>
        <v>NO</v>
      </c>
      <c r="P436" s="52"/>
      <c r="Q436" s="53">
        <f t="shared" si="57"/>
        <v>0.3</v>
      </c>
      <c r="R436" s="54">
        <f t="shared" si="58"/>
        <v>0.1</v>
      </c>
      <c r="S436" s="55" t="str">
        <f t="shared" si="59"/>
        <v xml:space="preserve"> </v>
      </c>
      <c r="T436" s="56"/>
      <c r="U436" s="57" t="str">
        <f t="shared" si="60"/>
        <v>Mitigation</v>
      </c>
      <c r="V436" s="58">
        <f t="shared" si="61"/>
        <v>0.1</v>
      </c>
      <c r="W436" s="58" t="str">
        <f t="shared" si="62"/>
        <v xml:space="preserve"> </v>
      </c>
      <c r="X436" s="59" t="str">
        <f t="shared" si="63"/>
        <v/>
      </c>
      <c r="Y436" s="60"/>
      <c r="Z436" s="64"/>
      <c r="AA436" s="64"/>
      <c r="AB436" s="64"/>
      <c r="AC436" s="64"/>
      <c r="AD436" s="64"/>
      <c r="AE436" s="16" t="s">
        <v>675</v>
      </c>
      <c r="AF436" s="16" t="s">
        <v>675</v>
      </c>
      <c r="AG436" s="64"/>
      <c r="AH436" s="64"/>
      <c r="AI436" s="64"/>
      <c r="AJ436" s="64"/>
      <c r="AK436" s="64"/>
      <c r="AL436" s="64"/>
      <c r="AM436" s="16" t="s">
        <v>675</v>
      </c>
      <c r="AN436" s="64"/>
      <c r="AO436" s="64"/>
      <c r="AP436" s="64"/>
      <c r="AQ436" s="64"/>
      <c r="AR436" s="16" t="s">
        <v>675</v>
      </c>
      <c r="AS436" s="64"/>
      <c r="AT436" s="64"/>
      <c r="AU436" s="64"/>
      <c r="AV436" s="16" t="s">
        <v>675</v>
      </c>
      <c r="AW436" s="16" t="s">
        <v>675</v>
      </c>
      <c r="AX436" s="16" t="s">
        <v>675</v>
      </c>
      <c r="AY436" s="64"/>
      <c r="AZ436" s="64"/>
      <c r="BA436" s="64"/>
      <c r="BB436" s="64"/>
      <c r="BC436" s="64"/>
      <c r="BD436" s="64"/>
      <c r="BE436" s="64"/>
      <c r="BF436" s="64"/>
      <c r="BG436" s="64"/>
      <c r="BH436" s="64"/>
      <c r="BI436" s="64"/>
      <c r="BJ436" s="64"/>
      <c r="BK436" s="64"/>
      <c r="BL436" s="64"/>
      <c r="BM436" s="64"/>
      <c r="BN436" s="64"/>
      <c r="BO436" s="64"/>
      <c r="BP436" s="64"/>
      <c r="BQ436" s="64"/>
      <c r="BR436" s="64"/>
      <c r="BS436" s="64"/>
      <c r="BT436" s="65"/>
    </row>
    <row r="437" spans="1:72" ht="18" hidden="1" customHeight="1" x14ac:dyDescent="0.3">
      <c r="A437" s="81" t="s">
        <v>917</v>
      </c>
      <c r="B437" s="76" t="s">
        <v>459</v>
      </c>
      <c r="C437" s="16" t="s">
        <v>1499</v>
      </c>
      <c r="D437" s="16" t="s">
        <v>1492</v>
      </c>
      <c r="E437" s="50">
        <v>50</v>
      </c>
      <c r="F437" s="50">
        <v>0</v>
      </c>
      <c r="G437" s="16">
        <v>1</v>
      </c>
      <c r="H437" s="16" t="s">
        <v>1023</v>
      </c>
      <c r="I437" s="16" t="s">
        <v>1016</v>
      </c>
      <c r="J437" s="16" t="s">
        <v>2382</v>
      </c>
      <c r="K437" s="16">
        <v>50</v>
      </c>
      <c r="L437" s="16">
        <v>50</v>
      </c>
      <c r="M437" s="64"/>
      <c r="N437" s="64"/>
      <c r="O437" s="63" t="str">
        <f t="shared" si="64"/>
        <v>YES</v>
      </c>
      <c r="P437" s="52"/>
      <c r="Q437" s="53">
        <f t="shared" si="57"/>
        <v>5000</v>
      </c>
      <c r="R437" s="54">
        <f t="shared" si="58"/>
        <v>2500</v>
      </c>
      <c r="S437" s="55" t="str">
        <f t="shared" si="59"/>
        <v xml:space="preserve"> </v>
      </c>
      <c r="T437" s="56"/>
      <c r="U437" s="57" t="str">
        <f t="shared" si="60"/>
        <v>100µg/100cm²</v>
      </c>
      <c r="V437" s="58">
        <f t="shared" si="61"/>
        <v>2500</v>
      </c>
      <c r="W437" s="58" t="str">
        <f t="shared" si="62"/>
        <v xml:space="preserve"> </v>
      </c>
      <c r="X437" s="59" t="str">
        <f t="shared" si="63"/>
        <v/>
      </c>
      <c r="Y437" s="60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16" t="s">
        <v>675</v>
      </c>
      <c r="AL437" s="16" t="s">
        <v>675</v>
      </c>
      <c r="AM437" s="16" t="s">
        <v>675</v>
      </c>
      <c r="AN437" s="64"/>
      <c r="AO437" s="64"/>
      <c r="AP437" s="64"/>
      <c r="AQ437" s="64"/>
      <c r="AR437" s="64"/>
      <c r="AS437" s="64"/>
      <c r="AT437" s="64"/>
      <c r="AU437" s="82"/>
      <c r="AV437" s="82"/>
      <c r="AW437" s="82"/>
      <c r="AX437" s="64"/>
      <c r="AY437" s="64"/>
      <c r="AZ437" s="64"/>
      <c r="BA437" s="64"/>
      <c r="BB437" s="64"/>
      <c r="BC437" s="64"/>
      <c r="BD437" s="16" t="s">
        <v>675</v>
      </c>
      <c r="BE437" s="64"/>
      <c r="BF437" s="64"/>
      <c r="BG437" s="64"/>
      <c r="BH437" s="64"/>
      <c r="BI437" s="64"/>
      <c r="BJ437" s="64"/>
      <c r="BK437" s="64"/>
      <c r="BL437" s="64"/>
      <c r="BM437" s="64"/>
      <c r="BN437" s="64"/>
      <c r="BO437" s="64"/>
      <c r="BP437" s="64"/>
      <c r="BQ437" s="64"/>
      <c r="BR437" s="64"/>
      <c r="BS437" s="64"/>
      <c r="BT437" s="65"/>
    </row>
    <row r="438" spans="1:72" ht="18" hidden="1" customHeight="1" x14ac:dyDescent="0.3">
      <c r="A438" s="81" t="s">
        <v>918</v>
      </c>
      <c r="B438" s="76" t="s">
        <v>459</v>
      </c>
      <c r="C438" s="16" t="s">
        <v>1977</v>
      </c>
      <c r="D438" s="16" t="s">
        <v>1493</v>
      </c>
      <c r="E438" s="50">
        <v>33.6</v>
      </c>
      <c r="F438" s="50">
        <v>0</v>
      </c>
      <c r="G438" s="16">
        <v>5</v>
      </c>
      <c r="H438" s="16">
        <v>10</v>
      </c>
      <c r="I438" s="16" t="s">
        <v>1016</v>
      </c>
      <c r="J438" s="17" t="s">
        <v>1988</v>
      </c>
      <c r="K438" s="16">
        <v>10</v>
      </c>
      <c r="L438" s="16" t="s">
        <v>1987</v>
      </c>
      <c r="M438" s="64"/>
      <c r="N438" s="16" t="s">
        <v>2321</v>
      </c>
      <c r="O438" s="63" t="str">
        <f t="shared" si="64"/>
        <v>NO</v>
      </c>
      <c r="P438" s="52"/>
      <c r="Q438" s="53">
        <f t="shared" si="57"/>
        <v>10</v>
      </c>
      <c r="R438" s="54">
        <f t="shared" si="58"/>
        <v>3.3</v>
      </c>
      <c r="S438" s="55" t="str">
        <f t="shared" si="59"/>
        <v xml:space="preserve"> </v>
      </c>
      <c r="T438" s="56"/>
      <c r="U438" s="57" t="str">
        <f t="shared" si="60"/>
        <v>Mitigation</v>
      </c>
      <c r="V438" s="58">
        <f t="shared" si="61"/>
        <v>3.3</v>
      </c>
      <c r="W438" s="58" t="str">
        <f t="shared" si="62"/>
        <v xml:space="preserve"> </v>
      </c>
      <c r="X438" s="59" t="str">
        <f t="shared" si="63"/>
        <v/>
      </c>
      <c r="Y438" s="60"/>
      <c r="Z438" s="64"/>
      <c r="AA438" s="64"/>
      <c r="AB438" s="64"/>
      <c r="AC438" s="64"/>
      <c r="AD438" s="64"/>
      <c r="AE438" s="16" t="s">
        <v>675</v>
      </c>
      <c r="AF438" s="16" t="s">
        <v>675</v>
      </c>
      <c r="AG438" s="64"/>
      <c r="AH438" s="64"/>
      <c r="AI438" s="64"/>
      <c r="AJ438" s="64"/>
      <c r="AK438" s="64"/>
      <c r="AL438" s="64"/>
      <c r="AM438" s="16" t="s">
        <v>675</v>
      </c>
      <c r="AN438" s="64"/>
      <c r="AO438" s="64"/>
      <c r="AP438" s="64"/>
      <c r="AQ438" s="64"/>
      <c r="AR438" s="64"/>
      <c r="AS438" s="64"/>
      <c r="AT438" s="64"/>
      <c r="AU438" s="82"/>
      <c r="AV438" s="82"/>
      <c r="AW438" s="82"/>
      <c r="AX438" s="64"/>
      <c r="AY438" s="64"/>
      <c r="AZ438" s="64"/>
      <c r="BA438" s="64"/>
      <c r="BB438" s="64"/>
      <c r="BC438" s="64"/>
      <c r="BD438" s="64"/>
      <c r="BE438" s="64"/>
      <c r="BF438" s="64"/>
      <c r="BG438" s="64"/>
      <c r="BH438" s="64"/>
      <c r="BI438" s="64"/>
      <c r="BJ438" s="64"/>
      <c r="BK438" s="64"/>
      <c r="BL438" s="64"/>
      <c r="BM438" s="64"/>
      <c r="BN438" s="64"/>
      <c r="BO438" s="64"/>
      <c r="BP438" s="64"/>
      <c r="BQ438" s="64"/>
      <c r="BR438" s="64"/>
      <c r="BS438" s="64"/>
      <c r="BT438" s="65"/>
    </row>
    <row r="439" spans="1:72" ht="18" hidden="1" customHeight="1" x14ac:dyDescent="0.3">
      <c r="A439" s="90" t="s">
        <v>125</v>
      </c>
      <c r="B439" s="48" t="s">
        <v>126</v>
      </c>
      <c r="C439" s="16" t="s">
        <v>2170</v>
      </c>
      <c r="D439" s="49" t="s">
        <v>1104</v>
      </c>
      <c r="E439" s="50">
        <v>73.599999999999994</v>
      </c>
      <c r="F439" s="50">
        <v>0</v>
      </c>
      <c r="G439" s="61">
        <v>7</v>
      </c>
      <c r="H439" s="16" t="s">
        <v>1105</v>
      </c>
      <c r="I439" s="48" t="s">
        <v>1016</v>
      </c>
      <c r="J439" s="16" t="s">
        <v>2386</v>
      </c>
      <c r="K439" s="49">
        <v>50</v>
      </c>
      <c r="L439" s="49">
        <v>50</v>
      </c>
      <c r="M439" s="64"/>
      <c r="N439" s="64"/>
      <c r="O439" s="63" t="str">
        <f t="shared" si="64"/>
        <v>YES</v>
      </c>
      <c r="P439" s="52"/>
      <c r="Q439" s="53">
        <f t="shared" si="57"/>
        <v>5000</v>
      </c>
      <c r="R439" s="54">
        <f t="shared" si="58"/>
        <v>3680</v>
      </c>
      <c r="S439" s="55" t="str">
        <f t="shared" si="59"/>
        <v xml:space="preserve"> </v>
      </c>
      <c r="T439" s="56"/>
      <c r="U439" s="57" t="str">
        <f t="shared" si="60"/>
        <v>100µg/100cm²</v>
      </c>
      <c r="V439" s="58">
        <f t="shared" si="61"/>
        <v>3680</v>
      </c>
      <c r="W439" s="58" t="str">
        <f t="shared" si="62"/>
        <v xml:space="preserve"> </v>
      </c>
      <c r="X439" s="59" t="str">
        <f t="shared" si="63"/>
        <v/>
      </c>
      <c r="Y439" s="60"/>
      <c r="Z439" s="64"/>
      <c r="AA439" s="64"/>
      <c r="AB439" s="64"/>
      <c r="AC439" s="16" t="s">
        <v>675</v>
      </c>
      <c r="AD439" s="16" t="s">
        <v>675</v>
      </c>
      <c r="AE439" s="64"/>
      <c r="AF439" s="64"/>
      <c r="AG439" s="64"/>
      <c r="AH439" s="64"/>
      <c r="AI439" s="64"/>
      <c r="AJ439" s="64"/>
      <c r="AK439" s="64"/>
      <c r="AL439" s="64"/>
      <c r="AM439" s="16" t="s">
        <v>675</v>
      </c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  <c r="BQ439" s="64"/>
      <c r="BR439" s="64"/>
      <c r="BS439" s="64"/>
      <c r="BT439" s="65"/>
    </row>
    <row r="440" spans="1:72" ht="18" hidden="1" customHeight="1" x14ac:dyDescent="0.3">
      <c r="A440" s="89" t="s">
        <v>795</v>
      </c>
      <c r="B440" s="48" t="s">
        <v>796</v>
      </c>
      <c r="C440" s="16" t="s">
        <v>2171</v>
      </c>
      <c r="D440" s="16" t="s">
        <v>1268</v>
      </c>
      <c r="E440" s="50">
        <v>72.17</v>
      </c>
      <c r="F440" s="50">
        <v>0</v>
      </c>
      <c r="G440" s="16">
        <v>7</v>
      </c>
      <c r="H440" s="16" t="s">
        <v>1192</v>
      </c>
      <c r="I440" s="48" t="s">
        <v>1196</v>
      </c>
      <c r="J440" s="16" t="s">
        <v>2391</v>
      </c>
      <c r="K440" s="16">
        <v>40</v>
      </c>
      <c r="L440" s="16">
        <v>40</v>
      </c>
      <c r="M440" s="64"/>
      <c r="N440" s="16" t="s">
        <v>2392</v>
      </c>
      <c r="O440" s="63" t="str">
        <f t="shared" si="64"/>
        <v>NO</v>
      </c>
      <c r="P440" s="52"/>
      <c r="Q440" s="53">
        <f t="shared" si="57"/>
        <v>40</v>
      </c>
      <c r="R440" s="54">
        <f t="shared" si="58"/>
        <v>28.8</v>
      </c>
      <c r="S440" s="55" t="str">
        <f t="shared" si="59"/>
        <v xml:space="preserve"> </v>
      </c>
      <c r="T440" s="56"/>
      <c r="U440" s="57" t="str">
        <f t="shared" si="60"/>
        <v>100µg/100cm²</v>
      </c>
      <c r="V440" s="58">
        <f t="shared" si="61"/>
        <v>28.8</v>
      </c>
      <c r="W440" s="57" t="str">
        <f t="shared" si="62"/>
        <v xml:space="preserve"> </v>
      </c>
      <c r="X440" s="59" t="str">
        <f t="shared" si="63"/>
        <v/>
      </c>
      <c r="Y440" s="60"/>
      <c r="Z440" s="16" t="s">
        <v>1987</v>
      </c>
      <c r="AA440" s="16" t="s">
        <v>1987</v>
      </c>
      <c r="AB440" s="16" t="s">
        <v>1987</v>
      </c>
      <c r="AC440" s="16" t="s">
        <v>1987</v>
      </c>
      <c r="AD440" s="16" t="s">
        <v>1987</v>
      </c>
      <c r="AE440" s="16" t="s">
        <v>1987</v>
      </c>
      <c r="AF440" s="16" t="s">
        <v>1987</v>
      </c>
      <c r="AG440" s="16" t="s">
        <v>1987</v>
      </c>
      <c r="AH440" s="16" t="s">
        <v>1987</v>
      </c>
      <c r="AI440" s="16" t="s">
        <v>1987</v>
      </c>
      <c r="AJ440" s="16" t="s">
        <v>1987</v>
      </c>
      <c r="AK440" s="16" t="s">
        <v>1987</v>
      </c>
      <c r="AL440" s="16" t="s">
        <v>1987</v>
      </c>
      <c r="AM440" s="16" t="s">
        <v>1987</v>
      </c>
      <c r="AN440" s="16" t="s">
        <v>1987</v>
      </c>
      <c r="AO440" s="16" t="s">
        <v>1987</v>
      </c>
      <c r="AP440" s="16" t="s">
        <v>1987</v>
      </c>
      <c r="AQ440" s="16" t="s">
        <v>1987</v>
      </c>
      <c r="AR440" s="16" t="s">
        <v>1987</v>
      </c>
      <c r="AS440" s="16" t="s">
        <v>1987</v>
      </c>
      <c r="AT440" s="16" t="s">
        <v>1987</v>
      </c>
      <c r="AU440" s="16" t="s">
        <v>1987</v>
      </c>
      <c r="AV440" s="16" t="s">
        <v>1987</v>
      </c>
      <c r="AW440" s="16" t="s">
        <v>1987</v>
      </c>
      <c r="AX440" s="16" t="s">
        <v>1987</v>
      </c>
      <c r="AY440" s="16" t="s">
        <v>1987</v>
      </c>
      <c r="AZ440" s="16" t="s">
        <v>1987</v>
      </c>
      <c r="BA440" s="16" t="s">
        <v>1987</v>
      </c>
      <c r="BB440" s="16" t="s">
        <v>1987</v>
      </c>
      <c r="BC440" s="16" t="s">
        <v>1987</v>
      </c>
      <c r="BD440" s="16" t="s">
        <v>1987</v>
      </c>
      <c r="BE440" s="16" t="s">
        <v>1987</v>
      </c>
      <c r="BF440" s="16" t="s">
        <v>1987</v>
      </c>
      <c r="BG440" s="16" t="s">
        <v>1987</v>
      </c>
      <c r="BH440" s="16" t="s">
        <v>1987</v>
      </c>
      <c r="BI440" s="16" t="s">
        <v>1987</v>
      </c>
      <c r="BJ440" s="16" t="s">
        <v>1987</v>
      </c>
      <c r="BK440" s="16" t="s">
        <v>1987</v>
      </c>
      <c r="BL440" s="16" t="s">
        <v>1987</v>
      </c>
      <c r="BM440" s="16" t="s">
        <v>1987</v>
      </c>
      <c r="BN440" s="16" t="s">
        <v>1987</v>
      </c>
      <c r="BO440" s="16" t="s">
        <v>1987</v>
      </c>
      <c r="BP440" s="16" t="s">
        <v>1987</v>
      </c>
      <c r="BQ440" s="16" t="s">
        <v>1987</v>
      </c>
      <c r="BR440" s="16" t="s">
        <v>1987</v>
      </c>
      <c r="BS440" s="16" t="s">
        <v>1987</v>
      </c>
      <c r="BT440" s="16" t="s">
        <v>1987</v>
      </c>
    </row>
    <row r="441" spans="1:72" ht="18" hidden="1" customHeight="1" x14ac:dyDescent="0.3">
      <c r="A441" s="66" t="s">
        <v>1737</v>
      </c>
      <c r="B441" s="49" t="s">
        <v>1738</v>
      </c>
      <c r="C441" s="67" t="s">
        <v>2172</v>
      </c>
      <c r="D441" s="16" t="s">
        <v>1114</v>
      </c>
      <c r="E441" s="50">
        <v>30.8</v>
      </c>
      <c r="F441" s="50">
        <v>0</v>
      </c>
      <c r="G441" s="16">
        <v>1</v>
      </c>
      <c r="H441" s="68" t="s">
        <v>1420</v>
      </c>
      <c r="I441" s="70" t="s">
        <v>1474</v>
      </c>
      <c r="J441" s="16" t="s">
        <v>2386</v>
      </c>
      <c r="K441" s="49">
        <v>50</v>
      </c>
      <c r="L441" s="49">
        <v>50</v>
      </c>
      <c r="M441" s="64"/>
      <c r="N441" s="64"/>
      <c r="O441" s="63" t="str">
        <f t="shared" si="64"/>
        <v>YES</v>
      </c>
      <c r="P441" s="52"/>
      <c r="Q441" s="53">
        <f t="shared" si="57"/>
        <v>5000</v>
      </c>
      <c r="R441" s="54">
        <f t="shared" si="58"/>
        <v>1540</v>
      </c>
      <c r="S441" s="55" t="str">
        <f t="shared" si="59"/>
        <v xml:space="preserve"> </v>
      </c>
      <c r="T441" s="56"/>
      <c r="U441" s="57" t="str">
        <f t="shared" si="60"/>
        <v>100µg/100cm²</v>
      </c>
      <c r="V441" s="58">
        <f t="shared" si="61"/>
        <v>1540</v>
      </c>
      <c r="W441" s="58" t="str">
        <f t="shared" si="62"/>
        <v xml:space="preserve"> </v>
      </c>
      <c r="X441" s="59" t="str">
        <f t="shared" si="63"/>
        <v/>
      </c>
      <c r="Y441" s="60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  <c r="BH441" s="16" t="s">
        <v>675</v>
      </c>
      <c r="BI441" s="64"/>
      <c r="BJ441" s="64"/>
      <c r="BK441" s="64"/>
      <c r="BL441" s="64"/>
      <c r="BM441" s="64"/>
      <c r="BN441" s="64"/>
      <c r="BO441" s="64"/>
      <c r="BP441" s="64"/>
      <c r="BQ441" s="64"/>
      <c r="BR441" s="64"/>
      <c r="BS441" s="16" t="s">
        <v>675</v>
      </c>
      <c r="BT441" s="65"/>
    </row>
    <row r="442" spans="1:72" ht="18" hidden="1" customHeight="1" x14ac:dyDescent="0.3">
      <c r="A442" s="80" t="s">
        <v>1749</v>
      </c>
      <c r="B442" s="69" t="s">
        <v>1750</v>
      </c>
      <c r="C442" s="79" t="s">
        <v>1751</v>
      </c>
      <c r="D442" s="16" t="s">
        <v>1805</v>
      </c>
      <c r="E442" s="50">
        <v>45.3</v>
      </c>
      <c r="F442" s="50">
        <v>0</v>
      </c>
      <c r="G442" s="16">
        <v>5</v>
      </c>
      <c r="H442" s="16">
        <v>38</v>
      </c>
      <c r="I442" s="48" t="s">
        <v>1474</v>
      </c>
      <c r="J442" s="16" t="s">
        <v>2022</v>
      </c>
      <c r="K442" s="16" t="s">
        <v>2027</v>
      </c>
      <c r="L442" s="16" t="s">
        <v>2027</v>
      </c>
      <c r="M442" s="64"/>
      <c r="N442" s="64"/>
      <c r="O442" s="16" t="s">
        <v>2027</v>
      </c>
      <c r="P442" s="73"/>
      <c r="Q442" s="53" t="str">
        <f t="shared" si="57"/>
        <v>Pending</v>
      </c>
      <c r="R442" s="54" t="str">
        <f t="shared" si="58"/>
        <v>Pending</v>
      </c>
      <c r="S442" s="55" t="str">
        <f t="shared" si="59"/>
        <v>Pending</v>
      </c>
      <c r="T442" s="56"/>
      <c r="U442" s="57" t="str">
        <f t="shared" si="60"/>
        <v>Pending</v>
      </c>
      <c r="V442" s="58" t="str">
        <f t="shared" si="61"/>
        <v>Pending</v>
      </c>
      <c r="W442" s="57" t="str">
        <f t="shared" si="62"/>
        <v>Pending</v>
      </c>
      <c r="X442" s="59" t="str">
        <f t="shared" si="63"/>
        <v/>
      </c>
      <c r="Y442" s="60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16" t="s">
        <v>675</v>
      </c>
      <c r="AK442" s="64"/>
      <c r="AL442" s="64"/>
      <c r="AM442" s="16" t="s">
        <v>675</v>
      </c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/>
      <c r="BD442" s="64"/>
      <c r="BE442" s="64"/>
      <c r="BF442" s="64"/>
      <c r="BG442" s="64"/>
      <c r="BH442" s="64"/>
      <c r="BI442" s="64"/>
      <c r="BJ442" s="64"/>
      <c r="BK442" s="64"/>
      <c r="BL442" s="64"/>
      <c r="BM442" s="64"/>
      <c r="BN442" s="64"/>
      <c r="BO442" s="64"/>
      <c r="BP442" s="64"/>
      <c r="BQ442" s="64"/>
      <c r="BR442" s="64"/>
      <c r="BS442" s="64"/>
      <c r="BT442" s="65"/>
    </row>
    <row r="443" spans="1:72" ht="15.75" hidden="1" x14ac:dyDescent="0.3">
      <c r="A443" s="90" t="s">
        <v>815</v>
      </c>
      <c r="B443" s="48" t="s">
        <v>816</v>
      </c>
      <c r="C443" s="16" t="s">
        <v>1624</v>
      </c>
      <c r="D443" s="16" t="s">
        <v>1174</v>
      </c>
      <c r="E443" s="50">
        <v>62</v>
      </c>
      <c r="F443" s="50">
        <v>0</v>
      </c>
      <c r="G443" s="16">
        <v>7</v>
      </c>
      <c r="H443" s="16" t="s">
        <v>1428</v>
      </c>
      <c r="I443" s="16" t="s">
        <v>1016</v>
      </c>
      <c r="J443" s="16" t="s">
        <v>2288</v>
      </c>
      <c r="K443" s="49">
        <v>1.5</v>
      </c>
      <c r="L443" s="49">
        <v>1.5</v>
      </c>
      <c r="M443" s="49" t="s">
        <v>1036</v>
      </c>
      <c r="N443" s="64"/>
      <c r="O443" s="49" t="str">
        <f t="shared" ref="O443:O481" si="65">IF(AND(ISBLANK(K443),ISBLANK(N443))," ",IF(ISBLANK(N443),"YES","NO"))</f>
        <v>YES</v>
      </c>
      <c r="P443" s="52"/>
      <c r="Q443" s="53">
        <f t="shared" si="57"/>
        <v>273.7</v>
      </c>
      <c r="R443" s="54">
        <f t="shared" si="58"/>
        <v>169.6</v>
      </c>
      <c r="S443" s="55" t="str">
        <f t="shared" si="59"/>
        <v xml:space="preserve"> </v>
      </c>
      <c r="T443" s="56"/>
      <c r="U443" s="57" t="str">
        <f t="shared" si="60"/>
        <v>100µg/100cm²</v>
      </c>
      <c r="V443" s="58">
        <f t="shared" si="61"/>
        <v>169.6</v>
      </c>
      <c r="W443" s="58" t="str">
        <f t="shared" si="62"/>
        <v xml:space="preserve"> </v>
      </c>
      <c r="X443" s="59" t="str">
        <f t="shared" si="63"/>
        <v/>
      </c>
      <c r="Y443" s="60"/>
      <c r="Z443" s="64"/>
      <c r="AA443" s="64"/>
      <c r="AB443" s="64"/>
      <c r="AC443" s="64"/>
      <c r="AD443" s="64"/>
      <c r="AE443" s="64"/>
      <c r="AF443" s="64"/>
      <c r="AG443" s="64"/>
      <c r="AH443" s="16" t="s">
        <v>675</v>
      </c>
      <c r="AI443" s="64"/>
      <c r="AJ443" s="64"/>
      <c r="AK443" s="64"/>
      <c r="AL443" s="64"/>
      <c r="AM443" s="16" t="s">
        <v>675</v>
      </c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/>
      <c r="BR443" s="64"/>
      <c r="BS443" s="64"/>
      <c r="BT443" s="65"/>
    </row>
    <row r="444" spans="1:72" ht="18" hidden="1" customHeight="1" x14ac:dyDescent="0.3">
      <c r="A444" s="81" t="s">
        <v>919</v>
      </c>
      <c r="B444" s="76" t="s">
        <v>459</v>
      </c>
      <c r="C444" s="16" t="s">
        <v>1501</v>
      </c>
      <c r="D444" s="16" t="s">
        <v>1490</v>
      </c>
      <c r="E444" s="50">
        <v>50</v>
      </c>
      <c r="F444" s="50">
        <v>0</v>
      </c>
      <c r="G444" s="16">
        <v>1</v>
      </c>
      <c r="H444" s="16" t="s">
        <v>1023</v>
      </c>
      <c r="I444" s="16" t="s">
        <v>1016</v>
      </c>
      <c r="J444" s="16" t="s">
        <v>2382</v>
      </c>
      <c r="K444" s="16">
        <v>50</v>
      </c>
      <c r="L444" s="16">
        <v>50</v>
      </c>
      <c r="M444" s="64"/>
      <c r="N444" s="64"/>
      <c r="O444" s="49" t="str">
        <f t="shared" si="65"/>
        <v>YES</v>
      </c>
      <c r="P444" s="52"/>
      <c r="Q444" s="53">
        <f t="shared" si="57"/>
        <v>5000</v>
      </c>
      <c r="R444" s="54">
        <f t="shared" si="58"/>
        <v>2500</v>
      </c>
      <c r="S444" s="55" t="str">
        <f t="shared" si="59"/>
        <v xml:space="preserve"> </v>
      </c>
      <c r="T444" s="56"/>
      <c r="U444" s="57" t="str">
        <f t="shared" si="60"/>
        <v>100µg/100cm²</v>
      </c>
      <c r="V444" s="58">
        <f t="shared" si="61"/>
        <v>2500</v>
      </c>
      <c r="W444" s="58" t="str">
        <f t="shared" si="62"/>
        <v xml:space="preserve"> </v>
      </c>
      <c r="X444" s="59" t="str">
        <f t="shared" si="63"/>
        <v/>
      </c>
      <c r="Y444" s="60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83" t="s">
        <v>675</v>
      </c>
      <c r="AV444" s="83" t="s">
        <v>675</v>
      </c>
      <c r="AW444" s="16" t="s">
        <v>675</v>
      </c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  <c r="BH444" s="64"/>
      <c r="BI444" s="64"/>
      <c r="BJ444" s="64"/>
      <c r="BK444" s="64"/>
      <c r="BL444" s="64"/>
      <c r="BM444" s="64"/>
      <c r="BN444" s="64"/>
      <c r="BO444" s="64"/>
      <c r="BP444" s="64"/>
      <c r="BQ444" s="64"/>
      <c r="BR444" s="64"/>
      <c r="BS444" s="64"/>
      <c r="BT444" s="65"/>
    </row>
    <row r="445" spans="1:72" ht="18" hidden="1" customHeight="1" x14ac:dyDescent="0.3">
      <c r="A445" s="81" t="s">
        <v>920</v>
      </c>
      <c r="B445" s="76" t="s">
        <v>459</v>
      </c>
      <c r="C445" s="16" t="s">
        <v>1501</v>
      </c>
      <c r="D445" s="16" t="s">
        <v>1490</v>
      </c>
      <c r="E445" s="50">
        <v>50</v>
      </c>
      <c r="F445" s="50">
        <v>0</v>
      </c>
      <c r="G445" s="16">
        <v>1</v>
      </c>
      <c r="H445" s="16" t="s">
        <v>1023</v>
      </c>
      <c r="I445" s="16" t="s">
        <v>1016</v>
      </c>
      <c r="J445" s="16" t="s">
        <v>2382</v>
      </c>
      <c r="K445" s="16">
        <v>50</v>
      </c>
      <c r="L445" s="16">
        <v>50</v>
      </c>
      <c r="M445" s="64"/>
      <c r="N445" s="64"/>
      <c r="O445" s="49" t="str">
        <f t="shared" si="65"/>
        <v>YES</v>
      </c>
      <c r="P445" s="52"/>
      <c r="Q445" s="53">
        <f t="shared" si="57"/>
        <v>5000</v>
      </c>
      <c r="R445" s="54">
        <f t="shared" si="58"/>
        <v>2500</v>
      </c>
      <c r="S445" s="55" t="str">
        <f t="shared" si="59"/>
        <v xml:space="preserve"> </v>
      </c>
      <c r="T445" s="56"/>
      <c r="U445" s="57" t="str">
        <f t="shared" si="60"/>
        <v>100µg/100cm²</v>
      </c>
      <c r="V445" s="58">
        <f t="shared" si="61"/>
        <v>2500</v>
      </c>
      <c r="W445" s="58" t="str">
        <f t="shared" si="62"/>
        <v xml:space="preserve"> </v>
      </c>
      <c r="X445" s="59" t="str">
        <f t="shared" si="63"/>
        <v/>
      </c>
      <c r="Y445" s="60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83" t="s">
        <v>675</v>
      </c>
      <c r="AV445" s="83" t="s">
        <v>675</v>
      </c>
      <c r="AW445" s="16" t="s">
        <v>675</v>
      </c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  <c r="BQ445" s="64"/>
      <c r="BR445" s="64"/>
      <c r="BS445" s="64"/>
      <c r="BT445" s="65"/>
    </row>
    <row r="446" spans="1:72" ht="18" hidden="1" customHeight="1" x14ac:dyDescent="0.3">
      <c r="A446" s="81" t="s">
        <v>921</v>
      </c>
      <c r="B446" s="76" t="s">
        <v>459</v>
      </c>
      <c r="C446" s="16" t="s">
        <v>1501</v>
      </c>
      <c r="D446" s="16" t="s">
        <v>1490</v>
      </c>
      <c r="E446" s="50">
        <v>50</v>
      </c>
      <c r="F446" s="50">
        <v>0</v>
      </c>
      <c r="G446" s="16">
        <v>1</v>
      </c>
      <c r="H446" s="16" t="s">
        <v>1023</v>
      </c>
      <c r="I446" s="16" t="s">
        <v>1016</v>
      </c>
      <c r="J446" s="16" t="s">
        <v>2382</v>
      </c>
      <c r="K446" s="16">
        <v>50</v>
      </c>
      <c r="L446" s="16">
        <v>50</v>
      </c>
      <c r="M446" s="64"/>
      <c r="N446" s="64"/>
      <c r="O446" s="49" t="str">
        <f t="shared" si="65"/>
        <v>YES</v>
      </c>
      <c r="P446" s="52"/>
      <c r="Q446" s="53">
        <f t="shared" si="57"/>
        <v>5000</v>
      </c>
      <c r="R446" s="54">
        <f t="shared" si="58"/>
        <v>2500</v>
      </c>
      <c r="S446" s="55" t="str">
        <f t="shared" si="59"/>
        <v xml:space="preserve"> </v>
      </c>
      <c r="T446" s="56"/>
      <c r="U446" s="57" t="str">
        <f t="shared" si="60"/>
        <v>100µg/100cm²</v>
      </c>
      <c r="V446" s="58">
        <f t="shared" si="61"/>
        <v>2500</v>
      </c>
      <c r="W446" s="58" t="str">
        <f t="shared" si="62"/>
        <v xml:space="preserve"> </v>
      </c>
      <c r="X446" s="59" t="str">
        <f t="shared" si="63"/>
        <v/>
      </c>
      <c r="Y446" s="60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83" t="s">
        <v>675</v>
      </c>
      <c r="AV446" s="83" t="s">
        <v>675</v>
      </c>
      <c r="AW446" s="16" t="s">
        <v>675</v>
      </c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  <c r="BQ446" s="64"/>
      <c r="BR446" s="64"/>
      <c r="BS446" s="64"/>
      <c r="BT446" s="65"/>
    </row>
    <row r="447" spans="1:72" ht="18" hidden="1" customHeight="1" x14ac:dyDescent="0.3">
      <c r="A447" s="81" t="s">
        <v>922</v>
      </c>
      <c r="B447" s="76" t="s">
        <v>459</v>
      </c>
      <c r="C447" s="16" t="s">
        <v>1501</v>
      </c>
      <c r="D447" s="16" t="s">
        <v>1490</v>
      </c>
      <c r="E447" s="50">
        <v>50</v>
      </c>
      <c r="F447" s="50">
        <v>0</v>
      </c>
      <c r="G447" s="16">
        <v>1</v>
      </c>
      <c r="H447" s="16" t="s">
        <v>1023</v>
      </c>
      <c r="I447" s="16" t="s">
        <v>1016</v>
      </c>
      <c r="J447" s="16" t="s">
        <v>2382</v>
      </c>
      <c r="K447" s="16">
        <v>50</v>
      </c>
      <c r="L447" s="16">
        <v>50</v>
      </c>
      <c r="M447" s="64"/>
      <c r="N447" s="64"/>
      <c r="O447" s="49" t="str">
        <f t="shared" si="65"/>
        <v>YES</v>
      </c>
      <c r="P447" s="52"/>
      <c r="Q447" s="53">
        <f t="shared" si="57"/>
        <v>5000</v>
      </c>
      <c r="R447" s="54">
        <f t="shared" si="58"/>
        <v>2500</v>
      </c>
      <c r="S447" s="55" t="str">
        <f t="shared" si="59"/>
        <v xml:space="preserve"> </v>
      </c>
      <c r="T447" s="56"/>
      <c r="U447" s="57" t="str">
        <f t="shared" si="60"/>
        <v>100µg/100cm²</v>
      </c>
      <c r="V447" s="58">
        <f t="shared" si="61"/>
        <v>2500</v>
      </c>
      <c r="W447" s="58" t="str">
        <f t="shared" si="62"/>
        <v xml:space="preserve"> </v>
      </c>
      <c r="X447" s="59" t="str">
        <f t="shared" si="63"/>
        <v/>
      </c>
      <c r="Y447" s="60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83" t="s">
        <v>675</v>
      </c>
      <c r="AV447" s="83" t="s">
        <v>675</v>
      </c>
      <c r="AW447" s="16" t="s">
        <v>675</v>
      </c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  <c r="BH447" s="64"/>
      <c r="BI447" s="64"/>
      <c r="BJ447" s="64"/>
      <c r="BK447" s="64"/>
      <c r="BL447" s="64"/>
      <c r="BM447" s="64"/>
      <c r="BN447" s="64"/>
      <c r="BO447" s="64"/>
      <c r="BP447" s="64"/>
      <c r="BQ447" s="64"/>
      <c r="BR447" s="64"/>
      <c r="BS447" s="64"/>
      <c r="BT447" s="65"/>
    </row>
    <row r="448" spans="1:72" ht="18" hidden="1" customHeight="1" x14ac:dyDescent="0.3">
      <c r="A448" s="90" t="s">
        <v>8</v>
      </c>
      <c r="B448" s="69" t="s">
        <v>9</v>
      </c>
      <c r="C448" s="48" t="s">
        <v>1079</v>
      </c>
      <c r="D448" s="70" t="s">
        <v>1073</v>
      </c>
      <c r="E448" s="50">
        <v>38.76</v>
      </c>
      <c r="F448" s="50">
        <v>0</v>
      </c>
      <c r="G448" s="61">
        <v>3</v>
      </c>
      <c r="H448" s="16">
        <v>50</v>
      </c>
      <c r="I448" s="49" t="s">
        <v>1016</v>
      </c>
      <c r="J448" s="16" t="s">
        <v>1080</v>
      </c>
      <c r="K448" s="62">
        <v>30</v>
      </c>
      <c r="L448" s="62">
        <v>270</v>
      </c>
      <c r="M448" s="62" t="s">
        <v>1081</v>
      </c>
      <c r="N448" s="62" t="s">
        <v>1082</v>
      </c>
      <c r="O448" s="49" t="str">
        <f t="shared" si="65"/>
        <v>NO</v>
      </c>
      <c r="P448" s="52"/>
      <c r="Q448" s="53">
        <f t="shared" si="57"/>
        <v>30</v>
      </c>
      <c r="R448" s="54">
        <f t="shared" si="58"/>
        <v>11.6</v>
      </c>
      <c r="S448" s="55" t="str">
        <f t="shared" si="59"/>
        <v xml:space="preserve"> </v>
      </c>
      <c r="T448" s="56"/>
      <c r="U448" s="57" t="str">
        <f t="shared" si="60"/>
        <v>Mitigation</v>
      </c>
      <c r="V448" s="58">
        <f t="shared" si="61"/>
        <v>11.6</v>
      </c>
      <c r="W448" s="58" t="str">
        <f t="shared" si="62"/>
        <v xml:space="preserve"> </v>
      </c>
      <c r="X448" s="59" t="str">
        <f t="shared" si="63"/>
        <v/>
      </c>
      <c r="Y448" s="60"/>
      <c r="Z448" s="64"/>
      <c r="AA448" s="64"/>
      <c r="AB448" s="16" t="s">
        <v>675</v>
      </c>
      <c r="AC448" s="64"/>
      <c r="AD448" s="64"/>
      <c r="AE448" s="16" t="s">
        <v>675</v>
      </c>
      <c r="AF448" s="16" t="s">
        <v>675</v>
      </c>
      <c r="AG448" s="64"/>
      <c r="AH448" s="64"/>
      <c r="AI448" s="16" t="s">
        <v>675</v>
      </c>
      <c r="AJ448" s="64"/>
      <c r="AK448" s="16" t="s">
        <v>675</v>
      </c>
      <c r="AL448" s="16" t="s">
        <v>675</v>
      </c>
      <c r="AM448" s="16" t="s">
        <v>675</v>
      </c>
      <c r="AN448" s="16" t="s">
        <v>675</v>
      </c>
      <c r="AO448" s="64"/>
      <c r="AP448" s="16" t="s">
        <v>675</v>
      </c>
      <c r="AQ448" s="64"/>
      <c r="AR448" s="64"/>
      <c r="AS448" s="16" t="s">
        <v>675</v>
      </c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F448" s="64"/>
      <c r="BG448" s="16" t="s">
        <v>675</v>
      </c>
      <c r="BH448" s="64"/>
      <c r="BI448" s="64"/>
      <c r="BJ448" s="64"/>
      <c r="BK448" s="64"/>
      <c r="BL448" s="64"/>
      <c r="BM448" s="64"/>
      <c r="BN448" s="64"/>
      <c r="BO448" s="64"/>
      <c r="BP448" s="64"/>
      <c r="BQ448" s="64"/>
      <c r="BR448" s="64"/>
      <c r="BS448" s="16" t="s">
        <v>675</v>
      </c>
      <c r="BT448" s="65"/>
    </row>
    <row r="449" spans="1:72" ht="18" hidden="1" customHeight="1" x14ac:dyDescent="0.3">
      <c r="A449" s="81" t="s">
        <v>923</v>
      </c>
      <c r="B449" s="76" t="s">
        <v>459</v>
      </c>
      <c r="C449" s="16" t="s">
        <v>1501</v>
      </c>
      <c r="D449" s="16" t="s">
        <v>1490</v>
      </c>
      <c r="E449" s="50">
        <v>50</v>
      </c>
      <c r="F449" s="50">
        <v>0</v>
      </c>
      <c r="G449" s="16">
        <v>1</v>
      </c>
      <c r="H449" s="16" t="s">
        <v>1023</v>
      </c>
      <c r="I449" s="16" t="s">
        <v>1016</v>
      </c>
      <c r="J449" s="16" t="s">
        <v>2382</v>
      </c>
      <c r="K449" s="16">
        <v>50</v>
      </c>
      <c r="L449" s="16">
        <v>50</v>
      </c>
      <c r="M449" s="64"/>
      <c r="N449" s="64"/>
      <c r="O449" s="49" t="str">
        <f t="shared" si="65"/>
        <v>YES</v>
      </c>
      <c r="P449" s="52"/>
      <c r="Q449" s="53">
        <f t="shared" si="57"/>
        <v>5000</v>
      </c>
      <c r="R449" s="54">
        <f t="shared" si="58"/>
        <v>2500</v>
      </c>
      <c r="S449" s="55" t="str">
        <f t="shared" si="59"/>
        <v xml:space="preserve"> </v>
      </c>
      <c r="T449" s="56"/>
      <c r="U449" s="57" t="str">
        <f t="shared" si="60"/>
        <v>100µg/100cm²</v>
      </c>
      <c r="V449" s="58">
        <f t="shared" si="61"/>
        <v>2500</v>
      </c>
      <c r="W449" s="58" t="str">
        <f t="shared" si="62"/>
        <v xml:space="preserve"> </v>
      </c>
      <c r="X449" s="59" t="str">
        <f t="shared" si="63"/>
        <v/>
      </c>
      <c r="Y449" s="60"/>
      <c r="Z449" s="64"/>
      <c r="AA449" s="64"/>
      <c r="AB449" s="64"/>
      <c r="AC449" s="64"/>
      <c r="AD449" s="64"/>
      <c r="AE449" s="16" t="s">
        <v>675</v>
      </c>
      <c r="AF449" s="64"/>
      <c r="AG449" s="64"/>
      <c r="AH449" s="64"/>
      <c r="AI449" s="64"/>
      <c r="AJ449" s="64"/>
      <c r="AK449" s="64"/>
      <c r="AL449" s="64"/>
      <c r="AM449" s="16" t="s">
        <v>675</v>
      </c>
      <c r="AN449" s="64"/>
      <c r="AO449" s="64"/>
      <c r="AP449" s="64"/>
      <c r="AQ449" s="64"/>
      <c r="AR449" s="64"/>
      <c r="AS449" s="64"/>
      <c r="AT449" s="64"/>
      <c r="AU449" s="83" t="s">
        <v>675</v>
      </c>
      <c r="AV449" s="83" t="s">
        <v>675</v>
      </c>
      <c r="AW449" s="16" t="s">
        <v>675</v>
      </c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  <c r="BH449" s="64"/>
      <c r="BI449" s="64"/>
      <c r="BJ449" s="64"/>
      <c r="BK449" s="64"/>
      <c r="BL449" s="64"/>
      <c r="BM449" s="64"/>
      <c r="BN449" s="64"/>
      <c r="BO449" s="64"/>
      <c r="BP449" s="64"/>
      <c r="BQ449" s="64"/>
      <c r="BR449" s="64"/>
      <c r="BS449" s="64"/>
      <c r="BT449" s="65"/>
    </row>
    <row r="450" spans="1:72" ht="18" hidden="1" customHeight="1" x14ac:dyDescent="0.3">
      <c r="A450" s="81" t="s">
        <v>924</v>
      </c>
      <c r="B450" s="76" t="s">
        <v>459</v>
      </c>
      <c r="C450" s="16" t="s">
        <v>1501</v>
      </c>
      <c r="D450" s="16" t="s">
        <v>1490</v>
      </c>
      <c r="E450" s="50">
        <v>50</v>
      </c>
      <c r="F450" s="50">
        <v>0</v>
      </c>
      <c r="G450" s="16">
        <v>1</v>
      </c>
      <c r="H450" s="16" t="s">
        <v>1023</v>
      </c>
      <c r="I450" s="16" t="s">
        <v>1016</v>
      </c>
      <c r="J450" s="16" t="s">
        <v>2382</v>
      </c>
      <c r="K450" s="16">
        <v>50</v>
      </c>
      <c r="L450" s="16">
        <v>50</v>
      </c>
      <c r="M450" s="64"/>
      <c r="N450" s="64"/>
      <c r="O450" s="49" t="str">
        <f t="shared" si="65"/>
        <v>YES</v>
      </c>
      <c r="P450" s="52"/>
      <c r="Q450" s="53">
        <f t="shared" si="57"/>
        <v>5000</v>
      </c>
      <c r="R450" s="54">
        <f t="shared" si="58"/>
        <v>2500</v>
      </c>
      <c r="S450" s="55" t="str">
        <f t="shared" si="59"/>
        <v xml:space="preserve"> </v>
      </c>
      <c r="T450" s="56"/>
      <c r="U450" s="57" t="str">
        <f t="shared" si="60"/>
        <v>100µg/100cm²</v>
      </c>
      <c r="V450" s="58">
        <f t="shared" si="61"/>
        <v>2500</v>
      </c>
      <c r="W450" s="58" t="str">
        <f t="shared" si="62"/>
        <v xml:space="preserve"> </v>
      </c>
      <c r="X450" s="59" t="str">
        <f t="shared" si="63"/>
        <v/>
      </c>
      <c r="Y450" s="60"/>
      <c r="Z450" s="64"/>
      <c r="AA450" s="64"/>
      <c r="AB450" s="64"/>
      <c r="AC450" s="64"/>
      <c r="AD450" s="64"/>
      <c r="AE450" s="16" t="s">
        <v>675</v>
      </c>
      <c r="AF450" s="64"/>
      <c r="AG450" s="64"/>
      <c r="AH450" s="64"/>
      <c r="AI450" s="64"/>
      <c r="AJ450" s="64"/>
      <c r="AK450" s="64"/>
      <c r="AL450" s="64"/>
      <c r="AM450" s="16" t="s">
        <v>675</v>
      </c>
      <c r="AN450" s="64"/>
      <c r="AO450" s="64"/>
      <c r="AP450" s="64"/>
      <c r="AQ450" s="64"/>
      <c r="AR450" s="64"/>
      <c r="AS450" s="64"/>
      <c r="AT450" s="64"/>
      <c r="AU450" s="83" t="s">
        <v>675</v>
      </c>
      <c r="AV450" s="83" t="s">
        <v>675</v>
      </c>
      <c r="AW450" s="16" t="s">
        <v>675</v>
      </c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  <c r="BH450" s="64"/>
      <c r="BI450" s="64"/>
      <c r="BJ450" s="64"/>
      <c r="BK450" s="64"/>
      <c r="BL450" s="64"/>
      <c r="BM450" s="64"/>
      <c r="BN450" s="64"/>
      <c r="BO450" s="64"/>
      <c r="BP450" s="64"/>
      <c r="BQ450" s="64"/>
      <c r="BR450" s="64"/>
      <c r="BS450" s="64"/>
      <c r="BT450" s="65"/>
    </row>
    <row r="451" spans="1:72" ht="18" hidden="1" customHeight="1" x14ac:dyDescent="0.3">
      <c r="A451" s="81" t="s">
        <v>925</v>
      </c>
      <c r="B451" s="76" t="s">
        <v>459</v>
      </c>
      <c r="C451" s="16" t="s">
        <v>1501</v>
      </c>
      <c r="D451" s="16" t="s">
        <v>1490</v>
      </c>
      <c r="E451" s="50">
        <v>50</v>
      </c>
      <c r="F451" s="50">
        <v>0</v>
      </c>
      <c r="G451" s="16">
        <v>1</v>
      </c>
      <c r="H451" s="16" t="s">
        <v>1023</v>
      </c>
      <c r="I451" s="16" t="s">
        <v>1016</v>
      </c>
      <c r="J451" s="16" t="s">
        <v>2382</v>
      </c>
      <c r="K451" s="16">
        <v>50</v>
      </c>
      <c r="L451" s="16">
        <v>50</v>
      </c>
      <c r="M451" s="64"/>
      <c r="N451" s="64"/>
      <c r="O451" s="49" t="str">
        <f t="shared" si="65"/>
        <v>YES</v>
      </c>
      <c r="P451" s="52"/>
      <c r="Q451" s="53">
        <f t="shared" si="57"/>
        <v>5000</v>
      </c>
      <c r="R451" s="54">
        <f t="shared" si="58"/>
        <v>2500</v>
      </c>
      <c r="S451" s="55" t="str">
        <f t="shared" si="59"/>
        <v xml:space="preserve"> </v>
      </c>
      <c r="T451" s="56"/>
      <c r="U451" s="57" t="str">
        <f t="shared" si="60"/>
        <v>100µg/100cm²</v>
      </c>
      <c r="V451" s="58">
        <f t="shared" si="61"/>
        <v>2500</v>
      </c>
      <c r="W451" s="58" t="str">
        <f t="shared" si="62"/>
        <v xml:space="preserve"> </v>
      </c>
      <c r="X451" s="59" t="str">
        <f t="shared" si="63"/>
        <v/>
      </c>
      <c r="Y451" s="60"/>
      <c r="Z451" s="64"/>
      <c r="AA451" s="64"/>
      <c r="AB451" s="64"/>
      <c r="AC451" s="64"/>
      <c r="AD451" s="64"/>
      <c r="AE451" s="16" t="s">
        <v>675</v>
      </c>
      <c r="AF451" s="64"/>
      <c r="AG451" s="64"/>
      <c r="AH451" s="64"/>
      <c r="AI451" s="64"/>
      <c r="AJ451" s="64"/>
      <c r="AK451" s="64"/>
      <c r="AL451" s="64"/>
      <c r="AM451" s="16" t="s">
        <v>675</v>
      </c>
      <c r="AN451" s="64"/>
      <c r="AO451" s="64"/>
      <c r="AP451" s="64"/>
      <c r="AQ451" s="64"/>
      <c r="AR451" s="64"/>
      <c r="AS451" s="64"/>
      <c r="AT451" s="64"/>
      <c r="AU451" s="83" t="s">
        <v>675</v>
      </c>
      <c r="AV451" s="83" t="s">
        <v>675</v>
      </c>
      <c r="AW451" s="16" t="s">
        <v>675</v>
      </c>
      <c r="AX451" s="64"/>
      <c r="AY451" s="64"/>
      <c r="AZ451" s="64"/>
      <c r="BA451" s="64"/>
      <c r="BB451" s="64"/>
      <c r="BC451" s="64"/>
      <c r="BD451" s="64"/>
      <c r="BE451" s="64"/>
      <c r="BF451" s="64"/>
      <c r="BG451" s="64"/>
      <c r="BH451" s="64"/>
      <c r="BI451" s="64"/>
      <c r="BJ451" s="64"/>
      <c r="BK451" s="64"/>
      <c r="BL451" s="64"/>
      <c r="BM451" s="64"/>
      <c r="BN451" s="64"/>
      <c r="BO451" s="64"/>
      <c r="BP451" s="64"/>
      <c r="BQ451" s="64"/>
      <c r="BR451" s="64"/>
      <c r="BS451" s="64"/>
      <c r="BT451" s="65"/>
    </row>
    <row r="452" spans="1:72" ht="18" hidden="1" customHeight="1" x14ac:dyDescent="0.3">
      <c r="A452" s="81" t="s">
        <v>926</v>
      </c>
      <c r="B452" s="76" t="s">
        <v>459</v>
      </c>
      <c r="C452" s="16" t="s">
        <v>1501</v>
      </c>
      <c r="D452" s="16" t="s">
        <v>1490</v>
      </c>
      <c r="E452" s="50">
        <v>50</v>
      </c>
      <c r="F452" s="50">
        <v>0</v>
      </c>
      <c r="G452" s="16">
        <v>1</v>
      </c>
      <c r="H452" s="16" t="s">
        <v>1023</v>
      </c>
      <c r="I452" s="16" t="s">
        <v>1016</v>
      </c>
      <c r="J452" s="16" t="s">
        <v>2382</v>
      </c>
      <c r="K452" s="16">
        <v>50</v>
      </c>
      <c r="L452" s="16">
        <v>50</v>
      </c>
      <c r="M452" s="64"/>
      <c r="N452" s="64"/>
      <c r="O452" s="49" t="str">
        <f t="shared" si="65"/>
        <v>YES</v>
      </c>
      <c r="P452" s="52"/>
      <c r="Q452" s="53">
        <f t="shared" si="57"/>
        <v>5000</v>
      </c>
      <c r="R452" s="54">
        <f t="shared" si="58"/>
        <v>2500</v>
      </c>
      <c r="S452" s="55" t="str">
        <f t="shared" si="59"/>
        <v xml:space="preserve"> </v>
      </c>
      <c r="T452" s="56"/>
      <c r="U452" s="57" t="str">
        <f t="shared" si="60"/>
        <v>100µg/100cm²</v>
      </c>
      <c r="V452" s="58">
        <f t="shared" si="61"/>
        <v>2500</v>
      </c>
      <c r="W452" s="58" t="str">
        <f t="shared" si="62"/>
        <v xml:space="preserve"> </v>
      </c>
      <c r="X452" s="59" t="str">
        <f t="shared" si="63"/>
        <v/>
      </c>
      <c r="Y452" s="60"/>
      <c r="Z452" s="64"/>
      <c r="AA452" s="64"/>
      <c r="AB452" s="64"/>
      <c r="AC452" s="64"/>
      <c r="AD452" s="64"/>
      <c r="AE452" s="16" t="s">
        <v>675</v>
      </c>
      <c r="AF452" s="64"/>
      <c r="AG452" s="64"/>
      <c r="AH452" s="64"/>
      <c r="AI452" s="64"/>
      <c r="AJ452" s="64"/>
      <c r="AK452" s="64"/>
      <c r="AL452" s="64"/>
      <c r="AM452" s="16" t="s">
        <v>675</v>
      </c>
      <c r="AN452" s="64"/>
      <c r="AO452" s="64"/>
      <c r="AP452" s="64"/>
      <c r="AQ452" s="64"/>
      <c r="AR452" s="64"/>
      <c r="AS452" s="64"/>
      <c r="AT452" s="64"/>
      <c r="AU452" s="83" t="s">
        <v>675</v>
      </c>
      <c r="AV452" s="83" t="s">
        <v>675</v>
      </c>
      <c r="AW452" s="16" t="s">
        <v>675</v>
      </c>
      <c r="AX452" s="64"/>
      <c r="AY452" s="64"/>
      <c r="AZ452" s="64"/>
      <c r="BA452" s="64"/>
      <c r="BB452" s="64"/>
      <c r="BC452" s="64"/>
      <c r="BD452" s="64"/>
      <c r="BE452" s="64"/>
      <c r="BF452" s="64"/>
      <c r="BG452" s="64"/>
      <c r="BH452" s="64"/>
      <c r="BI452" s="64"/>
      <c r="BJ452" s="64"/>
      <c r="BK452" s="64"/>
      <c r="BL452" s="64"/>
      <c r="BM452" s="64"/>
      <c r="BN452" s="64"/>
      <c r="BO452" s="64"/>
      <c r="BP452" s="64"/>
      <c r="BQ452" s="64"/>
      <c r="BR452" s="64"/>
      <c r="BS452" s="64"/>
      <c r="BT452" s="65"/>
    </row>
    <row r="453" spans="1:72" ht="15.75" hidden="1" x14ac:dyDescent="0.3">
      <c r="A453" s="47" t="s">
        <v>835</v>
      </c>
      <c r="B453" s="83" t="s">
        <v>836</v>
      </c>
      <c r="C453" s="16" t="s">
        <v>1625</v>
      </c>
      <c r="D453" s="16" t="s">
        <v>1268</v>
      </c>
      <c r="E453" s="50">
        <v>83.55</v>
      </c>
      <c r="F453" s="50">
        <v>0</v>
      </c>
      <c r="G453" s="16">
        <v>7</v>
      </c>
      <c r="H453" s="16" t="s">
        <v>1626</v>
      </c>
      <c r="I453" s="16" t="s">
        <v>1016</v>
      </c>
      <c r="J453" s="17" t="s">
        <v>2351</v>
      </c>
      <c r="K453" s="16">
        <v>290</v>
      </c>
      <c r="L453" s="16">
        <v>2900</v>
      </c>
      <c r="M453" s="16" t="s">
        <v>1030</v>
      </c>
      <c r="N453" s="64"/>
      <c r="O453" s="49" t="str">
        <f t="shared" si="65"/>
        <v>YES</v>
      </c>
      <c r="P453" s="52"/>
      <c r="Q453" s="53">
        <f t="shared" si="57"/>
        <v>5000</v>
      </c>
      <c r="R453" s="54">
        <f t="shared" si="58"/>
        <v>4177.5</v>
      </c>
      <c r="S453" s="55" t="str">
        <f t="shared" si="59"/>
        <v xml:space="preserve"> </v>
      </c>
      <c r="T453" s="56"/>
      <c r="U453" s="57" t="str">
        <f t="shared" si="60"/>
        <v>100µg/100cm²</v>
      </c>
      <c r="V453" s="58">
        <f t="shared" si="61"/>
        <v>4177.5</v>
      </c>
      <c r="W453" s="57" t="str">
        <f t="shared" si="62"/>
        <v xml:space="preserve"> </v>
      </c>
      <c r="X453" s="59" t="str">
        <f t="shared" si="63"/>
        <v/>
      </c>
      <c r="Y453" s="60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16" t="s">
        <v>675</v>
      </c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F453" s="64"/>
      <c r="BG453" s="64"/>
      <c r="BH453" s="64"/>
      <c r="BI453" s="64"/>
      <c r="BJ453" s="64"/>
      <c r="BK453" s="64"/>
      <c r="BL453" s="64"/>
      <c r="BM453" s="64"/>
      <c r="BN453" s="64"/>
      <c r="BO453" s="64"/>
      <c r="BP453" s="64"/>
      <c r="BQ453" s="64"/>
      <c r="BR453" s="64"/>
      <c r="BS453" s="64"/>
      <c r="BT453" s="65"/>
    </row>
    <row r="454" spans="1:72" ht="18" hidden="1" customHeight="1" x14ac:dyDescent="0.3">
      <c r="A454" s="133" t="s">
        <v>618</v>
      </c>
      <c r="B454" s="48" t="s">
        <v>619</v>
      </c>
      <c r="C454" s="17" t="s">
        <v>2173</v>
      </c>
      <c r="D454" s="16" t="s">
        <v>1649</v>
      </c>
      <c r="E454" s="50">
        <v>41.7</v>
      </c>
      <c r="F454" s="50">
        <v>0</v>
      </c>
      <c r="G454" s="16">
        <v>3</v>
      </c>
      <c r="H454" s="16">
        <v>50</v>
      </c>
      <c r="I454" s="16" t="s">
        <v>1016</v>
      </c>
      <c r="J454" s="16" t="s">
        <v>2028</v>
      </c>
      <c r="K454" s="49">
        <v>20</v>
      </c>
      <c r="L454" s="49">
        <v>20</v>
      </c>
      <c r="M454" s="64"/>
      <c r="N454" s="64"/>
      <c r="O454" s="49" t="str">
        <f t="shared" si="65"/>
        <v>YES</v>
      </c>
      <c r="P454" s="52"/>
      <c r="Q454" s="53">
        <f t="shared" si="57"/>
        <v>3650</v>
      </c>
      <c r="R454" s="54">
        <f t="shared" si="58"/>
        <v>1522</v>
      </c>
      <c r="S454" s="55" t="str">
        <f t="shared" si="59"/>
        <v xml:space="preserve"> </v>
      </c>
      <c r="T454" s="56"/>
      <c r="U454" s="57" t="str">
        <f t="shared" si="60"/>
        <v>100µg/100cm²</v>
      </c>
      <c r="V454" s="58">
        <f t="shared" si="61"/>
        <v>1522</v>
      </c>
      <c r="W454" s="58" t="str">
        <f t="shared" si="62"/>
        <v xml:space="preserve"> </v>
      </c>
      <c r="X454" s="59" t="str">
        <f t="shared" si="63"/>
        <v/>
      </c>
      <c r="Y454" s="60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16" t="s">
        <v>675</v>
      </c>
      <c r="AV454" s="64"/>
      <c r="AW454" s="16" t="s">
        <v>675</v>
      </c>
      <c r="AX454" s="64"/>
      <c r="AY454" s="64"/>
      <c r="AZ454" s="64"/>
      <c r="BA454" s="64"/>
      <c r="BB454" s="64"/>
      <c r="BC454" s="64"/>
      <c r="BD454" s="64"/>
      <c r="BE454" s="64"/>
      <c r="BF454" s="64"/>
      <c r="BG454" s="64"/>
      <c r="BH454" s="64"/>
      <c r="BI454" s="64"/>
      <c r="BJ454" s="64"/>
      <c r="BK454" s="64"/>
      <c r="BL454" s="64"/>
      <c r="BM454" s="64"/>
      <c r="BN454" s="64"/>
      <c r="BO454" s="64"/>
      <c r="BP454" s="64"/>
      <c r="BQ454" s="64"/>
      <c r="BR454" s="64"/>
      <c r="BS454" s="64"/>
      <c r="BT454" s="65"/>
    </row>
    <row r="455" spans="1:72" ht="18" customHeight="1" x14ac:dyDescent="0.3">
      <c r="A455" s="77" t="s">
        <v>2289</v>
      </c>
      <c r="B455" s="49" t="s">
        <v>2290</v>
      </c>
      <c r="C455" s="79" t="s">
        <v>2338</v>
      </c>
      <c r="D455" s="67" t="s">
        <v>1114</v>
      </c>
      <c r="E455" s="50">
        <v>0</v>
      </c>
      <c r="F455" s="50">
        <v>0</v>
      </c>
      <c r="G455" s="16">
        <v>2</v>
      </c>
      <c r="H455" s="16">
        <v>1000</v>
      </c>
      <c r="I455" s="16" t="s">
        <v>1016</v>
      </c>
      <c r="J455" s="16" t="s">
        <v>2291</v>
      </c>
      <c r="K455" s="49">
        <v>1.5</v>
      </c>
      <c r="L455" s="49">
        <v>1.5</v>
      </c>
      <c r="M455" s="49" t="s">
        <v>1036</v>
      </c>
      <c r="N455" s="64"/>
      <c r="O455" s="49" t="str">
        <f t="shared" si="65"/>
        <v>YES</v>
      </c>
      <c r="P455" s="73"/>
      <c r="Q455" s="53">
        <f t="shared" si="57"/>
        <v>273.7</v>
      </c>
      <c r="R455" s="54" t="str">
        <f t="shared" si="58"/>
        <v xml:space="preserve"> </v>
      </c>
      <c r="S455" s="55" t="str">
        <f t="shared" si="59"/>
        <v xml:space="preserve"> </v>
      </c>
      <c r="T455" s="105"/>
      <c r="U455" s="57" t="str">
        <f t="shared" si="60"/>
        <v xml:space="preserve"> </v>
      </c>
      <c r="V455" s="58" t="str">
        <f t="shared" si="61"/>
        <v xml:space="preserve"> </v>
      </c>
      <c r="W455" s="57" t="str">
        <f t="shared" si="62"/>
        <v xml:space="preserve"> </v>
      </c>
      <c r="X455" s="59" t="str">
        <f t="shared" si="63"/>
        <v>Mitigation</v>
      </c>
      <c r="Y455" s="106"/>
      <c r="Z455" s="16" t="s">
        <v>1987</v>
      </c>
      <c r="AA455" s="16" t="s">
        <v>1987</v>
      </c>
      <c r="AB455" s="16" t="s">
        <v>1987</v>
      </c>
      <c r="AC455" s="16" t="s">
        <v>1987</v>
      </c>
      <c r="AD455" s="16" t="s">
        <v>1987</v>
      </c>
      <c r="AE455" s="16" t="s">
        <v>1987</v>
      </c>
      <c r="AF455" s="16" t="s">
        <v>1987</v>
      </c>
      <c r="AG455" s="16" t="s">
        <v>1987</v>
      </c>
      <c r="AH455" s="16" t="s">
        <v>1987</v>
      </c>
      <c r="AI455" s="16" t="s">
        <v>1987</v>
      </c>
      <c r="AJ455" s="16" t="s">
        <v>1987</v>
      </c>
      <c r="AK455" s="16" t="s">
        <v>1987</v>
      </c>
      <c r="AL455" s="16" t="s">
        <v>1987</v>
      </c>
      <c r="AM455" s="16" t="s">
        <v>1987</v>
      </c>
      <c r="AN455" s="16" t="s">
        <v>1987</v>
      </c>
      <c r="AO455" s="16" t="s">
        <v>1987</v>
      </c>
      <c r="AP455" s="16" t="s">
        <v>1987</v>
      </c>
      <c r="AQ455" s="16" t="s">
        <v>1987</v>
      </c>
      <c r="AR455" s="16" t="s">
        <v>1987</v>
      </c>
      <c r="AS455" s="16" t="s">
        <v>1987</v>
      </c>
      <c r="AT455" s="16" t="s">
        <v>1987</v>
      </c>
      <c r="AU455" s="16" t="s">
        <v>1987</v>
      </c>
      <c r="AV455" s="16" t="s">
        <v>1987</v>
      </c>
      <c r="AW455" s="16" t="s">
        <v>1987</v>
      </c>
      <c r="AX455" s="16" t="s">
        <v>1987</v>
      </c>
      <c r="AY455" s="16" t="s">
        <v>1987</v>
      </c>
      <c r="AZ455" s="16" t="s">
        <v>1987</v>
      </c>
      <c r="BA455" s="16" t="s">
        <v>1987</v>
      </c>
      <c r="BB455" s="16" t="s">
        <v>1987</v>
      </c>
      <c r="BC455" s="16" t="s">
        <v>1987</v>
      </c>
      <c r="BD455" s="16" t="s">
        <v>1987</v>
      </c>
      <c r="BE455" s="16" t="s">
        <v>1987</v>
      </c>
      <c r="BF455" s="16" t="s">
        <v>1987</v>
      </c>
      <c r="BG455" s="16" t="s">
        <v>1987</v>
      </c>
      <c r="BH455" s="16" t="s">
        <v>1987</v>
      </c>
      <c r="BI455" s="16" t="s">
        <v>1987</v>
      </c>
      <c r="BJ455" s="16" t="s">
        <v>1987</v>
      </c>
      <c r="BK455" s="16" t="s">
        <v>1987</v>
      </c>
      <c r="BL455" s="16" t="s">
        <v>1987</v>
      </c>
      <c r="BM455" s="16" t="s">
        <v>1987</v>
      </c>
      <c r="BN455" s="16" t="s">
        <v>1987</v>
      </c>
      <c r="BO455" s="16" t="s">
        <v>1987</v>
      </c>
      <c r="BP455" s="16" t="s">
        <v>1987</v>
      </c>
      <c r="BQ455" s="16" t="s">
        <v>1987</v>
      </c>
      <c r="BR455" s="16" t="s">
        <v>1987</v>
      </c>
      <c r="BS455" s="16" t="s">
        <v>1987</v>
      </c>
      <c r="BT455" s="16" t="s">
        <v>1987</v>
      </c>
    </row>
    <row r="456" spans="1:72" ht="18" hidden="1" customHeight="1" x14ac:dyDescent="0.3">
      <c r="A456" s="47" t="s">
        <v>72</v>
      </c>
      <c r="B456" s="48" t="s">
        <v>73</v>
      </c>
      <c r="C456" s="16" t="s">
        <v>2174</v>
      </c>
      <c r="D456" s="49" t="s">
        <v>1174</v>
      </c>
      <c r="E456" s="50">
        <v>59.02</v>
      </c>
      <c r="F456" s="50">
        <v>0</v>
      </c>
      <c r="G456" s="61">
        <v>2</v>
      </c>
      <c r="H456" s="16">
        <v>1000</v>
      </c>
      <c r="I456" s="48" t="s">
        <v>1016</v>
      </c>
      <c r="J456" s="16" t="s">
        <v>2386</v>
      </c>
      <c r="K456" s="49">
        <v>50</v>
      </c>
      <c r="L456" s="49">
        <v>50</v>
      </c>
      <c r="M456" s="64"/>
      <c r="N456" s="64"/>
      <c r="O456" s="49" t="str">
        <f t="shared" si="65"/>
        <v>YES</v>
      </c>
      <c r="P456" s="52"/>
      <c r="Q456" s="53">
        <f t="shared" ref="Q456:Q519" si="66">IF(K456="Pending","Pending",IF(AND(K456&lt;5000,O456="YES"),MIN(ROUNDDOWN(K456*25550/140,1),5000),IF(AND(K456&lt;5000,O456="NO"),K456,IF(K456&gt;=5000,5000))))</f>
        <v>5000</v>
      </c>
      <c r="R456" s="54">
        <f t="shared" ref="R456:R519" si="67">IF(Q456="Pending","Pending",IF(E456=0," ",ROUNDDOWN(Q456*E456/100,1)))</f>
        <v>2951</v>
      </c>
      <c r="S456" s="55" t="str">
        <f t="shared" ref="S456:S519" si="68">IF(Q456="Pending","Pending",IF(F456=0, " ",ROUNDDOWN(Q456*F456/100,1)))</f>
        <v xml:space="preserve"> </v>
      </c>
      <c r="T456" s="56"/>
      <c r="U456" s="57" t="str">
        <f t="shared" ref="U456:U519" si="69">IF(Q456="Pending","Pending",IF(R456= " ", " ", IF(R456&lt;20, "Mitigation", "100µg/100cm²")))</f>
        <v>100µg/100cm²</v>
      </c>
      <c r="V456" s="58">
        <f t="shared" ref="V456:V519" si="70">IF(R456=0, " ", R456)</f>
        <v>2951</v>
      </c>
      <c r="W456" s="58" t="str">
        <f t="shared" ref="W456:W519" si="71">IF(Q456="Pending","Pending",IF(S456= " ", " ", IF(S456&lt;20, "Mitigation", "100µg/100cm²")))</f>
        <v xml:space="preserve"> </v>
      </c>
      <c r="X456" s="59" t="str">
        <f t="shared" ref="X456:X519" si="72">IF(K456="","Pending",IF(AND(Q456=5000,G456&lt;4,SUM(E456,F456)=0),"Water criteria (conductivity)",IF(AND(Q456=5000,G456&gt;3,SUM(E456,F456)=0),"Mitigation",IF(AND(Q456&lt;5000,G456&gt;0,SUM(E456,F456)=0),"Mitigation",""))))</f>
        <v/>
      </c>
      <c r="Y456" s="60"/>
      <c r="Z456" s="64"/>
      <c r="AA456" s="64"/>
      <c r="AB456" s="16" t="s">
        <v>675</v>
      </c>
      <c r="AC456" s="64"/>
      <c r="AD456" s="64"/>
      <c r="AE456" s="16" t="s">
        <v>675</v>
      </c>
      <c r="AF456" s="16" t="s">
        <v>675</v>
      </c>
      <c r="AG456" s="64"/>
      <c r="AH456" s="16" t="s">
        <v>675</v>
      </c>
      <c r="AI456" s="16" t="s">
        <v>675</v>
      </c>
      <c r="AJ456" s="64"/>
      <c r="AK456" s="16" t="s">
        <v>675</v>
      </c>
      <c r="AL456" s="16" t="s">
        <v>675</v>
      </c>
      <c r="AM456" s="16" t="s">
        <v>675</v>
      </c>
      <c r="AN456" s="16" t="s">
        <v>675</v>
      </c>
      <c r="AO456" s="64"/>
      <c r="AP456" s="16" t="s">
        <v>675</v>
      </c>
      <c r="AQ456" s="64"/>
      <c r="AR456" s="64"/>
      <c r="AS456" s="16" t="s">
        <v>675</v>
      </c>
      <c r="AT456" s="16" t="s">
        <v>675</v>
      </c>
      <c r="AU456" s="64"/>
      <c r="AV456" s="64"/>
      <c r="AW456" s="64"/>
      <c r="AX456" s="16" t="s">
        <v>675</v>
      </c>
      <c r="AY456" s="64"/>
      <c r="AZ456" s="64"/>
      <c r="BA456" s="64"/>
      <c r="BB456" s="64"/>
      <c r="BC456" s="64"/>
      <c r="BD456" s="64"/>
      <c r="BE456" s="64"/>
      <c r="BF456" s="64"/>
      <c r="BG456" s="16" t="s">
        <v>675</v>
      </c>
      <c r="BH456" s="64"/>
      <c r="BI456" s="64"/>
      <c r="BJ456" s="64"/>
      <c r="BK456" s="64"/>
      <c r="BL456" s="64"/>
      <c r="BM456" s="64"/>
      <c r="BN456" s="64"/>
      <c r="BO456" s="64"/>
      <c r="BP456" s="64"/>
      <c r="BQ456" s="64"/>
      <c r="BR456" s="64"/>
      <c r="BS456" s="16" t="s">
        <v>675</v>
      </c>
      <c r="BT456" s="65"/>
    </row>
    <row r="457" spans="1:72" ht="18" hidden="1" customHeight="1" x14ac:dyDescent="0.3">
      <c r="A457" s="47" t="s">
        <v>607</v>
      </c>
      <c r="B457" s="48" t="s">
        <v>508</v>
      </c>
      <c r="C457" s="16" t="s">
        <v>2175</v>
      </c>
      <c r="D457" s="49" t="s">
        <v>1397</v>
      </c>
      <c r="E457" s="50">
        <v>38.01</v>
      </c>
      <c r="F457" s="50">
        <v>0</v>
      </c>
      <c r="G457" s="61">
        <v>3</v>
      </c>
      <c r="H457" s="16">
        <v>50</v>
      </c>
      <c r="I457" s="48" t="s">
        <v>1016</v>
      </c>
      <c r="J457" s="16" t="s">
        <v>2386</v>
      </c>
      <c r="K457" s="49">
        <v>50</v>
      </c>
      <c r="L457" s="49">
        <v>50</v>
      </c>
      <c r="M457" s="64"/>
      <c r="N457" s="64"/>
      <c r="O457" s="49" t="str">
        <f t="shared" si="65"/>
        <v>YES</v>
      </c>
      <c r="P457" s="52"/>
      <c r="Q457" s="53">
        <f t="shared" si="66"/>
        <v>5000</v>
      </c>
      <c r="R457" s="54">
        <f t="shared" si="67"/>
        <v>1900.5</v>
      </c>
      <c r="S457" s="55" t="str">
        <f t="shared" si="68"/>
        <v xml:space="preserve"> </v>
      </c>
      <c r="T457" s="56"/>
      <c r="U457" s="57" t="str">
        <f t="shared" si="69"/>
        <v>100µg/100cm²</v>
      </c>
      <c r="V457" s="58">
        <f t="shared" si="70"/>
        <v>1900.5</v>
      </c>
      <c r="W457" s="58" t="str">
        <f t="shared" si="71"/>
        <v xml:space="preserve"> </v>
      </c>
      <c r="X457" s="59" t="str">
        <f t="shared" si="72"/>
        <v/>
      </c>
      <c r="Y457" s="60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16" t="s">
        <v>675</v>
      </c>
      <c r="AT457" s="64"/>
      <c r="AU457" s="16" t="s">
        <v>675</v>
      </c>
      <c r="AV457" s="64"/>
      <c r="AW457" s="16" t="s">
        <v>675</v>
      </c>
      <c r="AX457" s="64"/>
      <c r="AY457" s="64"/>
      <c r="AZ457" s="64"/>
      <c r="BA457" s="16" t="s">
        <v>675</v>
      </c>
      <c r="BB457" s="16" t="s">
        <v>675</v>
      </c>
      <c r="BC457" s="64"/>
      <c r="BD457" s="64"/>
      <c r="BE457" s="64"/>
      <c r="BF457" s="64"/>
      <c r="BG457" s="64"/>
      <c r="BH457" s="64"/>
      <c r="BI457" s="64"/>
      <c r="BJ457" s="64"/>
      <c r="BK457" s="64"/>
      <c r="BL457" s="64"/>
      <c r="BM457" s="64"/>
      <c r="BN457" s="64"/>
      <c r="BO457" s="64"/>
      <c r="BP457" s="64"/>
      <c r="BQ457" s="64"/>
      <c r="BR457" s="64"/>
      <c r="BS457" s="64"/>
      <c r="BT457" s="65"/>
    </row>
    <row r="458" spans="1:72" ht="18" hidden="1" customHeight="1" x14ac:dyDescent="0.3">
      <c r="A458" s="47" t="s">
        <v>218</v>
      </c>
      <c r="B458" s="48" t="s">
        <v>219</v>
      </c>
      <c r="C458" s="16" t="s">
        <v>2176</v>
      </c>
      <c r="D458" s="49" t="s">
        <v>1174</v>
      </c>
      <c r="E458" s="50">
        <v>58.54</v>
      </c>
      <c r="F458" s="50">
        <v>0</v>
      </c>
      <c r="G458" s="61">
        <v>4</v>
      </c>
      <c r="H458" s="16">
        <v>18</v>
      </c>
      <c r="I458" s="48" t="s">
        <v>1016</v>
      </c>
      <c r="J458" s="16" t="s">
        <v>2386</v>
      </c>
      <c r="K458" s="49">
        <v>50</v>
      </c>
      <c r="L458" s="49">
        <v>50</v>
      </c>
      <c r="M458" s="64"/>
      <c r="N458" s="64"/>
      <c r="O458" s="49" t="str">
        <f t="shared" si="65"/>
        <v>YES</v>
      </c>
      <c r="P458" s="52"/>
      <c r="Q458" s="53">
        <f t="shared" si="66"/>
        <v>5000</v>
      </c>
      <c r="R458" s="54">
        <f t="shared" si="67"/>
        <v>2927</v>
      </c>
      <c r="S458" s="55" t="str">
        <f t="shared" si="68"/>
        <v xml:space="preserve"> </v>
      </c>
      <c r="T458" s="56"/>
      <c r="U458" s="57" t="str">
        <f t="shared" si="69"/>
        <v>100µg/100cm²</v>
      </c>
      <c r="V458" s="58">
        <f t="shared" si="70"/>
        <v>2927</v>
      </c>
      <c r="W458" s="58" t="str">
        <f t="shared" si="71"/>
        <v xml:space="preserve"> </v>
      </c>
      <c r="X458" s="59" t="str">
        <f t="shared" si="72"/>
        <v/>
      </c>
      <c r="Y458" s="60"/>
      <c r="Z458" s="16" t="s">
        <v>675</v>
      </c>
      <c r="AA458" s="16" t="s">
        <v>675</v>
      </c>
      <c r="AB458" s="64"/>
      <c r="AC458" s="64"/>
      <c r="AD458" s="16" t="s">
        <v>675</v>
      </c>
      <c r="AE458" s="16" t="s">
        <v>675</v>
      </c>
      <c r="AF458" s="16" t="s">
        <v>675</v>
      </c>
      <c r="AG458" s="64"/>
      <c r="AH458" s="64"/>
      <c r="AI458" s="16" t="s">
        <v>675</v>
      </c>
      <c r="AJ458" s="16" t="s">
        <v>675</v>
      </c>
      <c r="AK458" s="64"/>
      <c r="AL458" s="64"/>
      <c r="AM458" s="16" t="s">
        <v>675</v>
      </c>
      <c r="AN458" s="16" t="s">
        <v>675</v>
      </c>
      <c r="AO458" s="64"/>
      <c r="AP458" s="16" t="s">
        <v>675</v>
      </c>
      <c r="AQ458" s="16" t="s">
        <v>675</v>
      </c>
      <c r="AR458" s="64"/>
      <c r="AS458" s="16" t="s">
        <v>675</v>
      </c>
      <c r="AT458" s="16" t="s">
        <v>675</v>
      </c>
      <c r="AU458" s="16" t="s">
        <v>675</v>
      </c>
      <c r="AV458" s="64"/>
      <c r="AW458" s="16" t="s">
        <v>675</v>
      </c>
      <c r="AX458" s="16" t="s">
        <v>675</v>
      </c>
      <c r="AY458" s="64"/>
      <c r="AZ458" s="64"/>
      <c r="BA458" s="16" t="s">
        <v>675</v>
      </c>
      <c r="BB458" s="16" t="s">
        <v>675</v>
      </c>
      <c r="BC458" s="64"/>
      <c r="BD458" s="64"/>
      <c r="BE458" s="16" t="s">
        <v>675</v>
      </c>
      <c r="BF458" s="64"/>
      <c r="BG458" s="16" t="s">
        <v>675</v>
      </c>
      <c r="BH458" s="64"/>
      <c r="BI458" s="64"/>
      <c r="BJ458" s="64"/>
      <c r="BK458" s="64"/>
      <c r="BL458" s="64"/>
      <c r="BM458" s="64"/>
      <c r="BN458" s="64"/>
      <c r="BO458" s="64"/>
      <c r="BP458" s="64"/>
      <c r="BQ458" s="64"/>
      <c r="BR458" s="64"/>
      <c r="BS458" s="16" t="s">
        <v>675</v>
      </c>
      <c r="BT458" s="65"/>
    </row>
    <row r="459" spans="1:72" ht="18" customHeight="1" x14ac:dyDescent="0.3">
      <c r="A459" s="47" t="s">
        <v>613</v>
      </c>
      <c r="B459" s="48" t="s">
        <v>614</v>
      </c>
      <c r="C459" s="49" t="s">
        <v>1463</v>
      </c>
      <c r="D459" s="16" t="s">
        <v>1011</v>
      </c>
      <c r="E459" s="50">
        <v>0</v>
      </c>
      <c r="F459" s="50">
        <v>0</v>
      </c>
      <c r="G459" s="61">
        <v>1</v>
      </c>
      <c r="H459" s="16" t="s">
        <v>1023</v>
      </c>
      <c r="I459" s="48" t="s">
        <v>1016</v>
      </c>
      <c r="J459" s="16" t="s">
        <v>1464</v>
      </c>
      <c r="K459" s="49">
        <v>800</v>
      </c>
      <c r="L459" s="49">
        <v>7200</v>
      </c>
      <c r="M459" s="62" t="s">
        <v>1027</v>
      </c>
      <c r="N459" s="49" t="s">
        <v>2379</v>
      </c>
      <c r="O459" s="63" t="str">
        <f t="shared" si="65"/>
        <v>NO</v>
      </c>
      <c r="P459" s="52"/>
      <c r="Q459" s="53">
        <f t="shared" si="66"/>
        <v>800</v>
      </c>
      <c r="R459" s="54" t="str">
        <f t="shared" si="67"/>
        <v xml:space="preserve"> </v>
      </c>
      <c r="S459" s="55" t="str">
        <f t="shared" si="68"/>
        <v xml:space="preserve"> </v>
      </c>
      <c r="T459" s="56"/>
      <c r="U459" s="57" t="str">
        <f t="shared" si="69"/>
        <v xml:space="preserve"> </v>
      </c>
      <c r="V459" s="58" t="str">
        <f t="shared" si="70"/>
        <v xml:space="preserve"> </v>
      </c>
      <c r="W459" s="58" t="str">
        <f t="shared" si="71"/>
        <v xml:space="preserve"> </v>
      </c>
      <c r="X459" s="59" t="str">
        <f t="shared" si="72"/>
        <v>Mitigation</v>
      </c>
      <c r="Y459" s="60"/>
      <c r="Z459" s="16" t="s">
        <v>675</v>
      </c>
      <c r="AA459" s="16" t="s">
        <v>675</v>
      </c>
      <c r="AB459" s="64"/>
      <c r="AC459" s="64"/>
      <c r="AD459" s="64"/>
      <c r="AE459" s="16" t="s">
        <v>675</v>
      </c>
      <c r="AF459" s="64"/>
      <c r="AG459" s="64"/>
      <c r="AH459" s="64"/>
      <c r="AI459" s="16" t="s">
        <v>675</v>
      </c>
      <c r="AJ459" s="16" t="s">
        <v>675</v>
      </c>
      <c r="AK459" s="64"/>
      <c r="AL459" s="64"/>
      <c r="AM459" s="16" t="s">
        <v>675</v>
      </c>
      <c r="AN459" s="64"/>
      <c r="AO459" s="64"/>
      <c r="AP459" s="64"/>
      <c r="AQ459" s="64"/>
      <c r="AR459" s="64"/>
      <c r="AS459" s="64"/>
      <c r="AT459" s="64"/>
      <c r="AU459" s="16" t="s">
        <v>675</v>
      </c>
      <c r="AV459" s="16" t="s">
        <v>675</v>
      </c>
      <c r="AW459" s="16" t="s">
        <v>675</v>
      </c>
      <c r="AX459" s="64"/>
      <c r="AY459" s="16" t="s">
        <v>675</v>
      </c>
      <c r="AZ459" s="16" t="s">
        <v>675</v>
      </c>
      <c r="BA459" s="16" t="s">
        <v>675</v>
      </c>
      <c r="BB459" s="16" t="s">
        <v>675</v>
      </c>
      <c r="BC459" s="16" t="s">
        <v>675</v>
      </c>
      <c r="BD459" s="64"/>
      <c r="BE459" s="64"/>
      <c r="BF459" s="64"/>
      <c r="BG459" s="64"/>
      <c r="BH459" s="64"/>
      <c r="BI459" s="64"/>
      <c r="BJ459" s="64"/>
      <c r="BK459" s="64"/>
      <c r="BL459" s="64"/>
      <c r="BM459" s="64"/>
      <c r="BN459" s="64"/>
      <c r="BO459" s="64"/>
      <c r="BP459" s="64"/>
      <c r="BQ459" s="64"/>
      <c r="BR459" s="64"/>
      <c r="BS459" s="64"/>
      <c r="BT459" s="65"/>
    </row>
    <row r="460" spans="1:72" ht="18" hidden="1" customHeight="1" x14ac:dyDescent="0.3">
      <c r="A460" s="81" t="s">
        <v>442</v>
      </c>
      <c r="B460" s="99" t="s">
        <v>443</v>
      </c>
      <c r="C460" s="67" t="s">
        <v>1627</v>
      </c>
      <c r="D460" s="67" t="s">
        <v>1114</v>
      </c>
      <c r="E460" s="50">
        <v>26.2</v>
      </c>
      <c r="F460" s="50">
        <v>0</v>
      </c>
      <c r="G460" s="61">
        <v>2</v>
      </c>
      <c r="H460" s="68">
        <v>500</v>
      </c>
      <c r="I460" s="48" t="s">
        <v>1196</v>
      </c>
      <c r="J460" s="16" t="s">
        <v>1628</v>
      </c>
      <c r="K460" s="49">
        <v>37</v>
      </c>
      <c r="L460" s="49">
        <v>333</v>
      </c>
      <c r="M460" s="62" t="s">
        <v>1284</v>
      </c>
      <c r="N460" s="49" t="s">
        <v>1629</v>
      </c>
      <c r="O460" s="63" t="str">
        <f t="shared" si="65"/>
        <v>NO</v>
      </c>
      <c r="P460" s="52"/>
      <c r="Q460" s="53">
        <f t="shared" si="66"/>
        <v>37</v>
      </c>
      <c r="R460" s="54">
        <f t="shared" si="67"/>
        <v>9.6</v>
      </c>
      <c r="S460" s="55" t="str">
        <f t="shared" si="68"/>
        <v xml:space="preserve"> </v>
      </c>
      <c r="T460" s="56"/>
      <c r="U460" s="57" t="str">
        <f t="shared" si="69"/>
        <v>Mitigation</v>
      </c>
      <c r="V460" s="58">
        <f t="shared" si="70"/>
        <v>9.6</v>
      </c>
      <c r="W460" s="58" t="str">
        <f t="shared" si="71"/>
        <v xml:space="preserve"> </v>
      </c>
      <c r="X460" s="59" t="str">
        <f t="shared" si="72"/>
        <v/>
      </c>
      <c r="Y460" s="60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16" t="s">
        <v>675</v>
      </c>
      <c r="AK460" s="64"/>
      <c r="AL460" s="64"/>
      <c r="AM460" s="16" t="s">
        <v>675</v>
      </c>
      <c r="AN460" s="64"/>
      <c r="AO460" s="64"/>
      <c r="AP460" s="64"/>
      <c r="AQ460" s="64"/>
      <c r="AR460" s="64"/>
      <c r="AS460" s="16" t="s">
        <v>675</v>
      </c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F460" s="64"/>
      <c r="BG460" s="64"/>
      <c r="BH460" s="64"/>
      <c r="BI460" s="64"/>
      <c r="BJ460" s="64"/>
      <c r="BK460" s="64"/>
      <c r="BL460" s="64"/>
      <c r="BM460" s="64"/>
      <c r="BN460" s="64"/>
      <c r="BO460" s="64"/>
      <c r="BP460" s="64"/>
      <c r="BQ460" s="64"/>
      <c r="BR460" s="64"/>
      <c r="BS460" s="64"/>
      <c r="BT460" s="65"/>
    </row>
    <row r="461" spans="1:72" ht="18" hidden="1" customHeight="1" x14ac:dyDescent="0.3">
      <c r="A461" s="77" t="s">
        <v>755</v>
      </c>
      <c r="B461" s="134" t="s">
        <v>756</v>
      </c>
      <c r="C461" s="16" t="s">
        <v>2177</v>
      </c>
      <c r="D461" s="49" t="s">
        <v>1163</v>
      </c>
      <c r="E461" s="50">
        <v>61.43</v>
      </c>
      <c r="F461" s="50">
        <v>0</v>
      </c>
      <c r="G461" s="61">
        <v>2</v>
      </c>
      <c r="H461" s="16">
        <v>293</v>
      </c>
      <c r="I461" s="135" t="s">
        <v>1016</v>
      </c>
      <c r="J461" s="16" t="s">
        <v>2386</v>
      </c>
      <c r="K461" s="49">
        <v>50</v>
      </c>
      <c r="L461" s="49">
        <v>50</v>
      </c>
      <c r="M461" s="64"/>
      <c r="N461" s="64"/>
      <c r="O461" s="49" t="str">
        <f t="shared" si="65"/>
        <v>YES</v>
      </c>
      <c r="P461" s="52"/>
      <c r="Q461" s="53">
        <f t="shared" si="66"/>
        <v>5000</v>
      </c>
      <c r="R461" s="54">
        <f t="shared" si="67"/>
        <v>3071.5</v>
      </c>
      <c r="S461" s="55" t="str">
        <f t="shared" si="68"/>
        <v xml:space="preserve"> </v>
      </c>
      <c r="T461" s="56"/>
      <c r="U461" s="57" t="str">
        <f t="shared" si="69"/>
        <v>100µg/100cm²</v>
      </c>
      <c r="V461" s="58">
        <f t="shared" si="70"/>
        <v>3071.5</v>
      </c>
      <c r="W461" s="58" t="str">
        <f t="shared" si="71"/>
        <v xml:space="preserve"> </v>
      </c>
      <c r="X461" s="59" t="str">
        <f t="shared" si="72"/>
        <v/>
      </c>
      <c r="Y461" s="60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/>
      <c r="BD461" s="64"/>
      <c r="BE461" s="16" t="s">
        <v>675</v>
      </c>
      <c r="BF461" s="64"/>
      <c r="BG461" s="64"/>
      <c r="BH461" s="64"/>
      <c r="BI461" s="64"/>
      <c r="BJ461" s="64"/>
      <c r="BK461" s="64"/>
      <c r="BL461" s="64"/>
      <c r="BM461" s="64"/>
      <c r="BN461" s="64"/>
      <c r="BO461" s="64"/>
      <c r="BP461" s="64"/>
      <c r="BQ461" s="64"/>
      <c r="BR461" s="64"/>
      <c r="BS461" s="16" t="s">
        <v>675</v>
      </c>
      <c r="BT461" s="65"/>
    </row>
    <row r="462" spans="1:72" ht="18" hidden="1" customHeight="1" x14ac:dyDescent="0.3">
      <c r="A462" s="66" t="s">
        <v>1711</v>
      </c>
      <c r="B462" s="69" t="s">
        <v>1712</v>
      </c>
      <c r="C462" s="67" t="s">
        <v>2178</v>
      </c>
      <c r="D462" s="16" t="s">
        <v>1795</v>
      </c>
      <c r="E462" s="50">
        <v>64.2</v>
      </c>
      <c r="F462" s="50">
        <v>0</v>
      </c>
      <c r="G462" s="61">
        <v>3</v>
      </c>
      <c r="H462" s="16" t="s">
        <v>1263</v>
      </c>
      <c r="I462" s="70" t="s">
        <v>1474</v>
      </c>
      <c r="J462" s="16" t="s">
        <v>1656</v>
      </c>
      <c r="K462" s="49">
        <v>24</v>
      </c>
      <c r="L462" s="49">
        <v>216</v>
      </c>
      <c r="M462" s="49" t="s">
        <v>1014</v>
      </c>
      <c r="N462" s="51"/>
      <c r="O462" s="49" t="str">
        <f t="shared" si="65"/>
        <v>YES</v>
      </c>
      <c r="P462" s="52"/>
      <c r="Q462" s="53">
        <f t="shared" si="66"/>
        <v>4380</v>
      </c>
      <c r="R462" s="54">
        <f t="shared" si="67"/>
        <v>2811.9</v>
      </c>
      <c r="S462" s="55" t="str">
        <f t="shared" si="68"/>
        <v xml:space="preserve"> </v>
      </c>
      <c r="T462" s="56"/>
      <c r="U462" s="57" t="str">
        <f t="shared" si="69"/>
        <v>100µg/100cm²</v>
      </c>
      <c r="V462" s="58">
        <f t="shared" si="70"/>
        <v>2811.9</v>
      </c>
      <c r="W462" s="58" t="str">
        <f t="shared" si="71"/>
        <v xml:space="preserve"> </v>
      </c>
      <c r="X462" s="59" t="str">
        <f t="shared" si="72"/>
        <v/>
      </c>
      <c r="Y462" s="60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/>
      <c r="AY462" s="16" t="s">
        <v>675</v>
      </c>
      <c r="AZ462" s="16" t="s">
        <v>675</v>
      </c>
      <c r="BA462" s="16" t="s">
        <v>675</v>
      </c>
      <c r="BB462" s="16" t="s">
        <v>675</v>
      </c>
      <c r="BC462" s="64"/>
      <c r="BD462" s="64"/>
      <c r="BE462" s="64"/>
      <c r="BF462" s="64"/>
      <c r="BG462" s="64"/>
      <c r="BH462" s="64"/>
      <c r="BI462" s="64"/>
      <c r="BJ462" s="64"/>
      <c r="BK462" s="64"/>
      <c r="BL462" s="64"/>
      <c r="BM462" s="64"/>
      <c r="BN462" s="64"/>
      <c r="BO462" s="64"/>
      <c r="BP462" s="64"/>
      <c r="BQ462" s="64"/>
      <c r="BR462" s="64"/>
      <c r="BS462" s="64"/>
      <c r="BT462" s="65"/>
    </row>
    <row r="463" spans="1:72" ht="18" hidden="1" customHeight="1" x14ac:dyDescent="0.3">
      <c r="A463" s="47" t="s">
        <v>1653</v>
      </c>
      <c r="B463" s="48" t="s">
        <v>1654</v>
      </c>
      <c r="C463" s="49" t="s">
        <v>2179</v>
      </c>
      <c r="D463" s="16" t="s">
        <v>1163</v>
      </c>
      <c r="E463" s="50">
        <v>66.2</v>
      </c>
      <c r="F463" s="50">
        <v>0</v>
      </c>
      <c r="G463" s="61">
        <v>5</v>
      </c>
      <c r="H463" s="16" t="s">
        <v>1655</v>
      </c>
      <c r="I463" s="70" t="s">
        <v>1474</v>
      </c>
      <c r="J463" s="16" t="s">
        <v>1656</v>
      </c>
      <c r="K463" s="49">
        <v>24</v>
      </c>
      <c r="L463" s="49">
        <v>216</v>
      </c>
      <c r="M463" s="49" t="s">
        <v>1014</v>
      </c>
      <c r="N463" s="51"/>
      <c r="O463" s="49" t="str">
        <f t="shared" si="65"/>
        <v>YES</v>
      </c>
      <c r="P463" s="52"/>
      <c r="Q463" s="53">
        <f t="shared" si="66"/>
        <v>4380</v>
      </c>
      <c r="R463" s="54">
        <f t="shared" si="67"/>
        <v>2899.5</v>
      </c>
      <c r="S463" s="55" t="str">
        <f t="shared" si="68"/>
        <v xml:space="preserve"> </v>
      </c>
      <c r="T463" s="56"/>
      <c r="U463" s="57" t="str">
        <f t="shared" si="69"/>
        <v>100µg/100cm²</v>
      </c>
      <c r="V463" s="58">
        <f t="shared" si="70"/>
        <v>2899.5</v>
      </c>
      <c r="W463" s="58" t="str">
        <f t="shared" si="71"/>
        <v xml:space="preserve"> </v>
      </c>
      <c r="X463" s="59" t="str">
        <f t="shared" si="72"/>
        <v/>
      </c>
      <c r="Y463" s="60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AV463" s="64"/>
      <c r="AW463" s="64"/>
      <c r="AX463" s="64"/>
      <c r="AY463" s="16" t="s">
        <v>675</v>
      </c>
      <c r="AZ463" s="16" t="s">
        <v>675</v>
      </c>
      <c r="BA463" s="16" t="s">
        <v>675</v>
      </c>
      <c r="BB463" s="16" t="s">
        <v>675</v>
      </c>
      <c r="BC463" s="16" t="s">
        <v>675</v>
      </c>
      <c r="BD463" s="64"/>
      <c r="BE463" s="64"/>
      <c r="BF463" s="64"/>
      <c r="BG463" s="64"/>
      <c r="BH463" s="64"/>
      <c r="BI463" s="64"/>
      <c r="BJ463" s="64"/>
      <c r="BK463" s="64"/>
      <c r="BL463" s="64"/>
      <c r="BM463" s="64"/>
      <c r="BN463" s="64"/>
      <c r="BO463" s="64"/>
      <c r="BP463" s="64"/>
      <c r="BQ463" s="64"/>
      <c r="BR463" s="64"/>
      <c r="BS463" s="64"/>
      <c r="BT463" s="65"/>
    </row>
    <row r="464" spans="1:72" ht="18" hidden="1" customHeight="1" x14ac:dyDescent="0.3">
      <c r="A464" s="47" t="s">
        <v>361</v>
      </c>
      <c r="B464" s="48" t="s">
        <v>362</v>
      </c>
      <c r="C464" s="16" t="s">
        <v>1249</v>
      </c>
      <c r="D464" s="49" t="s">
        <v>1247</v>
      </c>
      <c r="E464" s="50">
        <v>32.43</v>
      </c>
      <c r="F464" s="50">
        <v>0</v>
      </c>
      <c r="G464" s="61">
        <v>7</v>
      </c>
      <c r="H464" s="68" t="s">
        <v>1250</v>
      </c>
      <c r="I464" s="48" t="s">
        <v>1016</v>
      </c>
      <c r="J464" s="16" t="s">
        <v>1251</v>
      </c>
      <c r="K464" s="49">
        <v>316</v>
      </c>
      <c r="L464" s="49">
        <v>2844</v>
      </c>
      <c r="M464" s="62" t="s">
        <v>1014</v>
      </c>
      <c r="N464" s="51"/>
      <c r="O464" s="49" t="str">
        <f t="shared" si="65"/>
        <v>YES</v>
      </c>
      <c r="P464" s="52"/>
      <c r="Q464" s="53">
        <f t="shared" si="66"/>
        <v>5000</v>
      </c>
      <c r="R464" s="54">
        <f t="shared" si="67"/>
        <v>1621.5</v>
      </c>
      <c r="S464" s="55" t="str">
        <f t="shared" si="68"/>
        <v xml:space="preserve"> </v>
      </c>
      <c r="T464" s="56"/>
      <c r="U464" s="57" t="str">
        <f t="shared" si="69"/>
        <v>100µg/100cm²</v>
      </c>
      <c r="V464" s="58">
        <f t="shared" si="70"/>
        <v>1621.5</v>
      </c>
      <c r="W464" s="58" t="str">
        <f t="shared" si="71"/>
        <v xml:space="preserve"> </v>
      </c>
      <c r="X464" s="59" t="str">
        <f t="shared" si="72"/>
        <v/>
      </c>
      <c r="Y464" s="60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16" t="s">
        <v>675</v>
      </c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  <c r="BB464" s="64"/>
      <c r="BC464" s="64"/>
      <c r="BD464" s="64"/>
      <c r="BE464" s="64"/>
      <c r="BF464" s="64"/>
      <c r="BG464" s="64"/>
      <c r="BH464" s="64"/>
      <c r="BI464" s="64"/>
      <c r="BJ464" s="64"/>
      <c r="BK464" s="64"/>
      <c r="BL464" s="64"/>
      <c r="BM464" s="64"/>
      <c r="BN464" s="64"/>
      <c r="BO464" s="64"/>
      <c r="BP464" s="64"/>
      <c r="BQ464" s="64"/>
      <c r="BR464" s="64"/>
      <c r="BS464" s="64"/>
      <c r="BT464" s="65"/>
    </row>
    <row r="465" spans="1:72" ht="18" hidden="1" customHeight="1" x14ac:dyDescent="0.3">
      <c r="A465" s="47" t="s">
        <v>321</v>
      </c>
      <c r="B465" s="49" t="s">
        <v>322</v>
      </c>
      <c r="C465" s="16" t="s">
        <v>1595</v>
      </c>
      <c r="D465" s="83" t="s">
        <v>1305</v>
      </c>
      <c r="E465" s="50">
        <v>53.3</v>
      </c>
      <c r="F465" s="50">
        <v>0</v>
      </c>
      <c r="G465" s="61">
        <v>7</v>
      </c>
      <c r="H465" s="16" t="s">
        <v>1105</v>
      </c>
      <c r="I465" s="48" t="s">
        <v>1016</v>
      </c>
      <c r="J465" s="16" t="s">
        <v>2386</v>
      </c>
      <c r="K465" s="49">
        <v>50</v>
      </c>
      <c r="L465" s="49">
        <v>50</v>
      </c>
      <c r="M465" s="64"/>
      <c r="N465" s="64"/>
      <c r="O465" s="49" t="str">
        <f t="shared" si="65"/>
        <v>YES</v>
      </c>
      <c r="P465" s="52"/>
      <c r="Q465" s="53">
        <f t="shared" si="66"/>
        <v>5000</v>
      </c>
      <c r="R465" s="54">
        <f t="shared" si="67"/>
        <v>2665</v>
      </c>
      <c r="S465" s="55" t="str">
        <f t="shared" si="68"/>
        <v xml:space="preserve"> </v>
      </c>
      <c r="T465" s="56"/>
      <c r="U465" s="57" t="str">
        <f t="shared" si="69"/>
        <v>100µg/100cm²</v>
      </c>
      <c r="V465" s="58">
        <f t="shared" si="70"/>
        <v>2665</v>
      </c>
      <c r="W465" s="58" t="str">
        <f t="shared" si="71"/>
        <v xml:space="preserve"> </v>
      </c>
      <c r="X465" s="59" t="str">
        <f t="shared" si="72"/>
        <v/>
      </c>
      <c r="Y465" s="60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16" t="s">
        <v>675</v>
      </c>
      <c r="AK465" s="64"/>
      <c r="AL465" s="64"/>
      <c r="AM465" s="16" t="s">
        <v>675</v>
      </c>
      <c r="AN465" s="64"/>
      <c r="AO465" s="64"/>
      <c r="AP465" s="64"/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  <c r="BB465" s="64"/>
      <c r="BC465" s="64"/>
      <c r="BD465" s="64"/>
      <c r="BE465" s="64"/>
      <c r="BF465" s="64"/>
      <c r="BG465" s="64"/>
      <c r="BH465" s="64"/>
      <c r="BI465" s="64"/>
      <c r="BJ465" s="64"/>
      <c r="BK465" s="64"/>
      <c r="BL465" s="64"/>
      <c r="BM465" s="64"/>
      <c r="BN465" s="64"/>
      <c r="BO465" s="64"/>
      <c r="BP465" s="64"/>
      <c r="BQ465" s="64"/>
      <c r="BR465" s="64"/>
      <c r="BS465" s="64"/>
      <c r="BT465" s="65"/>
    </row>
    <row r="466" spans="1:72" ht="18" hidden="1" customHeight="1" x14ac:dyDescent="0.3">
      <c r="A466" s="47" t="s">
        <v>117</v>
      </c>
      <c r="B466" s="49" t="s">
        <v>118</v>
      </c>
      <c r="C466" s="16" t="s">
        <v>1595</v>
      </c>
      <c r="D466" s="83" t="s">
        <v>1305</v>
      </c>
      <c r="E466" s="50">
        <v>53.3</v>
      </c>
      <c r="F466" s="50">
        <v>0</v>
      </c>
      <c r="G466" s="61">
        <v>7</v>
      </c>
      <c r="H466" s="16" t="s">
        <v>1105</v>
      </c>
      <c r="I466" s="48" t="s">
        <v>1016</v>
      </c>
      <c r="J466" s="16" t="s">
        <v>2386</v>
      </c>
      <c r="K466" s="49">
        <v>50</v>
      </c>
      <c r="L466" s="49">
        <v>50</v>
      </c>
      <c r="M466" s="64"/>
      <c r="N466" s="64"/>
      <c r="O466" s="49" t="str">
        <f t="shared" si="65"/>
        <v>YES</v>
      </c>
      <c r="P466" s="52"/>
      <c r="Q466" s="53">
        <f t="shared" si="66"/>
        <v>5000</v>
      </c>
      <c r="R466" s="54">
        <f t="shared" si="67"/>
        <v>2665</v>
      </c>
      <c r="S466" s="55" t="str">
        <f t="shared" si="68"/>
        <v xml:space="preserve"> </v>
      </c>
      <c r="T466" s="56"/>
      <c r="U466" s="57" t="str">
        <f t="shared" si="69"/>
        <v>100µg/100cm²</v>
      </c>
      <c r="V466" s="58">
        <f t="shared" si="70"/>
        <v>2665</v>
      </c>
      <c r="W466" s="58" t="str">
        <f t="shared" si="71"/>
        <v xml:space="preserve"> </v>
      </c>
      <c r="X466" s="59" t="str">
        <f t="shared" si="72"/>
        <v/>
      </c>
      <c r="Y466" s="60"/>
      <c r="Z466" s="64"/>
      <c r="AA466" s="64"/>
      <c r="AB466" s="64"/>
      <c r="AC466" s="16" t="s">
        <v>675</v>
      </c>
      <c r="AD466" s="16" t="s">
        <v>675</v>
      </c>
      <c r="AE466" s="64"/>
      <c r="AF466" s="64"/>
      <c r="AG466" s="64"/>
      <c r="AH466" s="64"/>
      <c r="AI466" s="64"/>
      <c r="AJ466" s="64"/>
      <c r="AK466" s="64"/>
      <c r="AL466" s="64"/>
      <c r="AM466" s="16" t="s">
        <v>675</v>
      </c>
      <c r="AN466" s="64"/>
      <c r="AO466" s="64"/>
      <c r="AP466" s="64"/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  <c r="BB466" s="64"/>
      <c r="BC466" s="64"/>
      <c r="BD466" s="64"/>
      <c r="BE466" s="64"/>
      <c r="BF466" s="64"/>
      <c r="BG466" s="64"/>
      <c r="BH466" s="64"/>
      <c r="BI466" s="64"/>
      <c r="BJ466" s="64"/>
      <c r="BK466" s="64"/>
      <c r="BL466" s="64"/>
      <c r="BM466" s="64"/>
      <c r="BN466" s="64"/>
      <c r="BO466" s="64"/>
      <c r="BP466" s="64"/>
      <c r="BQ466" s="64"/>
      <c r="BR466" s="64"/>
      <c r="BS466" s="64"/>
      <c r="BT466" s="65"/>
    </row>
    <row r="467" spans="1:72" ht="18" hidden="1" customHeight="1" x14ac:dyDescent="0.3">
      <c r="A467" s="47" t="s">
        <v>683</v>
      </c>
      <c r="B467" s="48" t="s">
        <v>684</v>
      </c>
      <c r="C467" s="16" t="s">
        <v>2180</v>
      </c>
      <c r="D467" s="49" t="s">
        <v>1104</v>
      </c>
      <c r="E467" s="50">
        <v>76.5</v>
      </c>
      <c r="F467" s="50">
        <v>0</v>
      </c>
      <c r="G467" s="61">
        <v>7</v>
      </c>
      <c r="H467" s="16" t="s">
        <v>1105</v>
      </c>
      <c r="I467" s="48" t="s">
        <v>1016</v>
      </c>
      <c r="J467" s="16" t="s">
        <v>1108</v>
      </c>
      <c r="K467" s="49">
        <v>30200</v>
      </c>
      <c r="L467" s="49">
        <v>271800</v>
      </c>
      <c r="M467" s="62" t="s">
        <v>1014</v>
      </c>
      <c r="N467" s="51"/>
      <c r="O467" s="49" t="str">
        <f t="shared" si="65"/>
        <v>YES</v>
      </c>
      <c r="P467" s="52"/>
      <c r="Q467" s="53">
        <f t="shared" si="66"/>
        <v>5000</v>
      </c>
      <c r="R467" s="54">
        <f t="shared" si="67"/>
        <v>3825</v>
      </c>
      <c r="S467" s="55" t="str">
        <f t="shared" si="68"/>
        <v xml:space="preserve"> </v>
      </c>
      <c r="T467" s="56"/>
      <c r="U467" s="57" t="str">
        <f t="shared" si="69"/>
        <v>100µg/100cm²</v>
      </c>
      <c r="V467" s="58">
        <f t="shared" si="70"/>
        <v>3825</v>
      </c>
      <c r="W467" s="58" t="str">
        <f t="shared" si="71"/>
        <v xml:space="preserve"> </v>
      </c>
      <c r="X467" s="59" t="str">
        <f t="shared" si="72"/>
        <v/>
      </c>
      <c r="Y467" s="60"/>
      <c r="Z467" s="64"/>
      <c r="AA467" s="64"/>
      <c r="AB467" s="64"/>
      <c r="AC467" s="16" t="s">
        <v>675</v>
      </c>
      <c r="AD467" s="16" t="s">
        <v>675</v>
      </c>
      <c r="AE467" s="64"/>
      <c r="AF467" s="64"/>
      <c r="AG467" s="64"/>
      <c r="AH467" s="64"/>
      <c r="AI467" s="64"/>
      <c r="AJ467" s="64"/>
      <c r="AK467" s="64"/>
      <c r="AL467" s="64"/>
      <c r="AM467" s="16" t="s">
        <v>675</v>
      </c>
      <c r="AN467" s="64"/>
      <c r="AO467" s="64"/>
      <c r="AP467" s="64"/>
      <c r="AQ467" s="64"/>
      <c r="AR467" s="64"/>
      <c r="AS467" s="64"/>
      <c r="AT467" s="64"/>
      <c r="AU467" s="64"/>
      <c r="AV467" s="64"/>
      <c r="AW467" s="64"/>
      <c r="AX467" s="64"/>
      <c r="AY467" s="64"/>
      <c r="AZ467" s="64"/>
      <c r="BA467" s="64"/>
      <c r="BB467" s="64"/>
      <c r="BC467" s="64"/>
      <c r="BD467" s="64"/>
      <c r="BE467" s="64"/>
      <c r="BF467" s="64"/>
      <c r="BG467" s="64"/>
      <c r="BH467" s="64"/>
      <c r="BI467" s="64"/>
      <c r="BJ467" s="64"/>
      <c r="BK467" s="64"/>
      <c r="BL467" s="64"/>
      <c r="BM467" s="64"/>
      <c r="BN467" s="64"/>
      <c r="BO467" s="64"/>
      <c r="BP467" s="64"/>
      <c r="BQ467" s="64"/>
      <c r="BR467" s="64"/>
      <c r="BS467" s="64"/>
      <c r="BT467" s="65"/>
    </row>
    <row r="468" spans="1:72" ht="18" hidden="1" customHeight="1" x14ac:dyDescent="0.3">
      <c r="A468" s="81" t="s">
        <v>927</v>
      </c>
      <c r="B468" s="76" t="s">
        <v>459</v>
      </c>
      <c r="C468" s="16" t="s">
        <v>1501</v>
      </c>
      <c r="D468" s="16" t="s">
        <v>1490</v>
      </c>
      <c r="E468" s="50">
        <v>50</v>
      </c>
      <c r="F468" s="50">
        <v>0</v>
      </c>
      <c r="G468" s="16">
        <v>1</v>
      </c>
      <c r="H468" s="16" t="s">
        <v>1023</v>
      </c>
      <c r="I468" s="16" t="s">
        <v>1016</v>
      </c>
      <c r="J468" s="16" t="s">
        <v>2382</v>
      </c>
      <c r="K468" s="16">
        <v>50</v>
      </c>
      <c r="L468" s="16">
        <v>50</v>
      </c>
      <c r="M468" s="64"/>
      <c r="N468" s="64"/>
      <c r="O468" s="49" t="str">
        <f t="shared" si="65"/>
        <v>YES</v>
      </c>
      <c r="P468" s="52"/>
      <c r="Q468" s="53">
        <f t="shared" si="66"/>
        <v>5000</v>
      </c>
      <c r="R468" s="54">
        <f t="shared" si="67"/>
        <v>2500</v>
      </c>
      <c r="S468" s="55" t="str">
        <f t="shared" si="68"/>
        <v xml:space="preserve"> </v>
      </c>
      <c r="T468" s="56"/>
      <c r="U468" s="57" t="str">
        <f t="shared" si="69"/>
        <v>100µg/100cm²</v>
      </c>
      <c r="V468" s="58">
        <f t="shared" si="70"/>
        <v>2500</v>
      </c>
      <c r="W468" s="58" t="str">
        <f t="shared" si="71"/>
        <v xml:space="preserve"> </v>
      </c>
      <c r="X468" s="59" t="str">
        <f t="shared" si="72"/>
        <v/>
      </c>
      <c r="Y468" s="60"/>
      <c r="Z468" s="64"/>
      <c r="AA468" s="64"/>
      <c r="AB468" s="64"/>
      <c r="AC468" s="64"/>
      <c r="AD468" s="64"/>
      <c r="AE468" s="16" t="s">
        <v>675</v>
      </c>
      <c r="AF468" s="64"/>
      <c r="AG468" s="64"/>
      <c r="AH468" s="64"/>
      <c r="AI468" s="64"/>
      <c r="AJ468" s="64"/>
      <c r="AK468" s="64"/>
      <c r="AL468" s="64"/>
      <c r="AM468" s="16" t="s">
        <v>675</v>
      </c>
      <c r="AN468" s="64"/>
      <c r="AO468" s="64"/>
      <c r="AP468" s="64"/>
      <c r="AQ468" s="64"/>
      <c r="AR468" s="64"/>
      <c r="AS468" s="64"/>
      <c r="AT468" s="64"/>
      <c r="AU468" s="82"/>
      <c r="AV468" s="82"/>
      <c r="AW468" s="82"/>
      <c r="AX468" s="64"/>
      <c r="AY468" s="64"/>
      <c r="AZ468" s="64"/>
      <c r="BA468" s="64"/>
      <c r="BB468" s="64"/>
      <c r="BC468" s="64"/>
      <c r="BD468" s="64"/>
      <c r="BE468" s="64"/>
      <c r="BF468" s="64"/>
      <c r="BG468" s="64"/>
      <c r="BH468" s="64"/>
      <c r="BI468" s="64"/>
      <c r="BJ468" s="64"/>
      <c r="BK468" s="64"/>
      <c r="BL468" s="64"/>
      <c r="BM468" s="64"/>
      <c r="BN468" s="64"/>
      <c r="BO468" s="64"/>
      <c r="BP468" s="64"/>
      <c r="BQ468" s="64"/>
      <c r="BR468" s="64"/>
      <c r="BS468" s="64"/>
      <c r="BT468" s="65"/>
    </row>
    <row r="469" spans="1:72" ht="18" hidden="1" customHeight="1" x14ac:dyDescent="0.3">
      <c r="A469" s="81" t="s">
        <v>928</v>
      </c>
      <c r="B469" s="76" t="s">
        <v>459</v>
      </c>
      <c r="C469" s="16" t="s">
        <v>1501</v>
      </c>
      <c r="D469" s="16" t="s">
        <v>1490</v>
      </c>
      <c r="E469" s="50">
        <v>50</v>
      </c>
      <c r="F469" s="50">
        <v>0</v>
      </c>
      <c r="G469" s="16">
        <v>1</v>
      </c>
      <c r="H469" s="16" t="s">
        <v>1023</v>
      </c>
      <c r="I469" s="16" t="s">
        <v>1016</v>
      </c>
      <c r="J469" s="16" t="s">
        <v>2382</v>
      </c>
      <c r="K469" s="16">
        <v>50</v>
      </c>
      <c r="L469" s="16">
        <v>50</v>
      </c>
      <c r="M469" s="64"/>
      <c r="N469" s="64"/>
      <c r="O469" s="49" t="str">
        <f t="shared" si="65"/>
        <v>YES</v>
      </c>
      <c r="P469" s="52"/>
      <c r="Q469" s="53">
        <f t="shared" si="66"/>
        <v>5000</v>
      </c>
      <c r="R469" s="54">
        <f t="shared" si="67"/>
        <v>2500</v>
      </c>
      <c r="S469" s="55" t="str">
        <f t="shared" si="68"/>
        <v xml:space="preserve"> </v>
      </c>
      <c r="T469" s="56"/>
      <c r="U469" s="57" t="str">
        <f t="shared" si="69"/>
        <v>100µg/100cm²</v>
      </c>
      <c r="V469" s="58">
        <f t="shared" si="70"/>
        <v>2500</v>
      </c>
      <c r="W469" s="58" t="str">
        <f t="shared" si="71"/>
        <v xml:space="preserve"> </v>
      </c>
      <c r="X469" s="59" t="str">
        <f t="shared" si="72"/>
        <v/>
      </c>
      <c r="Y469" s="60"/>
      <c r="Z469" s="64"/>
      <c r="AA469" s="64"/>
      <c r="AB469" s="64"/>
      <c r="AC469" s="64"/>
      <c r="AD469" s="64"/>
      <c r="AE469" s="16" t="s">
        <v>675</v>
      </c>
      <c r="AF469" s="64"/>
      <c r="AG469" s="64"/>
      <c r="AH469" s="64"/>
      <c r="AI469" s="64"/>
      <c r="AJ469" s="64"/>
      <c r="AK469" s="64"/>
      <c r="AL469" s="64"/>
      <c r="AM469" s="16" t="s">
        <v>675</v>
      </c>
      <c r="AN469" s="64"/>
      <c r="AO469" s="64"/>
      <c r="AP469" s="64"/>
      <c r="AQ469" s="64"/>
      <c r="AR469" s="64"/>
      <c r="AS469" s="64"/>
      <c r="AT469" s="64"/>
      <c r="AU469" s="83" t="s">
        <v>675</v>
      </c>
      <c r="AV469" s="83" t="s">
        <v>675</v>
      </c>
      <c r="AW469" s="16" t="s">
        <v>675</v>
      </c>
      <c r="AX469" s="64"/>
      <c r="AY469" s="64"/>
      <c r="AZ469" s="64"/>
      <c r="BA469" s="64"/>
      <c r="BB469" s="64"/>
      <c r="BC469" s="64"/>
      <c r="BD469" s="64"/>
      <c r="BE469" s="64"/>
      <c r="BF469" s="64"/>
      <c r="BG469" s="64"/>
      <c r="BH469" s="64"/>
      <c r="BI469" s="64"/>
      <c r="BJ469" s="64"/>
      <c r="BK469" s="64"/>
      <c r="BL469" s="64"/>
      <c r="BM469" s="64"/>
      <c r="BN469" s="64"/>
      <c r="BO469" s="64"/>
      <c r="BP469" s="64"/>
      <c r="BQ469" s="64"/>
      <c r="BR469" s="64"/>
      <c r="BS469" s="64"/>
      <c r="BT469" s="65"/>
    </row>
    <row r="470" spans="1:72" ht="18" hidden="1" customHeight="1" x14ac:dyDescent="0.3">
      <c r="A470" s="81" t="s">
        <v>929</v>
      </c>
      <c r="B470" s="76" t="s">
        <v>459</v>
      </c>
      <c r="C470" s="16" t="s">
        <v>1501</v>
      </c>
      <c r="D470" s="16" t="s">
        <v>1490</v>
      </c>
      <c r="E470" s="50">
        <v>50</v>
      </c>
      <c r="F470" s="50">
        <v>0</v>
      </c>
      <c r="G470" s="16">
        <v>1</v>
      </c>
      <c r="H470" s="16" t="s">
        <v>1023</v>
      </c>
      <c r="I470" s="16" t="s">
        <v>1016</v>
      </c>
      <c r="J470" s="16" t="s">
        <v>2382</v>
      </c>
      <c r="K470" s="16">
        <v>50</v>
      </c>
      <c r="L470" s="16">
        <v>50</v>
      </c>
      <c r="M470" s="64"/>
      <c r="N470" s="64"/>
      <c r="O470" s="49" t="str">
        <f t="shared" si="65"/>
        <v>YES</v>
      </c>
      <c r="P470" s="52"/>
      <c r="Q470" s="53">
        <f t="shared" si="66"/>
        <v>5000</v>
      </c>
      <c r="R470" s="54">
        <f t="shared" si="67"/>
        <v>2500</v>
      </c>
      <c r="S470" s="55" t="str">
        <f t="shared" si="68"/>
        <v xml:space="preserve"> </v>
      </c>
      <c r="T470" s="56"/>
      <c r="U470" s="57" t="str">
        <f t="shared" si="69"/>
        <v>100µg/100cm²</v>
      </c>
      <c r="V470" s="58">
        <f t="shared" si="70"/>
        <v>2500</v>
      </c>
      <c r="W470" s="58" t="str">
        <f t="shared" si="71"/>
        <v xml:space="preserve"> </v>
      </c>
      <c r="X470" s="59" t="str">
        <f t="shared" si="72"/>
        <v/>
      </c>
      <c r="Y470" s="60"/>
      <c r="Z470" s="64"/>
      <c r="AA470" s="64"/>
      <c r="AB470" s="64"/>
      <c r="AC470" s="64"/>
      <c r="AD470" s="64"/>
      <c r="AE470" s="16" t="s">
        <v>675</v>
      </c>
      <c r="AF470" s="64"/>
      <c r="AG470" s="64"/>
      <c r="AH470" s="64"/>
      <c r="AI470" s="64"/>
      <c r="AJ470" s="64"/>
      <c r="AK470" s="64"/>
      <c r="AL470" s="64"/>
      <c r="AM470" s="16" t="s">
        <v>675</v>
      </c>
      <c r="AN470" s="64"/>
      <c r="AO470" s="64"/>
      <c r="AP470" s="64"/>
      <c r="AQ470" s="64"/>
      <c r="AR470" s="64"/>
      <c r="AS470" s="64"/>
      <c r="AT470" s="64"/>
      <c r="AU470" s="83" t="s">
        <v>675</v>
      </c>
      <c r="AV470" s="83" t="s">
        <v>675</v>
      </c>
      <c r="AW470" s="16" t="s">
        <v>675</v>
      </c>
      <c r="AX470" s="64"/>
      <c r="AY470" s="64"/>
      <c r="AZ470" s="64"/>
      <c r="BA470" s="64"/>
      <c r="BB470" s="64"/>
      <c r="BC470" s="64"/>
      <c r="BD470" s="64"/>
      <c r="BE470" s="64"/>
      <c r="BF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  <c r="BQ470" s="64"/>
      <c r="BR470" s="64"/>
      <c r="BS470" s="64"/>
      <c r="BT470" s="65"/>
    </row>
    <row r="471" spans="1:72" ht="18" hidden="1" customHeight="1" x14ac:dyDescent="0.3">
      <c r="A471" s="81" t="s">
        <v>930</v>
      </c>
      <c r="B471" s="76" t="s">
        <v>459</v>
      </c>
      <c r="C471" s="16" t="s">
        <v>1501</v>
      </c>
      <c r="D471" s="16" t="s">
        <v>1490</v>
      </c>
      <c r="E471" s="50">
        <v>50</v>
      </c>
      <c r="F471" s="50">
        <v>0</v>
      </c>
      <c r="G471" s="16">
        <v>1</v>
      </c>
      <c r="H471" s="16" t="s">
        <v>1023</v>
      </c>
      <c r="I471" s="16" t="s">
        <v>1016</v>
      </c>
      <c r="J471" s="16" t="s">
        <v>2382</v>
      </c>
      <c r="K471" s="16">
        <v>50</v>
      </c>
      <c r="L471" s="16">
        <v>50</v>
      </c>
      <c r="M471" s="64"/>
      <c r="N471" s="64"/>
      <c r="O471" s="49" t="str">
        <f t="shared" si="65"/>
        <v>YES</v>
      </c>
      <c r="P471" s="52"/>
      <c r="Q471" s="53">
        <f t="shared" si="66"/>
        <v>5000</v>
      </c>
      <c r="R471" s="54">
        <f t="shared" si="67"/>
        <v>2500</v>
      </c>
      <c r="S471" s="55" t="str">
        <f t="shared" si="68"/>
        <v xml:space="preserve"> </v>
      </c>
      <c r="T471" s="56"/>
      <c r="U471" s="57" t="str">
        <f t="shared" si="69"/>
        <v>100µg/100cm²</v>
      </c>
      <c r="V471" s="58">
        <f t="shared" si="70"/>
        <v>2500</v>
      </c>
      <c r="W471" s="58" t="str">
        <f t="shared" si="71"/>
        <v xml:space="preserve"> </v>
      </c>
      <c r="X471" s="59" t="str">
        <f t="shared" si="72"/>
        <v/>
      </c>
      <c r="Y471" s="60"/>
      <c r="Z471" s="64"/>
      <c r="AA471" s="64"/>
      <c r="AB471" s="64"/>
      <c r="AC471" s="64"/>
      <c r="AD471" s="64"/>
      <c r="AE471" s="16" t="s">
        <v>675</v>
      </c>
      <c r="AF471" s="64"/>
      <c r="AG471" s="64"/>
      <c r="AH471" s="64"/>
      <c r="AI471" s="64"/>
      <c r="AJ471" s="64"/>
      <c r="AK471" s="64"/>
      <c r="AL471" s="64"/>
      <c r="AM471" s="16" t="s">
        <v>675</v>
      </c>
      <c r="AN471" s="64"/>
      <c r="AO471" s="64"/>
      <c r="AP471" s="64"/>
      <c r="AQ471" s="64"/>
      <c r="AR471" s="64"/>
      <c r="AS471" s="64"/>
      <c r="AT471" s="64"/>
      <c r="AU471" s="83" t="s">
        <v>675</v>
      </c>
      <c r="AV471" s="83" t="s">
        <v>675</v>
      </c>
      <c r="AW471" s="16" t="s">
        <v>675</v>
      </c>
      <c r="AX471" s="64"/>
      <c r="AY471" s="64"/>
      <c r="AZ471" s="64"/>
      <c r="BA471" s="64"/>
      <c r="BB471" s="64"/>
      <c r="BC471" s="64"/>
      <c r="BD471" s="64"/>
      <c r="BE471" s="64"/>
      <c r="BF471" s="64"/>
      <c r="BG471" s="64"/>
      <c r="BH471" s="64"/>
      <c r="BI471" s="64"/>
      <c r="BJ471" s="64"/>
      <c r="BK471" s="64"/>
      <c r="BL471" s="64"/>
      <c r="BM471" s="64"/>
      <c r="BN471" s="64"/>
      <c r="BO471" s="64"/>
      <c r="BP471" s="64"/>
      <c r="BQ471" s="64"/>
      <c r="BR471" s="64"/>
      <c r="BS471" s="64"/>
      <c r="BT471" s="65"/>
    </row>
    <row r="472" spans="1:72" ht="18" hidden="1" customHeight="1" x14ac:dyDescent="0.3">
      <c r="A472" s="81" t="s">
        <v>931</v>
      </c>
      <c r="B472" s="76" t="s">
        <v>459</v>
      </c>
      <c r="C472" s="16" t="s">
        <v>1501</v>
      </c>
      <c r="D472" s="16" t="s">
        <v>1490</v>
      </c>
      <c r="E472" s="50">
        <v>50</v>
      </c>
      <c r="F472" s="50">
        <v>0</v>
      </c>
      <c r="G472" s="16">
        <v>1</v>
      </c>
      <c r="H472" s="16" t="s">
        <v>1023</v>
      </c>
      <c r="I472" s="16" t="s">
        <v>1016</v>
      </c>
      <c r="J472" s="16" t="s">
        <v>2382</v>
      </c>
      <c r="K472" s="16">
        <v>50</v>
      </c>
      <c r="L472" s="16">
        <v>50</v>
      </c>
      <c r="M472" s="64"/>
      <c r="N472" s="64"/>
      <c r="O472" s="49" t="str">
        <f t="shared" si="65"/>
        <v>YES</v>
      </c>
      <c r="P472" s="52"/>
      <c r="Q472" s="53">
        <f t="shared" si="66"/>
        <v>5000</v>
      </c>
      <c r="R472" s="54">
        <f t="shared" si="67"/>
        <v>2500</v>
      </c>
      <c r="S472" s="55" t="str">
        <f t="shared" si="68"/>
        <v xml:space="preserve"> </v>
      </c>
      <c r="T472" s="56"/>
      <c r="U472" s="57" t="str">
        <f t="shared" si="69"/>
        <v>100µg/100cm²</v>
      </c>
      <c r="V472" s="58">
        <f t="shared" si="70"/>
        <v>2500</v>
      </c>
      <c r="W472" s="58" t="str">
        <f t="shared" si="71"/>
        <v xml:space="preserve"> </v>
      </c>
      <c r="X472" s="59" t="str">
        <f t="shared" si="72"/>
        <v/>
      </c>
      <c r="Y472" s="60"/>
      <c r="Z472" s="64"/>
      <c r="AA472" s="64"/>
      <c r="AB472" s="64"/>
      <c r="AC472" s="64"/>
      <c r="AD472" s="64"/>
      <c r="AE472" s="16" t="s">
        <v>675</v>
      </c>
      <c r="AF472" s="64"/>
      <c r="AG472" s="64"/>
      <c r="AH472" s="64"/>
      <c r="AI472" s="64"/>
      <c r="AJ472" s="64"/>
      <c r="AK472" s="64"/>
      <c r="AL472" s="64"/>
      <c r="AM472" s="16" t="s">
        <v>675</v>
      </c>
      <c r="AN472" s="64"/>
      <c r="AO472" s="64"/>
      <c r="AP472" s="64"/>
      <c r="AQ472" s="64"/>
      <c r="AR472" s="64"/>
      <c r="AS472" s="64"/>
      <c r="AT472" s="64"/>
      <c r="AU472" s="83" t="s">
        <v>675</v>
      </c>
      <c r="AV472" s="83" t="s">
        <v>675</v>
      </c>
      <c r="AW472" s="16" t="s">
        <v>675</v>
      </c>
      <c r="AX472" s="64"/>
      <c r="AY472" s="64"/>
      <c r="AZ472" s="64"/>
      <c r="BA472" s="64"/>
      <c r="BB472" s="64"/>
      <c r="BC472" s="64"/>
      <c r="BD472" s="64"/>
      <c r="BE472" s="64"/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  <c r="BQ472" s="64"/>
      <c r="BR472" s="64"/>
      <c r="BS472" s="64"/>
      <c r="BT472" s="65"/>
    </row>
    <row r="473" spans="1:72" ht="18" hidden="1" customHeight="1" x14ac:dyDescent="0.3">
      <c r="A473" s="81" t="s">
        <v>932</v>
      </c>
      <c r="B473" s="76" t="s">
        <v>459</v>
      </c>
      <c r="C473" s="16" t="s">
        <v>1502</v>
      </c>
      <c r="D473" s="16" t="s">
        <v>1484</v>
      </c>
      <c r="E473" s="50">
        <v>50</v>
      </c>
      <c r="F473" s="50">
        <v>0</v>
      </c>
      <c r="G473" s="16">
        <v>1</v>
      </c>
      <c r="H473" s="16" t="s">
        <v>1023</v>
      </c>
      <c r="I473" s="16" t="s">
        <v>1016</v>
      </c>
      <c r="J473" s="16" t="s">
        <v>2382</v>
      </c>
      <c r="K473" s="16">
        <v>50</v>
      </c>
      <c r="L473" s="16">
        <v>50</v>
      </c>
      <c r="M473" s="64"/>
      <c r="N473" s="64"/>
      <c r="O473" s="49" t="str">
        <f t="shared" si="65"/>
        <v>YES</v>
      </c>
      <c r="P473" s="52"/>
      <c r="Q473" s="53">
        <f t="shared" si="66"/>
        <v>5000</v>
      </c>
      <c r="R473" s="54">
        <f t="shared" si="67"/>
        <v>2500</v>
      </c>
      <c r="S473" s="55" t="str">
        <f t="shared" si="68"/>
        <v xml:space="preserve"> </v>
      </c>
      <c r="T473" s="56"/>
      <c r="U473" s="57" t="str">
        <f t="shared" si="69"/>
        <v>100µg/100cm²</v>
      </c>
      <c r="V473" s="58">
        <f t="shared" si="70"/>
        <v>2500</v>
      </c>
      <c r="W473" s="58" t="str">
        <f t="shared" si="71"/>
        <v xml:space="preserve"> </v>
      </c>
      <c r="X473" s="59" t="str">
        <f t="shared" si="72"/>
        <v/>
      </c>
      <c r="Y473" s="60"/>
      <c r="Z473" s="64"/>
      <c r="AA473" s="64"/>
      <c r="AB473" s="64"/>
      <c r="AC473" s="64"/>
      <c r="AD473" s="64"/>
      <c r="AE473" s="16" t="s">
        <v>675</v>
      </c>
      <c r="AF473" s="64"/>
      <c r="AG473" s="64"/>
      <c r="AH473" s="64"/>
      <c r="AI473" s="64"/>
      <c r="AJ473" s="64"/>
      <c r="AK473" s="64"/>
      <c r="AL473" s="64"/>
      <c r="AM473" s="16" t="s">
        <v>675</v>
      </c>
      <c r="AN473" s="64"/>
      <c r="AO473" s="64"/>
      <c r="AP473" s="64"/>
      <c r="AQ473" s="64"/>
      <c r="AR473" s="64"/>
      <c r="AS473" s="64"/>
      <c r="AT473" s="64"/>
      <c r="AU473" s="83" t="s">
        <v>675</v>
      </c>
      <c r="AV473" s="83" t="s">
        <v>675</v>
      </c>
      <c r="AW473" s="16" t="s">
        <v>675</v>
      </c>
      <c r="AX473" s="64"/>
      <c r="AY473" s="64"/>
      <c r="AZ473" s="64"/>
      <c r="BA473" s="64"/>
      <c r="BB473" s="64"/>
      <c r="BC473" s="64"/>
      <c r="BD473" s="64"/>
      <c r="BE473" s="64"/>
      <c r="BF473" s="64"/>
      <c r="BG473" s="64"/>
      <c r="BH473" s="64"/>
      <c r="BI473" s="64"/>
      <c r="BJ473" s="64"/>
      <c r="BK473" s="64"/>
      <c r="BL473" s="64"/>
      <c r="BM473" s="64"/>
      <c r="BN473" s="64"/>
      <c r="BO473" s="64"/>
      <c r="BP473" s="64"/>
      <c r="BQ473" s="64"/>
      <c r="BR473" s="64"/>
      <c r="BS473" s="64"/>
      <c r="BT473" s="65"/>
    </row>
    <row r="474" spans="1:72" ht="18" hidden="1" customHeight="1" x14ac:dyDescent="0.3">
      <c r="A474" s="47" t="s">
        <v>339</v>
      </c>
      <c r="B474" s="48" t="s">
        <v>340</v>
      </c>
      <c r="C474" s="49" t="s">
        <v>1223</v>
      </c>
      <c r="D474" s="16" t="s">
        <v>1552</v>
      </c>
      <c r="E474" s="50">
        <v>41.86</v>
      </c>
      <c r="F474" s="50">
        <v>0</v>
      </c>
      <c r="G474" s="61">
        <v>3</v>
      </c>
      <c r="H474" s="16">
        <v>50</v>
      </c>
      <c r="I474" s="48" t="s">
        <v>1016</v>
      </c>
      <c r="J474" s="16" t="s">
        <v>1224</v>
      </c>
      <c r="K474" s="49">
        <v>0.12</v>
      </c>
      <c r="L474" s="49">
        <v>0.12</v>
      </c>
      <c r="M474" s="136" t="s">
        <v>1225</v>
      </c>
      <c r="N474" s="62" t="s">
        <v>1047</v>
      </c>
      <c r="O474" s="63" t="str">
        <f t="shared" si="65"/>
        <v>NO</v>
      </c>
      <c r="P474" s="52"/>
      <c r="Q474" s="53">
        <f t="shared" si="66"/>
        <v>0.12</v>
      </c>
      <c r="R474" s="54">
        <f t="shared" si="67"/>
        <v>0</v>
      </c>
      <c r="S474" s="55" t="str">
        <f t="shared" si="68"/>
        <v xml:space="preserve"> </v>
      </c>
      <c r="T474" s="56"/>
      <c r="U474" s="57" t="str">
        <f t="shared" si="69"/>
        <v>Mitigation</v>
      </c>
      <c r="V474" s="58" t="str">
        <f t="shared" si="70"/>
        <v xml:space="preserve"> </v>
      </c>
      <c r="W474" s="58" t="str">
        <f t="shared" si="71"/>
        <v xml:space="preserve"> </v>
      </c>
      <c r="X474" s="59" t="str">
        <f t="shared" si="72"/>
        <v/>
      </c>
      <c r="Y474" s="60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16" t="s">
        <v>675</v>
      </c>
      <c r="AP474" s="16" t="s">
        <v>675</v>
      </c>
      <c r="AQ474" s="64"/>
      <c r="AR474" s="64"/>
      <c r="AS474" s="64"/>
      <c r="AT474" s="64"/>
      <c r="AU474" s="64"/>
      <c r="AV474" s="64"/>
      <c r="AW474" s="64"/>
      <c r="AX474" s="64"/>
      <c r="AY474" s="64"/>
      <c r="AZ474" s="64"/>
      <c r="BA474" s="64"/>
      <c r="BB474" s="64"/>
      <c r="BC474" s="64"/>
      <c r="BD474" s="64"/>
      <c r="BE474" s="64"/>
      <c r="BF474" s="64"/>
      <c r="BG474" s="64"/>
      <c r="BH474" s="64"/>
      <c r="BI474" s="64"/>
      <c r="BJ474" s="64"/>
      <c r="BK474" s="64"/>
      <c r="BL474" s="64"/>
      <c r="BM474" s="64"/>
      <c r="BN474" s="64"/>
      <c r="BO474" s="64"/>
      <c r="BP474" s="64"/>
      <c r="BQ474" s="64"/>
      <c r="BR474" s="64"/>
      <c r="BS474" s="64"/>
      <c r="BT474" s="65"/>
    </row>
    <row r="475" spans="1:72" ht="18" hidden="1" customHeight="1" x14ac:dyDescent="0.3">
      <c r="A475" s="80" t="s">
        <v>518</v>
      </c>
      <c r="B475" s="49" t="s">
        <v>1918</v>
      </c>
      <c r="C475" s="16" t="s">
        <v>2181</v>
      </c>
      <c r="D475" s="16" t="s">
        <v>1011</v>
      </c>
      <c r="E475" s="50">
        <v>19.059999999999999</v>
      </c>
      <c r="F475" s="50">
        <v>0</v>
      </c>
      <c r="G475" s="61">
        <v>2</v>
      </c>
      <c r="H475" s="16">
        <v>143</v>
      </c>
      <c r="I475" s="48" t="s">
        <v>1447</v>
      </c>
      <c r="J475" s="16" t="s">
        <v>2386</v>
      </c>
      <c r="K475" s="49">
        <v>50</v>
      </c>
      <c r="L475" s="49">
        <v>50</v>
      </c>
      <c r="M475" s="64"/>
      <c r="N475" s="64"/>
      <c r="O475" s="49" t="str">
        <f t="shared" si="65"/>
        <v>YES</v>
      </c>
      <c r="P475" s="52"/>
      <c r="Q475" s="53">
        <f t="shared" si="66"/>
        <v>5000</v>
      </c>
      <c r="R475" s="54">
        <f t="shared" si="67"/>
        <v>953</v>
      </c>
      <c r="S475" s="55" t="str">
        <f t="shared" si="68"/>
        <v xml:space="preserve"> </v>
      </c>
      <c r="T475" s="56"/>
      <c r="U475" s="57" t="str">
        <f t="shared" si="69"/>
        <v>100µg/100cm²</v>
      </c>
      <c r="V475" s="58">
        <f t="shared" si="70"/>
        <v>953</v>
      </c>
      <c r="W475" s="58" t="str">
        <f t="shared" si="71"/>
        <v xml:space="preserve"> </v>
      </c>
      <c r="X475" s="59" t="str">
        <f t="shared" si="72"/>
        <v/>
      </c>
      <c r="Y475" s="60"/>
      <c r="Z475" s="16" t="s">
        <v>675</v>
      </c>
      <c r="AA475" s="16" t="s">
        <v>675</v>
      </c>
      <c r="AB475" s="64"/>
      <c r="AC475" s="64"/>
      <c r="AD475" s="64"/>
      <c r="AE475" s="64"/>
      <c r="AF475" s="64"/>
      <c r="AG475" s="64"/>
      <c r="AH475" s="64"/>
      <c r="AI475" s="16" t="s">
        <v>675</v>
      </c>
      <c r="AJ475" s="16" t="s">
        <v>675</v>
      </c>
      <c r="AK475" s="64"/>
      <c r="AL475" s="64"/>
      <c r="AM475" s="16" t="s">
        <v>675</v>
      </c>
      <c r="AN475" s="64"/>
      <c r="AO475" s="64"/>
      <c r="AP475" s="64"/>
      <c r="AQ475" s="64"/>
      <c r="AR475" s="16" t="s">
        <v>675</v>
      </c>
      <c r="AS475" s="16" t="s">
        <v>675</v>
      </c>
      <c r="AT475" s="64"/>
      <c r="AU475" s="64"/>
      <c r="AV475" s="64"/>
      <c r="AW475" s="64"/>
      <c r="AX475" s="64"/>
      <c r="AY475" s="64"/>
      <c r="AZ475" s="64"/>
      <c r="BA475" s="64"/>
      <c r="BB475" s="64"/>
      <c r="BC475" s="64"/>
      <c r="BD475" s="64"/>
      <c r="BE475" s="64"/>
      <c r="BF475" s="64"/>
      <c r="BG475" s="64"/>
      <c r="BH475" s="64"/>
      <c r="BI475" s="64"/>
      <c r="BJ475" s="64"/>
      <c r="BK475" s="16" t="s">
        <v>675</v>
      </c>
      <c r="BL475" s="64"/>
      <c r="BM475" s="64"/>
      <c r="BN475" s="64"/>
      <c r="BO475" s="64"/>
      <c r="BP475" s="64"/>
      <c r="BQ475" s="64"/>
      <c r="BR475" s="64"/>
      <c r="BS475" s="16" t="s">
        <v>675</v>
      </c>
      <c r="BT475" s="65"/>
    </row>
    <row r="476" spans="1:72" ht="18" hidden="1" customHeight="1" x14ac:dyDescent="0.3">
      <c r="A476" s="80" t="s">
        <v>1742</v>
      </c>
      <c r="B476" s="48" t="s">
        <v>519</v>
      </c>
      <c r="C476" s="67" t="s">
        <v>2182</v>
      </c>
      <c r="D476" s="16" t="s">
        <v>1011</v>
      </c>
      <c r="E476" s="50">
        <v>19.05</v>
      </c>
      <c r="F476" s="50">
        <v>0</v>
      </c>
      <c r="G476" s="16">
        <v>2</v>
      </c>
      <c r="H476" s="16">
        <v>143</v>
      </c>
      <c r="I476" s="70" t="s">
        <v>1474</v>
      </c>
      <c r="J476" s="16" t="s">
        <v>2386</v>
      </c>
      <c r="K476" s="49">
        <v>50</v>
      </c>
      <c r="L476" s="49">
        <v>50</v>
      </c>
      <c r="M476" s="64"/>
      <c r="N476" s="64"/>
      <c r="O476" s="49" t="str">
        <f t="shared" si="65"/>
        <v>YES</v>
      </c>
      <c r="P476" s="52"/>
      <c r="Q476" s="53">
        <f t="shared" si="66"/>
        <v>5000</v>
      </c>
      <c r="R476" s="54">
        <f t="shared" si="67"/>
        <v>952.5</v>
      </c>
      <c r="S476" s="55" t="str">
        <f t="shared" si="68"/>
        <v xml:space="preserve"> </v>
      </c>
      <c r="T476" s="56"/>
      <c r="U476" s="57" t="str">
        <f t="shared" si="69"/>
        <v>100µg/100cm²</v>
      </c>
      <c r="V476" s="58">
        <f t="shared" si="70"/>
        <v>952.5</v>
      </c>
      <c r="W476" s="58" t="str">
        <f t="shared" si="71"/>
        <v xml:space="preserve"> </v>
      </c>
      <c r="X476" s="59" t="str">
        <f t="shared" si="72"/>
        <v/>
      </c>
      <c r="Y476" s="60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16" t="s">
        <v>675</v>
      </c>
      <c r="AV476" s="16" t="s">
        <v>675</v>
      </c>
      <c r="AW476" s="16" t="s">
        <v>675</v>
      </c>
      <c r="AX476" s="64"/>
      <c r="AY476" s="64"/>
      <c r="AZ476" s="64"/>
      <c r="BA476" s="64"/>
      <c r="BB476" s="64"/>
      <c r="BC476" s="64"/>
      <c r="BD476" s="64"/>
      <c r="BE476" s="64"/>
      <c r="BF476" s="64"/>
      <c r="BG476" s="64"/>
      <c r="BH476" s="64"/>
      <c r="BI476" s="64"/>
      <c r="BJ476" s="64"/>
      <c r="BK476" s="64"/>
      <c r="BL476" s="64"/>
      <c r="BM476" s="64"/>
      <c r="BN476" s="64"/>
      <c r="BO476" s="64"/>
      <c r="BP476" s="64"/>
      <c r="BQ476" s="64"/>
      <c r="BR476" s="64"/>
      <c r="BS476" s="64"/>
      <c r="BT476" s="65"/>
    </row>
    <row r="477" spans="1:72" ht="18" hidden="1" customHeight="1" x14ac:dyDescent="0.3">
      <c r="A477" s="47" t="s">
        <v>13</v>
      </c>
      <c r="B477" s="48" t="s">
        <v>14</v>
      </c>
      <c r="C477" s="16" t="s">
        <v>2183</v>
      </c>
      <c r="D477" s="49" t="s">
        <v>1174</v>
      </c>
      <c r="E477" s="50">
        <v>61.31</v>
      </c>
      <c r="F477" s="50">
        <v>0</v>
      </c>
      <c r="G477" s="61">
        <v>5</v>
      </c>
      <c r="H477" s="16">
        <v>4.7</v>
      </c>
      <c r="I477" s="48" t="s">
        <v>1016</v>
      </c>
      <c r="J477" s="16" t="s">
        <v>1181</v>
      </c>
      <c r="K477" s="49">
        <v>200</v>
      </c>
      <c r="L477" s="49">
        <v>1800</v>
      </c>
      <c r="M477" s="62" t="s">
        <v>1085</v>
      </c>
      <c r="N477" s="62" t="s">
        <v>1182</v>
      </c>
      <c r="O477" s="49" t="str">
        <f t="shared" si="65"/>
        <v>NO</v>
      </c>
      <c r="P477" s="52"/>
      <c r="Q477" s="53">
        <f t="shared" si="66"/>
        <v>200</v>
      </c>
      <c r="R477" s="54">
        <f t="shared" si="67"/>
        <v>122.6</v>
      </c>
      <c r="S477" s="55" t="str">
        <f t="shared" si="68"/>
        <v xml:space="preserve"> </v>
      </c>
      <c r="T477" s="56"/>
      <c r="U477" s="57" t="str">
        <f t="shared" si="69"/>
        <v>100µg/100cm²</v>
      </c>
      <c r="V477" s="58">
        <f t="shared" si="70"/>
        <v>122.6</v>
      </c>
      <c r="W477" s="58" t="str">
        <f t="shared" si="71"/>
        <v xml:space="preserve"> </v>
      </c>
      <c r="X477" s="59" t="str">
        <f t="shared" si="72"/>
        <v/>
      </c>
      <c r="Y477" s="60"/>
      <c r="Z477" s="16" t="s">
        <v>675</v>
      </c>
      <c r="AA477" s="16" t="s">
        <v>675</v>
      </c>
      <c r="AB477" s="16" t="s">
        <v>675</v>
      </c>
      <c r="AC477" s="64"/>
      <c r="AD477" s="64"/>
      <c r="AE477" s="16" t="s">
        <v>675</v>
      </c>
      <c r="AF477" s="16" t="s">
        <v>675</v>
      </c>
      <c r="AG477" s="64"/>
      <c r="AH477" s="64"/>
      <c r="AI477" s="16" t="s">
        <v>675</v>
      </c>
      <c r="AJ477" s="64"/>
      <c r="AK477" s="16" t="s">
        <v>675</v>
      </c>
      <c r="AL477" s="16" t="s">
        <v>675</v>
      </c>
      <c r="AM477" s="16" t="s">
        <v>675</v>
      </c>
      <c r="AN477" s="16" t="s">
        <v>675</v>
      </c>
      <c r="AO477" s="64"/>
      <c r="AP477" s="16" t="s">
        <v>675</v>
      </c>
      <c r="AQ477" s="64"/>
      <c r="AR477" s="64"/>
      <c r="AS477" s="16" t="s">
        <v>675</v>
      </c>
      <c r="AT477" s="16" t="s">
        <v>675</v>
      </c>
      <c r="AU477" s="16" t="s">
        <v>675</v>
      </c>
      <c r="AV477" s="64"/>
      <c r="AW477" s="16" t="s">
        <v>675</v>
      </c>
      <c r="AX477" s="16" t="s">
        <v>675</v>
      </c>
      <c r="AY477" s="64"/>
      <c r="AZ477" s="64"/>
      <c r="BA477" s="64"/>
      <c r="BB477" s="64"/>
      <c r="BC477" s="64"/>
      <c r="BD477" s="64"/>
      <c r="BE477" s="64"/>
      <c r="BF477" s="64"/>
      <c r="BG477" s="16" t="s">
        <v>675</v>
      </c>
      <c r="BH477" s="64"/>
      <c r="BI477" s="64"/>
      <c r="BJ477" s="64"/>
      <c r="BK477" s="64"/>
      <c r="BL477" s="64"/>
      <c r="BM477" s="64"/>
      <c r="BN477" s="64"/>
      <c r="BO477" s="64"/>
      <c r="BP477" s="64"/>
      <c r="BQ477" s="64"/>
      <c r="BR477" s="64"/>
      <c r="BS477" s="16" t="s">
        <v>675</v>
      </c>
      <c r="BT477" s="65"/>
    </row>
    <row r="478" spans="1:72" ht="18" hidden="1" customHeight="1" x14ac:dyDescent="0.3">
      <c r="A478" s="47" t="s">
        <v>127</v>
      </c>
      <c r="B478" s="48" t="s">
        <v>128</v>
      </c>
      <c r="C478" s="16" t="s">
        <v>2184</v>
      </c>
      <c r="D478" s="49" t="s">
        <v>1104</v>
      </c>
      <c r="E478" s="50">
        <v>74.900000000000006</v>
      </c>
      <c r="F478" s="50">
        <v>0</v>
      </c>
      <c r="G478" s="61">
        <v>7</v>
      </c>
      <c r="H478" s="16" t="s">
        <v>1105</v>
      </c>
      <c r="I478" s="48" t="s">
        <v>1016</v>
      </c>
      <c r="J478" s="16" t="s">
        <v>2386</v>
      </c>
      <c r="K478" s="49">
        <v>50</v>
      </c>
      <c r="L478" s="49">
        <v>50</v>
      </c>
      <c r="M478" s="64"/>
      <c r="N478" s="64"/>
      <c r="O478" s="49" t="str">
        <f t="shared" si="65"/>
        <v>YES</v>
      </c>
      <c r="P478" s="52"/>
      <c r="Q478" s="53">
        <f t="shared" si="66"/>
        <v>5000</v>
      </c>
      <c r="R478" s="54">
        <f t="shared" si="67"/>
        <v>3745</v>
      </c>
      <c r="S478" s="55" t="str">
        <f t="shared" si="68"/>
        <v xml:space="preserve"> </v>
      </c>
      <c r="T478" s="56"/>
      <c r="U478" s="57" t="str">
        <f t="shared" si="69"/>
        <v>100µg/100cm²</v>
      </c>
      <c r="V478" s="58">
        <f t="shared" si="70"/>
        <v>3745</v>
      </c>
      <c r="W478" s="58" t="str">
        <f t="shared" si="71"/>
        <v xml:space="preserve"> </v>
      </c>
      <c r="X478" s="59" t="str">
        <f t="shared" si="72"/>
        <v/>
      </c>
      <c r="Y478" s="60"/>
      <c r="Z478" s="64"/>
      <c r="AA478" s="64"/>
      <c r="AB478" s="64"/>
      <c r="AC478" s="16" t="s">
        <v>675</v>
      </c>
      <c r="AD478" s="16" t="s">
        <v>675</v>
      </c>
      <c r="AE478" s="64"/>
      <c r="AF478" s="64"/>
      <c r="AG478" s="64"/>
      <c r="AH478" s="64"/>
      <c r="AI478" s="64"/>
      <c r="AJ478" s="64"/>
      <c r="AK478" s="64"/>
      <c r="AL478" s="64"/>
      <c r="AM478" s="16" t="s">
        <v>675</v>
      </c>
      <c r="AN478" s="64"/>
      <c r="AO478" s="64"/>
      <c r="AP478" s="64"/>
      <c r="AQ478" s="64"/>
      <c r="AR478" s="64"/>
      <c r="AS478" s="64"/>
      <c r="AT478" s="64"/>
      <c r="AU478" s="64"/>
      <c r="AV478" s="64"/>
      <c r="AW478" s="64"/>
      <c r="AX478" s="64"/>
      <c r="AY478" s="64"/>
      <c r="AZ478" s="64"/>
      <c r="BA478" s="64"/>
      <c r="BB478" s="64"/>
      <c r="BC478" s="64"/>
      <c r="BD478" s="64"/>
      <c r="BE478" s="64"/>
      <c r="BF478" s="64"/>
      <c r="BG478" s="64"/>
      <c r="BH478" s="64"/>
      <c r="BI478" s="64"/>
      <c r="BJ478" s="64"/>
      <c r="BK478" s="64"/>
      <c r="BL478" s="64"/>
      <c r="BM478" s="64"/>
      <c r="BN478" s="64"/>
      <c r="BO478" s="64"/>
      <c r="BP478" s="64"/>
      <c r="BQ478" s="64"/>
      <c r="BR478" s="64"/>
      <c r="BS478" s="64"/>
      <c r="BT478" s="65"/>
    </row>
    <row r="479" spans="1:72" ht="18" hidden="1" customHeight="1" x14ac:dyDescent="0.3">
      <c r="A479" s="47" t="s">
        <v>129</v>
      </c>
      <c r="B479" s="48" t="s">
        <v>130</v>
      </c>
      <c r="C479" s="49" t="s">
        <v>1362</v>
      </c>
      <c r="D479" s="49" t="s">
        <v>1104</v>
      </c>
      <c r="E479" s="50">
        <v>75.53</v>
      </c>
      <c r="F479" s="50">
        <v>0</v>
      </c>
      <c r="G479" s="61">
        <v>7</v>
      </c>
      <c r="H479" s="16" t="s">
        <v>1105</v>
      </c>
      <c r="I479" s="48" t="s">
        <v>1016</v>
      </c>
      <c r="J479" s="16" t="s">
        <v>2386</v>
      </c>
      <c r="K479" s="49">
        <v>50</v>
      </c>
      <c r="L479" s="49">
        <v>50</v>
      </c>
      <c r="M479" s="64"/>
      <c r="N479" s="64"/>
      <c r="O479" s="49" t="str">
        <f t="shared" si="65"/>
        <v>YES</v>
      </c>
      <c r="P479" s="52"/>
      <c r="Q479" s="53">
        <f t="shared" si="66"/>
        <v>5000</v>
      </c>
      <c r="R479" s="54">
        <f t="shared" si="67"/>
        <v>3776.5</v>
      </c>
      <c r="S479" s="55" t="str">
        <f t="shared" si="68"/>
        <v xml:space="preserve"> </v>
      </c>
      <c r="T479" s="56"/>
      <c r="U479" s="57" t="str">
        <f t="shared" si="69"/>
        <v>100µg/100cm²</v>
      </c>
      <c r="V479" s="58">
        <f t="shared" si="70"/>
        <v>3776.5</v>
      </c>
      <c r="W479" s="58" t="str">
        <f t="shared" si="71"/>
        <v xml:space="preserve"> </v>
      </c>
      <c r="X479" s="59" t="str">
        <f t="shared" si="72"/>
        <v/>
      </c>
      <c r="Y479" s="60"/>
      <c r="Z479" s="64"/>
      <c r="AA479" s="64"/>
      <c r="AB479" s="64"/>
      <c r="AC479" s="16" t="s">
        <v>675</v>
      </c>
      <c r="AD479" s="16" t="s">
        <v>675</v>
      </c>
      <c r="AE479" s="64"/>
      <c r="AF479" s="64"/>
      <c r="AG479" s="64"/>
      <c r="AH479" s="64"/>
      <c r="AI479" s="64"/>
      <c r="AJ479" s="64"/>
      <c r="AK479" s="64"/>
      <c r="AL479" s="64"/>
      <c r="AM479" s="16" t="s">
        <v>675</v>
      </c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/>
      <c r="BD479" s="64"/>
      <c r="BE479" s="64"/>
      <c r="BF479" s="64"/>
      <c r="BG479" s="64"/>
      <c r="BH479" s="64"/>
      <c r="BI479" s="64"/>
      <c r="BJ479" s="64"/>
      <c r="BK479" s="64"/>
      <c r="BL479" s="64"/>
      <c r="BM479" s="64"/>
      <c r="BN479" s="64"/>
      <c r="BO479" s="64"/>
      <c r="BP479" s="64"/>
      <c r="BQ479" s="64"/>
      <c r="BR479" s="64"/>
      <c r="BS479" s="64"/>
      <c r="BT479" s="65"/>
    </row>
    <row r="480" spans="1:72" ht="18" hidden="1" customHeight="1" x14ac:dyDescent="0.3">
      <c r="A480" s="81" t="s">
        <v>579</v>
      </c>
      <c r="B480" s="76" t="s">
        <v>459</v>
      </c>
      <c r="C480" s="16" t="s">
        <v>1505</v>
      </c>
      <c r="D480" s="16" t="s">
        <v>1486</v>
      </c>
      <c r="E480" s="50">
        <v>50</v>
      </c>
      <c r="F480" s="50">
        <v>0</v>
      </c>
      <c r="G480" s="16">
        <v>1</v>
      </c>
      <c r="H480" s="16" t="s">
        <v>1023</v>
      </c>
      <c r="I480" s="16" t="s">
        <v>1016</v>
      </c>
      <c r="J480" s="16" t="s">
        <v>2382</v>
      </c>
      <c r="K480" s="16">
        <v>50</v>
      </c>
      <c r="L480" s="16">
        <v>50</v>
      </c>
      <c r="M480" s="64"/>
      <c r="N480" s="64"/>
      <c r="O480" s="49" t="str">
        <f t="shared" si="65"/>
        <v>YES</v>
      </c>
      <c r="P480" s="52"/>
      <c r="Q480" s="53">
        <f t="shared" si="66"/>
        <v>5000</v>
      </c>
      <c r="R480" s="54">
        <f t="shared" si="67"/>
        <v>2500</v>
      </c>
      <c r="S480" s="55" t="str">
        <f t="shared" si="68"/>
        <v xml:space="preserve"> </v>
      </c>
      <c r="T480" s="56"/>
      <c r="U480" s="57" t="str">
        <f t="shared" si="69"/>
        <v>100µg/100cm²</v>
      </c>
      <c r="V480" s="58">
        <f t="shared" si="70"/>
        <v>2500</v>
      </c>
      <c r="W480" s="58" t="str">
        <f t="shared" si="71"/>
        <v xml:space="preserve"> </v>
      </c>
      <c r="X480" s="59" t="str">
        <f t="shared" si="72"/>
        <v/>
      </c>
      <c r="Y480" s="60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16" t="s">
        <v>675</v>
      </c>
      <c r="AT480" s="64"/>
      <c r="AU480" s="82"/>
      <c r="AV480" s="82"/>
      <c r="AW480" s="82"/>
      <c r="AX480" s="64"/>
      <c r="AY480" s="64"/>
      <c r="AZ480" s="64"/>
      <c r="BA480" s="64"/>
      <c r="BB480" s="64"/>
      <c r="BC480" s="64"/>
      <c r="BD480" s="64"/>
      <c r="BE480" s="64"/>
      <c r="BF480" s="64"/>
      <c r="BG480" s="64"/>
      <c r="BH480" s="64"/>
      <c r="BI480" s="64"/>
      <c r="BJ480" s="64"/>
      <c r="BK480" s="64"/>
      <c r="BL480" s="64"/>
      <c r="BM480" s="64"/>
      <c r="BN480" s="64"/>
      <c r="BO480" s="64"/>
      <c r="BP480" s="64"/>
      <c r="BQ480" s="64"/>
      <c r="BR480" s="64"/>
      <c r="BS480" s="64"/>
      <c r="BT480" s="65"/>
    </row>
    <row r="481" spans="1:72" ht="18" hidden="1" customHeight="1" x14ac:dyDescent="0.3">
      <c r="A481" s="47" t="s">
        <v>74</v>
      </c>
      <c r="B481" s="48" t="s">
        <v>75</v>
      </c>
      <c r="C481" s="16" t="s">
        <v>2185</v>
      </c>
      <c r="D481" s="49" t="s">
        <v>1174</v>
      </c>
      <c r="E481" s="50">
        <v>52.68</v>
      </c>
      <c r="F481" s="50">
        <v>0</v>
      </c>
      <c r="G481" s="61">
        <v>1</v>
      </c>
      <c r="H481" s="16" t="s">
        <v>1204</v>
      </c>
      <c r="I481" s="48" t="s">
        <v>1016</v>
      </c>
      <c r="J481" s="16" t="s">
        <v>2386</v>
      </c>
      <c r="K481" s="49">
        <v>50</v>
      </c>
      <c r="L481" s="49">
        <v>50</v>
      </c>
      <c r="M481" s="64"/>
      <c r="N481" s="64"/>
      <c r="O481" s="49" t="str">
        <f t="shared" si="65"/>
        <v>YES</v>
      </c>
      <c r="P481" s="52"/>
      <c r="Q481" s="53">
        <f t="shared" si="66"/>
        <v>5000</v>
      </c>
      <c r="R481" s="54">
        <f t="shared" si="67"/>
        <v>2634</v>
      </c>
      <c r="S481" s="55" t="str">
        <f t="shared" si="68"/>
        <v xml:space="preserve"> </v>
      </c>
      <c r="T481" s="56"/>
      <c r="U481" s="57" t="str">
        <f t="shared" si="69"/>
        <v>100µg/100cm²</v>
      </c>
      <c r="V481" s="58">
        <f t="shared" si="70"/>
        <v>2634</v>
      </c>
      <c r="W481" s="58" t="str">
        <f t="shared" si="71"/>
        <v xml:space="preserve"> </v>
      </c>
      <c r="X481" s="59" t="str">
        <f t="shared" si="72"/>
        <v/>
      </c>
      <c r="Y481" s="60"/>
      <c r="Z481" s="64"/>
      <c r="AA481" s="64"/>
      <c r="AB481" s="16" t="s">
        <v>675</v>
      </c>
      <c r="AC481" s="64"/>
      <c r="AD481" s="64"/>
      <c r="AE481" s="64"/>
      <c r="AF481" s="16" t="s">
        <v>675</v>
      </c>
      <c r="AG481" s="64"/>
      <c r="AH481" s="64"/>
      <c r="AI481" s="16" t="s">
        <v>675</v>
      </c>
      <c r="AJ481" s="64"/>
      <c r="AK481" s="16" t="s">
        <v>675</v>
      </c>
      <c r="AL481" s="16" t="s">
        <v>675</v>
      </c>
      <c r="AM481" s="16" t="s">
        <v>675</v>
      </c>
      <c r="AN481" s="64"/>
      <c r="AO481" s="64"/>
      <c r="AP481" s="64"/>
      <c r="AQ481" s="64"/>
      <c r="AR481" s="64"/>
      <c r="AS481" s="64"/>
      <c r="AT481" s="16" t="s">
        <v>675</v>
      </c>
      <c r="AU481" s="64"/>
      <c r="AV481" s="64"/>
      <c r="AW481" s="64"/>
      <c r="AX481" s="64"/>
      <c r="AY481" s="64"/>
      <c r="AZ481" s="64"/>
      <c r="BA481" s="64"/>
      <c r="BB481" s="64"/>
      <c r="BC481" s="64"/>
      <c r="BD481" s="64"/>
      <c r="BE481" s="64"/>
      <c r="BF481" s="64"/>
      <c r="BG481" s="16" t="s">
        <v>675</v>
      </c>
      <c r="BH481" s="64"/>
      <c r="BI481" s="64"/>
      <c r="BJ481" s="64"/>
      <c r="BK481" s="64"/>
      <c r="BL481" s="64"/>
      <c r="BM481" s="64"/>
      <c r="BN481" s="64"/>
      <c r="BO481" s="64"/>
      <c r="BP481" s="64"/>
      <c r="BQ481" s="64"/>
      <c r="BR481" s="64"/>
      <c r="BS481" s="16" t="s">
        <v>675</v>
      </c>
      <c r="BT481" s="65"/>
    </row>
    <row r="482" spans="1:72" ht="18" hidden="1" customHeight="1" x14ac:dyDescent="0.3">
      <c r="A482" s="80" t="s">
        <v>1793</v>
      </c>
      <c r="B482" s="16" t="s">
        <v>1765</v>
      </c>
      <c r="C482" s="16" t="s">
        <v>1791</v>
      </c>
      <c r="D482" s="16" t="s">
        <v>1268</v>
      </c>
      <c r="E482" s="50">
        <v>75</v>
      </c>
      <c r="F482" s="50">
        <v>0</v>
      </c>
      <c r="G482" s="16">
        <v>7</v>
      </c>
      <c r="H482" s="16" t="s">
        <v>1428</v>
      </c>
      <c r="I482" s="48" t="s">
        <v>1474</v>
      </c>
      <c r="J482" s="16" t="s">
        <v>2018</v>
      </c>
      <c r="K482" s="16" t="s">
        <v>2027</v>
      </c>
      <c r="L482" s="16" t="s">
        <v>2027</v>
      </c>
      <c r="M482" s="64"/>
      <c r="N482" s="64"/>
      <c r="O482" s="16" t="s">
        <v>2027</v>
      </c>
      <c r="P482" s="73"/>
      <c r="Q482" s="53" t="str">
        <f t="shared" si="66"/>
        <v>Pending</v>
      </c>
      <c r="R482" s="54" t="str">
        <f t="shared" si="67"/>
        <v>Pending</v>
      </c>
      <c r="S482" s="55" t="str">
        <f t="shared" si="68"/>
        <v>Pending</v>
      </c>
      <c r="T482" s="56"/>
      <c r="U482" s="57" t="str">
        <f t="shared" si="69"/>
        <v>Pending</v>
      </c>
      <c r="V482" s="58" t="str">
        <f t="shared" si="70"/>
        <v>Pending</v>
      </c>
      <c r="W482" s="57" t="str">
        <f t="shared" si="71"/>
        <v>Pending</v>
      </c>
      <c r="X482" s="59" t="str">
        <f t="shared" si="72"/>
        <v/>
      </c>
      <c r="Y482" s="60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16" t="s">
        <v>675</v>
      </c>
      <c r="AK482" s="64"/>
      <c r="AL482" s="64"/>
      <c r="AM482" s="16" t="s">
        <v>675</v>
      </c>
      <c r="AN482" s="64"/>
      <c r="AO482" s="64"/>
      <c r="AP482" s="64"/>
      <c r="AQ482" s="64"/>
      <c r="AR482" s="64"/>
      <c r="AS482" s="64"/>
      <c r="AT482" s="64"/>
      <c r="AU482" s="64"/>
      <c r="AV482" s="64"/>
      <c r="AW482" s="64"/>
      <c r="AX482" s="64"/>
      <c r="AY482" s="64"/>
      <c r="AZ482" s="64"/>
      <c r="BA482" s="64"/>
      <c r="BB482" s="64"/>
      <c r="BC482" s="64"/>
      <c r="BD482" s="64"/>
      <c r="BE482" s="64"/>
      <c r="BF482" s="64"/>
      <c r="BG482" s="64"/>
      <c r="BH482" s="64"/>
      <c r="BI482" s="64"/>
      <c r="BJ482" s="64"/>
      <c r="BK482" s="64"/>
      <c r="BL482" s="64"/>
      <c r="BM482" s="64"/>
      <c r="BN482" s="64"/>
      <c r="BO482" s="64"/>
      <c r="BP482" s="64"/>
      <c r="BQ482" s="64"/>
      <c r="BR482" s="64"/>
      <c r="BS482" s="64"/>
      <c r="BT482" s="65"/>
    </row>
    <row r="483" spans="1:72" ht="18" hidden="1" customHeight="1" x14ac:dyDescent="0.3">
      <c r="A483" s="84" t="s">
        <v>551</v>
      </c>
      <c r="B483" s="69" t="s">
        <v>552</v>
      </c>
      <c r="C483" s="16" t="s">
        <v>1277</v>
      </c>
      <c r="D483" s="49" t="s">
        <v>1268</v>
      </c>
      <c r="E483" s="50">
        <v>86.078000000000003</v>
      </c>
      <c r="F483" s="50">
        <v>0</v>
      </c>
      <c r="G483" s="61">
        <v>7</v>
      </c>
      <c r="H483" s="17" t="s">
        <v>1278</v>
      </c>
      <c r="I483" s="48" t="s">
        <v>1016</v>
      </c>
      <c r="J483" s="16" t="s">
        <v>1279</v>
      </c>
      <c r="K483" s="62">
        <v>1.5</v>
      </c>
      <c r="L483" s="62">
        <v>1.5</v>
      </c>
      <c r="M483" s="62" t="s">
        <v>1036</v>
      </c>
      <c r="N483" s="51"/>
      <c r="O483" s="49" t="str">
        <f t="shared" ref="O483:O488" si="73">IF(AND(ISBLANK(K483),ISBLANK(N483))," ",IF(ISBLANK(N483),"YES","NO"))</f>
        <v>YES</v>
      </c>
      <c r="P483" s="52"/>
      <c r="Q483" s="53">
        <f t="shared" si="66"/>
        <v>273.7</v>
      </c>
      <c r="R483" s="54">
        <f t="shared" si="67"/>
        <v>235.5</v>
      </c>
      <c r="S483" s="55" t="str">
        <f t="shared" si="68"/>
        <v xml:space="preserve"> </v>
      </c>
      <c r="T483" s="56"/>
      <c r="U483" s="57" t="str">
        <f t="shared" si="69"/>
        <v>100µg/100cm²</v>
      </c>
      <c r="V483" s="58">
        <f t="shared" si="70"/>
        <v>235.5</v>
      </c>
      <c r="W483" s="58" t="str">
        <f t="shared" si="71"/>
        <v xml:space="preserve"> </v>
      </c>
      <c r="X483" s="59" t="str">
        <f t="shared" si="72"/>
        <v/>
      </c>
      <c r="Y483" s="60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16" t="s">
        <v>675</v>
      </c>
      <c r="AT483" s="64"/>
      <c r="AU483" s="64"/>
      <c r="AV483" s="64"/>
      <c r="AW483" s="64"/>
      <c r="AX483" s="64"/>
      <c r="AY483" s="64"/>
      <c r="AZ483" s="64"/>
      <c r="BA483" s="64"/>
      <c r="BB483" s="64"/>
      <c r="BC483" s="64"/>
      <c r="BD483" s="64"/>
      <c r="BE483" s="64"/>
      <c r="BF483" s="64"/>
      <c r="BG483" s="64"/>
      <c r="BH483" s="64"/>
      <c r="BI483" s="64"/>
      <c r="BJ483" s="64"/>
      <c r="BK483" s="16" t="s">
        <v>675</v>
      </c>
      <c r="BL483" s="64"/>
      <c r="BM483" s="64"/>
      <c r="BN483" s="64"/>
      <c r="BO483" s="64"/>
      <c r="BP483" s="64"/>
      <c r="BQ483" s="64"/>
      <c r="BR483" s="64"/>
      <c r="BS483" s="16" t="s">
        <v>675</v>
      </c>
      <c r="BT483" s="65"/>
    </row>
    <row r="484" spans="1:72" ht="18" hidden="1" customHeight="1" x14ac:dyDescent="0.3">
      <c r="A484" s="66" t="s">
        <v>778</v>
      </c>
      <c r="B484" s="69" t="s">
        <v>454</v>
      </c>
      <c r="C484" s="16" t="s">
        <v>1598</v>
      </c>
      <c r="D484" s="67" t="s">
        <v>1268</v>
      </c>
      <c r="E484" s="50">
        <v>80</v>
      </c>
      <c r="F484" s="50">
        <v>0</v>
      </c>
      <c r="G484" s="61">
        <v>7</v>
      </c>
      <c r="H484" s="68" t="s">
        <v>1425</v>
      </c>
      <c r="I484" s="48" t="s">
        <v>1196</v>
      </c>
      <c r="J484" s="16" t="s">
        <v>2386</v>
      </c>
      <c r="K484" s="49">
        <v>50</v>
      </c>
      <c r="L484" s="49">
        <v>50</v>
      </c>
      <c r="M484" s="64"/>
      <c r="N484" s="64"/>
      <c r="O484" s="49" t="str">
        <f t="shared" si="73"/>
        <v>YES</v>
      </c>
      <c r="P484" s="52"/>
      <c r="Q484" s="53">
        <f t="shared" si="66"/>
        <v>5000</v>
      </c>
      <c r="R484" s="54">
        <f t="shared" si="67"/>
        <v>4000</v>
      </c>
      <c r="S484" s="55" t="str">
        <f t="shared" si="68"/>
        <v xml:space="preserve"> </v>
      </c>
      <c r="T484" s="56"/>
      <c r="U484" s="57" t="str">
        <f t="shared" si="69"/>
        <v>100µg/100cm²</v>
      </c>
      <c r="V484" s="58">
        <f t="shared" si="70"/>
        <v>4000</v>
      </c>
      <c r="W484" s="58" t="str">
        <f t="shared" si="71"/>
        <v xml:space="preserve"> </v>
      </c>
      <c r="X484" s="59" t="str">
        <f t="shared" si="72"/>
        <v/>
      </c>
      <c r="Y484" s="60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16" t="s">
        <v>675</v>
      </c>
      <c r="AT484" s="64"/>
      <c r="AU484" s="64"/>
      <c r="AV484" s="64"/>
      <c r="AW484" s="64"/>
      <c r="AX484" s="64"/>
      <c r="AY484" s="64"/>
      <c r="AZ484" s="64"/>
      <c r="BA484" s="64"/>
      <c r="BB484" s="64"/>
      <c r="BC484" s="64"/>
      <c r="BD484" s="64"/>
      <c r="BE484" s="64"/>
      <c r="BF484" s="64"/>
      <c r="BG484" s="64"/>
      <c r="BH484" s="64"/>
      <c r="BI484" s="64"/>
      <c r="BJ484" s="64"/>
      <c r="BK484" s="64"/>
      <c r="BL484" s="64"/>
      <c r="BM484" s="64"/>
      <c r="BN484" s="64"/>
      <c r="BO484" s="64"/>
      <c r="BP484" s="64"/>
      <c r="BQ484" s="64"/>
      <c r="BR484" s="64"/>
      <c r="BS484" s="64"/>
      <c r="BT484" s="65"/>
    </row>
    <row r="485" spans="1:72" ht="18" hidden="1" customHeight="1" x14ac:dyDescent="0.3">
      <c r="A485" s="66" t="s">
        <v>2397</v>
      </c>
      <c r="B485" s="69" t="s">
        <v>434</v>
      </c>
      <c r="C485" s="16" t="s">
        <v>1630</v>
      </c>
      <c r="D485" s="16" t="s">
        <v>1618</v>
      </c>
      <c r="E485" s="50">
        <v>65.8</v>
      </c>
      <c r="F485" s="50">
        <v>0</v>
      </c>
      <c r="G485" s="16">
        <v>3</v>
      </c>
      <c r="H485" s="16" t="s">
        <v>1567</v>
      </c>
      <c r="I485" s="16" t="s">
        <v>1016</v>
      </c>
      <c r="J485" s="16" t="s">
        <v>2393</v>
      </c>
      <c r="K485" s="16">
        <v>5</v>
      </c>
      <c r="L485" s="16">
        <v>5</v>
      </c>
      <c r="M485" s="64"/>
      <c r="N485" s="64"/>
      <c r="O485" s="63" t="str">
        <f t="shared" si="73"/>
        <v>YES</v>
      </c>
      <c r="P485" s="52"/>
      <c r="Q485" s="53">
        <f t="shared" si="66"/>
        <v>912.5</v>
      </c>
      <c r="R485" s="54">
        <f t="shared" si="67"/>
        <v>600.4</v>
      </c>
      <c r="S485" s="55" t="str">
        <f t="shared" si="68"/>
        <v xml:space="preserve"> </v>
      </c>
      <c r="T485" s="56"/>
      <c r="U485" s="57" t="str">
        <f t="shared" si="69"/>
        <v>100µg/100cm²</v>
      </c>
      <c r="V485" s="58">
        <f t="shared" si="70"/>
        <v>600.4</v>
      </c>
      <c r="W485" s="57" t="str">
        <f t="shared" si="71"/>
        <v xml:space="preserve"> </v>
      </c>
      <c r="X485" s="59" t="str">
        <f t="shared" si="72"/>
        <v/>
      </c>
      <c r="Y485" s="60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16" t="s">
        <v>675</v>
      </c>
      <c r="AS485" s="64"/>
      <c r="AT485" s="64"/>
      <c r="AU485" s="64"/>
      <c r="AV485" s="64"/>
      <c r="AW485" s="64"/>
      <c r="AX485" s="64"/>
      <c r="AY485" s="64"/>
      <c r="AZ485" s="64"/>
      <c r="BA485" s="64"/>
      <c r="BB485" s="64"/>
      <c r="BC485" s="64"/>
      <c r="BD485" s="64"/>
      <c r="BE485" s="64"/>
      <c r="BF485" s="64"/>
      <c r="BG485" s="64"/>
      <c r="BH485" s="64"/>
      <c r="BI485" s="64"/>
      <c r="BJ485" s="64"/>
      <c r="BK485" s="64"/>
      <c r="BL485" s="64"/>
      <c r="BM485" s="64"/>
      <c r="BN485" s="64"/>
      <c r="BO485" s="64"/>
      <c r="BP485" s="64"/>
      <c r="BQ485" s="64"/>
      <c r="BR485" s="64"/>
      <c r="BS485" s="64"/>
      <c r="BT485" s="65"/>
    </row>
    <row r="486" spans="1:72" ht="18" hidden="1" customHeight="1" x14ac:dyDescent="0.3">
      <c r="A486" s="80" t="s">
        <v>1909</v>
      </c>
      <c r="B486" s="137" t="s">
        <v>1925</v>
      </c>
      <c r="C486" s="138" t="s">
        <v>1924</v>
      </c>
      <c r="D486" s="16" t="s">
        <v>1941</v>
      </c>
      <c r="E486" s="50">
        <v>51.55</v>
      </c>
      <c r="F486" s="50">
        <v>0</v>
      </c>
      <c r="G486" s="16">
        <v>3</v>
      </c>
      <c r="H486" s="16">
        <v>100</v>
      </c>
      <c r="I486" s="16" t="s">
        <v>1016</v>
      </c>
      <c r="J486" s="170" t="s">
        <v>2385</v>
      </c>
      <c r="K486" s="16">
        <v>0</v>
      </c>
      <c r="L486" s="16">
        <v>0</v>
      </c>
      <c r="M486" s="64"/>
      <c r="N486" s="16" t="s">
        <v>2384</v>
      </c>
      <c r="O486" s="63" t="str">
        <f t="shared" si="73"/>
        <v>NO</v>
      </c>
      <c r="P486" s="73"/>
      <c r="Q486" s="53">
        <f t="shared" si="66"/>
        <v>0</v>
      </c>
      <c r="R486" s="54">
        <f t="shared" si="67"/>
        <v>0</v>
      </c>
      <c r="S486" s="55" t="str">
        <f t="shared" si="68"/>
        <v xml:space="preserve"> </v>
      </c>
      <c r="T486" s="105"/>
      <c r="U486" s="57" t="str">
        <f t="shared" si="69"/>
        <v>Mitigation</v>
      </c>
      <c r="V486" s="58" t="str">
        <f t="shared" si="70"/>
        <v xml:space="preserve"> </v>
      </c>
      <c r="W486" s="57" t="str">
        <f t="shared" si="71"/>
        <v xml:space="preserve"> </v>
      </c>
      <c r="X486" s="59" t="str">
        <f t="shared" si="72"/>
        <v/>
      </c>
      <c r="Y486" s="106"/>
      <c r="Z486" s="16" t="s">
        <v>1987</v>
      </c>
      <c r="AA486" s="16" t="s">
        <v>1987</v>
      </c>
      <c r="AB486" s="16" t="s">
        <v>1987</v>
      </c>
      <c r="AC486" s="16" t="s">
        <v>1987</v>
      </c>
      <c r="AD486" s="16" t="s">
        <v>1987</v>
      </c>
      <c r="AE486" s="16" t="s">
        <v>1987</v>
      </c>
      <c r="AF486" s="16" t="s">
        <v>1987</v>
      </c>
      <c r="AG486" s="16" t="s">
        <v>1987</v>
      </c>
      <c r="AH486" s="16" t="s">
        <v>1987</v>
      </c>
      <c r="AI486" s="16" t="s">
        <v>1987</v>
      </c>
      <c r="AJ486" s="16" t="s">
        <v>1987</v>
      </c>
      <c r="AK486" s="16" t="s">
        <v>1987</v>
      </c>
      <c r="AL486" s="16" t="s">
        <v>1987</v>
      </c>
      <c r="AM486" s="16" t="s">
        <v>1987</v>
      </c>
      <c r="AN486" s="16" t="s">
        <v>1987</v>
      </c>
      <c r="AO486" s="16" t="s">
        <v>1987</v>
      </c>
      <c r="AP486" s="16" t="s">
        <v>1987</v>
      </c>
      <c r="AQ486" s="16" t="s">
        <v>1987</v>
      </c>
      <c r="AR486" s="16" t="s">
        <v>1987</v>
      </c>
      <c r="AS486" s="16" t="s">
        <v>1987</v>
      </c>
      <c r="AT486" s="16" t="s">
        <v>1987</v>
      </c>
      <c r="AU486" s="16" t="s">
        <v>1987</v>
      </c>
      <c r="AV486" s="16" t="s">
        <v>1987</v>
      </c>
      <c r="AW486" s="16" t="s">
        <v>1987</v>
      </c>
      <c r="AX486" s="16" t="s">
        <v>1987</v>
      </c>
      <c r="AY486" s="16" t="s">
        <v>1987</v>
      </c>
      <c r="AZ486" s="16" t="s">
        <v>1987</v>
      </c>
      <c r="BA486" s="16" t="s">
        <v>1987</v>
      </c>
      <c r="BB486" s="16" t="s">
        <v>1987</v>
      </c>
      <c r="BC486" s="16" t="s">
        <v>1987</v>
      </c>
      <c r="BD486" s="16" t="s">
        <v>1987</v>
      </c>
      <c r="BE486" s="16" t="s">
        <v>1987</v>
      </c>
      <c r="BF486" s="16" t="s">
        <v>1987</v>
      </c>
      <c r="BG486" s="16" t="s">
        <v>1987</v>
      </c>
      <c r="BH486" s="16" t="s">
        <v>1987</v>
      </c>
      <c r="BI486" s="16" t="s">
        <v>1987</v>
      </c>
      <c r="BJ486" s="16" t="s">
        <v>1987</v>
      </c>
      <c r="BK486" s="16" t="s">
        <v>1987</v>
      </c>
      <c r="BL486" s="16" t="s">
        <v>1987</v>
      </c>
      <c r="BM486" s="16" t="s">
        <v>1987</v>
      </c>
      <c r="BN486" s="16" t="s">
        <v>1987</v>
      </c>
      <c r="BO486" s="16" t="s">
        <v>1987</v>
      </c>
      <c r="BP486" s="16" t="s">
        <v>1987</v>
      </c>
      <c r="BQ486" s="16" t="s">
        <v>1987</v>
      </c>
      <c r="BR486" s="16" t="s">
        <v>1987</v>
      </c>
      <c r="BS486" s="16" t="s">
        <v>1987</v>
      </c>
      <c r="BT486" s="16" t="s">
        <v>1987</v>
      </c>
    </row>
    <row r="487" spans="1:72" ht="18" hidden="1" customHeight="1" x14ac:dyDescent="0.3">
      <c r="A487" s="80" t="s">
        <v>1923</v>
      </c>
      <c r="B487" s="137" t="s">
        <v>1916</v>
      </c>
      <c r="C487" s="138" t="s">
        <v>1917</v>
      </c>
      <c r="D487" s="16" t="s">
        <v>1941</v>
      </c>
      <c r="E487" s="50">
        <v>53.88</v>
      </c>
      <c r="F487" s="50">
        <v>0</v>
      </c>
      <c r="G487" s="16">
        <v>3</v>
      </c>
      <c r="H487" s="16">
        <v>100</v>
      </c>
      <c r="I487" s="16" t="s">
        <v>1016</v>
      </c>
      <c r="J487" s="170" t="s">
        <v>2385</v>
      </c>
      <c r="K487" s="16">
        <v>0</v>
      </c>
      <c r="L487" s="16">
        <v>0</v>
      </c>
      <c r="M487" s="64"/>
      <c r="N487" s="16" t="s">
        <v>2384</v>
      </c>
      <c r="O487" s="63" t="str">
        <f t="shared" si="73"/>
        <v>NO</v>
      </c>
      <c r="P487" s="73"/>
      <c r="Q487" s="53">
        <f t="shared" si="66"/>
        <v>0</v>
      </c>
      <c r="R487" s="54">
        <f t="shared" si="67"/>
        <v>0</v>
      </c>
      <c r="S487" s="55" t="str">
        <f t="shared" si="68"/>
        <v xml:space="preserve"> </v>
      </c>
      <c r="T487" s="105"/>
      <c r="U487" s="57" t="str">
        <f t="shared" si="69"/>
        <v>Mitigation</v>
      </c>
      <c r="V487" s="58" t="str">
        <f t="shared" si="70"/>
        <v xml:space="preserve"> </v>
      </c>
      <c r="W487" s="57" t="str">
        <f t="shared" si="71"/>
        <v xml:space="preserve"> </v>
      </c>
      <c r="X487" s="59" t="str">
        <f t="shared" si="72"/>
        <v/>
      </c>
      <c r="Y487" s="106"/>
      <c r="Z487" s="16" t="s">
        <v>1987</v>
      </c>
      <c r="AA487" s="16" t="s">
        <v>1987</v>
      </c>
      <c r="AB487" s="16" t="s">
        <v>1987</v>
      </c>
      <c r="AC487" s="16" t="s">
        <v>1987</v>
      </c>
      <c r="AD487" s="16" t="s">
        <v>1987</v>
      </c>
      <c r="AE487" s="16" t="s">
        <v>1987</v>
      </c>
      <c r="AF487" s="16" t="s">
        <v>1987</v>
      </c>
      <c r="AG487" s="16" t="s">
        <v>1987</v>
      </c>
      <c r="AH487" s="16" t="s">
        <v>1987</v>
      </c>
      <c r="AI487" s="16" t="s">
        <v>1987</v>
      </c>
      <c r="AJ487" s="16" t="s">
        <v>1987</v>
      </c>
      <c r="AK487" s="16" t="s">
        <v>1987</v>
      </c>
      <c r="AL487" s="16" t="s">
        <v>1987</v>
      </c>
      <c r="AM487" s="16" t="s">
        <v>1987</v>
      </c>
      <c r="AN487" s="16" t="s">
        <v>1987</v>
      </c>
      <c r="AO487" s="16" t="s">
        <v>1987</v>
      </c>
      <c r="AP487" s="16" t="s">
        <v>1987</v>
      </c>
      <c r="AQ487" s="16" t="s">
        <v>1987</v>
      </c>
      <c r="AR487" s="16" t="s">
        <v>1987</v>
      </c>
      <c r="AS487" s="16" t="s">
        <v>1987</v>
      </c>
      <c r="AT487" s="16" t="s">
        <v>1987</v>
      </c>
      <c r="AU487" s="16" t="s">
        <v>1987</v>
      </c>
      <c r="AV487" s="16" t="s">
        <v>1987</v>
      </c>
      <c r="AW487" s="16" t="s">
        <v>1987</v>
      </c>
      <c r="AX487" s="16" t="s">
        <v>1987</v>
      </c>
      <c r="AY487" s="16" t="s">
        <v>1987</v>
      </c>
      <c r="AZ487" s="16" t="s">
        <v>1987</v>
      </c>
      <c r="BA487" s="16" t="s">
        <v>1987</v>
      </c>
      <c r="BB487" s="16" t="s">
        <v>1987</v>
      </c>
      <c r="BC487" s="16" t="s">
        <v>1987</v>
      </c>
      <c r="BD487" s="16" t="s">
        <v>1987</v>
      </c>
      <c r="BE487" s="16" t="s">
        <v>1987</v>
      </c>
      <c r="BF487" s="16" t="s">
        <v>1987</v>
      </c>
      <c r="BG487" s="16" t="s">
        <v>1987</v>
      </c>
      <c r="BH487" s="16" t="s">
        <v>1987</v>
      </c>
      <c r="BI487" s="16" t="s">
        <v>1987</v>
      </c>
      <c r="BJ487" s="16" t="s">
        <v>1987</v>
      </c>
      <c r="BK487" s="16" t="s">
        <v>1987</v>
      </c>
      <c r="BL487" s="16" t="s">
        <v>1987</v>
      </c>
      <c r="BM487" s="16" t="s">
        <v>1987</v>
      </c>
      <c r="BN487" s="16" t="s">
        <v>1987</v>
      </c>
      <c r="BO487" s="16" t="s">
        <v>1987</v>
      </c>
      <c r="BP487" s="16" t="s">
        <v>1987</v>
      </c>
      <c r="BQ487" s="16" t="s">
        <v>1987</v>
      </c>
      <c r="BR487" s="16" t="s">
        <v>1987</v>
      </c>
      <c r="BS487" s="16" t="s">
        <v>1987</v>
      </c>
      <c r="BT487" s="16" t="s">
        <v>1987</v>
      </c>
    </row>
    <row r="488" spans="1:72" ht="18" hidden="1" customHeight="1" x14ac:dyDescent="0.3">
      <c r="A488" s="47" t="s">
        <v>1721</v>
      </c>
      <c r="B488" s="48" t="s">
        <v>1722</v>
      </c>
      <c r="C488" s="49" t="s">
        <v>2186</v>
      </c>
      <c r="D488" s="16" t="s">
        <v>1268</v>
      </c>
      <c r="E488" s="50">
        <v>83.2</v>
      </c>
      <c r="F488" s="50">
        <v>0</v>
      </c>
      <c r="G488" s="16">
        <v>7</v>
      </c>
      <c r="H488" s="16">
        <v>3.7999999999999999E-2</v>
      </c>
      <c r="I488" s="70" t="s">
        <v>1474</v>
      </c>
      <c r="J488" s="16" t="s">
        <v>2386</v>
      </c>
      <c r="K488" s="49">
        <v>50</v>
      </c>
      <c r="L488" s="49">
        <v>50</v>
      </c>
      <c r="M488" s="64"/>
      <c r="N488" s="64"/>
      <c r="O488" s="49" t="str">
        <f t="shared" si="73"/>
        <v>YES</v>
      </c>
      <c r="P488" s="52"/>
      <c r="Q488" s="53">
        <f t="shared" si="66"/>
        <v>5000</v>
      </c>
      <c r="R488" s="54">
        <f t="shared" si="67"/>
        <v>4160</v>
      </c>
      <c r="S488" s="55" t="str">
        <f t="shared" si="68"/>
        <v xml:space="preserve"> </v>
      </c>
      <c r="T488" s="56"/>
      <c r="U488" s="57" t="str">
        <f t="shared" si="69"/>
        <v>100µg/100cm²</v>
      </c>
      <c r="V488" s="58">
        <f t="shared" si="70"/>
        <v>4160</v>
      </c>
      <c r="W488" s="58" t="str">
        <f t="shared" si="71"/>
        <v xml:space="preserve"> </v>
      </c>
      <c r="X488" s="59" t="str">
        <f t="shared" si="72"/>
        <v/>
      </c>
      <c r="Y488" s="60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16" t="s">
        <v>675</v>
      </c>
      <c r="AK488" s="64"/>
      <c r="AL488" s="64"/>
      <c r="AM488" s="16" t="s">
        <v>675</v>
      </c>
      <c r="AN488" s="16" t="s">
        <v>675</v>
      </c>
      <c r="AO488" s="16" t="s">
        <v>675</v>
      </c>
      <c r="AP488" s="16" t="s">
        <v>675</v>
      </c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  <c r="BB488" s="64"/>
      <c r="BC488" s="64"/>
      <c r="BD488" s="64"/>
      <c r="BE488" s="64"/>
      <c r="BF488" s="64"/>
      <c r="BG488" s="64"/>
      <c r="BH488" s="64"/>
      <c r="BI488" s="64"/>
      <c r="BJ488" s="64"/>
      <c r="BK488" s="64"/>
      <c r="BL488" s="64"/>
      <c r="BM488" s="64"/>
      <c r="BN488" s="64"/>
      <c r="BO488" s="64"/>
      <c r="BP488" s="64"/>
      <c r="BQ488" s="64"/>
      <c r="BR488" s="64"/>
      <c r="BS488" s="64"/>
      <c r="BT488" s="65"/>
    </row>
    <row r="489" spans="1:72" ht="18" hidden="1" customHeight="1" x14ac:dyDescent="0.3">
      <c r="A489" s="80" t="s">
        <v>1908</v>
      </c>
      <c r="B489" s="16" t="s">
        <v>1915</v>
      </c>
      <c r="C489" s="16" t="s">
        <v>1504</v>
      </c>
      <c r="D489" s="16" t="s">
        <v>1486</v>
      </c>
      <c r="E489" s="50">
        <v>50</v>
      </c>
      <c r="F489" s="50">
        <v>0</v>
      </c>
      <c r="G489" s="16">
        <v>2</v>
      </c>
      <c r="H489" s="16" t="s">
        <v>1940</v>
      </c>
      <c r="I489" s="16" t="s">
        <v>1016</v>
      </c>
      <c r="J489" s="17" t="s">
        <v>2020</v>
      </c>
      <c r="K489" s="16" t="s">
        <v>2027</v>
      </c>
      <c r="L489" s="16" t="s">
        <v>2027</v>
      </c>
      <c r="M489" s="64"/>
      <c r="N489" s="64"/>
      <c r="O489" s="16" t="s">
        <v>2027</v>
      </c>
      <c r="P489" s="73"/>
      <c r="Q489" s="53" t="str">
        <f t="shared" si="66"/>
        <v>Pending</v>
      </c>
      <c r="R489" s="54" t="str">
        <f t="shared" si="67"/>
        <v>Pending</v>
      </c>
      <c r="S489" s="55" t="str">
        <f t="shared" si="68"/>
        <v>Pending</v>
      </c>
      <c r="T489" s="105"/>
      <c r="U489" s="57" t="str">
        <f t="shared" si="69"/>
        <v>Pending</v>
      </c>
      <c r="V489" s="58" t="str">
        <f t="shared" si="70"/>
        <v>Pending</v>
      </c>
      <c r="W489" s="57" t="str">
        <f t="shared" si="71"/>
        <v>Pending</v>
      </c>
      <c r="X489" s="59" t="str">
        <f t="shared" si="72"/>
        <v/>
      </c>
      <c r="Y489" s="106"/>
      <c r="Z489" s="16" t="s">
        <v>1987</v>
      </c>
      <c r="AA489" s="16" t="s">
        <v>1987</v>
      </c>
      <c r="AB489" s="16" t="s">
        <v>1987</v>
      </c>
      <c r="AC489" s="16" t="s">
        <v>1987</v>
      </c>
      <c r="AD489" s="16" t="s">
        <v>1987</v>
      </c>
      <c r="AE489" s="16" t="s">
        <v>1987</v>
      </c>
      <c r="AF489" s="16" t="s">
        <v>1987</v>
      </c>
      <c r="AG489" s="16" t="s">
        <v>1987</v>
      </c>
      <c r="AH489" s="16" t="s">
        <v>1987</v>
      </c>
      <c r="AI489" s="16" t="s">
        <v>1987</v>
      </c>
      <c r="AJ489" s="16" t="s">
        <v>1987</v>
      </c>
      <c r="AK489" s="16" t="s">
        <v>1987</v>
      </c>
      <c r="AL489" s="16" t="s">
        <v>1987</v>
      </c>
      <c r="AM489" s="16" t="s">
        <v>1987</v>
      </c>
      <c r="AN489" s="16" t="s">
        <v>1987</v>
      </c>
      <c r="AO489" s="16" t="s">
        <v>1987</v>
      </c>
      <c r="AP489" s="16" t="s">
        <v>1987</v>
      </c>
      <c r="AQ489" s="16" t="s">
        <v>1987</v>
      </c>
      <c r="AR489" s="16" t="s">
        <v>1987</v>
      </c>
      <c r="AS489" s="16" t="s">
        <v>1987</v>
      </c>
      <c r="AT489" s="16" t="s">
        <v>1987</v>
      </c>
      <c r="AU489" s="16" t="s">
        <v>1987</v>
      </c>
      <c r="AV489" s="16" t="s">
        <v>1987</v>
      </c>
      <c r="AW489" s="16" t="s">
        <v>1987</v>
      </c>
      <c r="AX489" s="16" t="s">
        <v>1987</v>
      </c>
      <c r="AY489" s="16" t="s">
        <v>1987</v>
      </c>
      <c r="AZ489" s="16" t="s">
        <v>1987</v>
      </c>
      <c r="BA489" s="16" t="s">
        <v>1987</v>
      </c>
      <c r="BB489" s="16" t="s">
        <v>1987</v>
      </c>
      <c r="BC489" s="16" t="s">
        <v>1987</v>
      </c>
      <c r="BD489" s="16" t="s">
        <v>1987</v>
      </c>
      <c r="BE489" s="16" t="s">
        <v>1987</v>
      </c>
      <c r="BF489" s="16" t="s">
        <v>1987</v>
      </c>
      <c r="BG489" s="16" t="s">
        <v>1987</v>
      </c>
      <c r="BH489" s="16" t="s">
        <v>1987</v>
      </c>
      <c r="BI489" s="16" t="s">
        <v>1987</v>
      </c>
      <c r="BJ489" s="16" t="s">
        <v>1987</v>
      </c>
      <c r="BK489" s="16" t="s">
        <v>1987</v>
      </c>
      <c r="BL489" s="16" t="s">
        <v>1987</v>
      </c>
      <c r="BM489" s="16" t="s">
        <v>1987</v>
      </c>
      <c r="BN489" s="16" t="s">
        <v>1987</v>
      </c>
      <c r="BO489" s="16" t="s">
        <v>1987</v>
      </c>
      <c r="BP489" s="16" t="s">
        <v>1987</v>
      </c>
      <c r="BQ489" s="16" t="s">
        <v>1987</v>
      </c>
      <c r="BR489" s="16" t="s">
        <v>1987</v>
      </c>
      <c r="BS489" s="16" t="s">
        <v>1987</v>
      </c>
      <c r="BT489" s="16" t="s">
        <v>1987</v>
      </c>
    </row>
    <row r="490" spans="1:72" ht="18" hidden="1" customHeight="1" x14ac:dyDescent="0.3">
      <c r="A490" s="47" t="s">
        <v>1840</v>
      </c>
      <c r="B490" s="48" t="s">
        <v>389</v>
      </c>
      <c r="C490" s="49" t="s">
        <v>1203</v>
      </c>
      <c r="D490" s="49" t="s">
        <v>1011</v>
      </c>
      <c r="E490" s="50">
        <v>31.58</v>
      </c>
      <c r="F490" s="50">
        <v>0</v>
      </c>
      <c r="G490" s="61">
        <v>1</v>
      </c>
      <c r="H490" s="16" t="s">
        <v>1204</v>
      </c>
      <c r="I490" s="48" t="s">
        <v>1012</v>
      </c>
      <c r="J490" s="16" t="s">
        <v>1205</v>
      </c>
      <c r="K490" s="62">
        <v>1.5</v>
      </c>
      <c r="L490" s="62">
        <v>13.5</v>
      </c>
      <c r="M490" s="62" t="s">
        <v>1014</v>
      </c>
      <c r="N490" s="51"/>
      <c r="O490" s="49" t="str">
        <f>IF(AND(ISBLANK(K490),ISBLANK(N490))," ",IF(ISBLANK(N490),"YES","NO"))</f>
        <v>YES</v>
      </c>
      <c r="P490" s="52"/>
      <c r="Q490" s="53">
        <f t="shared" si="66"/>
        <v>273.7</v>
      </c>
      <c r="R490" s="54">
        <f t="shared" si="67"/>
        <v>86.4</v>
      </c>
      <c r="S490" s="55" t="str">
        <f t="shared" si="68"/>
        <v xml:space="preserve"> </v>
      </c>
      <c r="T490" s="56"/>
      <c r="U490" s="57" t="str">
        <f t="shared" si="69"/>
        <v>100µg/100cm²</v>
      </c>
      <c r="V490" s="58">
        <f t="shared" si="70"/>
        <v>86.4</v>
      </c>
      <c r="W490" s="58" t="str">
        <f t="shared" si="71"/>
        <v xml:space="preserve"> </v>
      </c>
      <c r="X490" s="59" t="str">
        <f t="shared" si="72"/>
        <v/>
      </c>
      <c r="Y490" s="60"/>
      <c r="Z490" s="64"/>
      <c r="AA490" s="16" t="s">
        <v>675</v>
      </c>
      <c r="AB490" s="64"/>
      <c r="AC490" s="64"/>
      <c r="AD490" s="64"/>
      <c r="AE490" s="64"/>
      <c r="AF490" s="64"/>
      <c r="AG490" s="64"/>
      <c r="AH490" s="64"/>
      <c r="AI490" s="64"/>
      <c r="AJ490" s="16" t="s">
        <v>675</v>
      </c>
      <c r="AK490" s="64"/>
      <c r="AL490" s="64"/>
      <c r="AM490" s="16" t="s">
        <v>675</v>
      </c>
      <c r="AN490" s="64"/>
      <c r="AO490" s="64"/>
      <c r="AP490" s="64"/>
      <c r="AQ490" s="64"/>
      <c r="AR490" s="16" t="s">
        <v>675</v>
      </c>
      <c r="AS490" s="16"/>
      <c r="AT490" s="16" t="s">
        <v>675</v>
      </c>
      <c r="AU490" s="64"/>
      <c r="AV490" s="64"/>
      <c r="AW490" s="64"/>
      <c r="AX490" s="64"/>
      <c r="AY490" s="16" t="s">
        <v>675</v>
      </c>
      <c r="AZ490" s="16" t="s">
        <v>675</v>
      </c>
      <c r="BA490" s="16" t="s">
        <v>675</v>
      </c>
      <c r="BB490" s="16" t="s">
        <v>675</v>
      </c>
      <c r="BC490" s="16" t="s">
        <v>675</v>
      </c>
      <c r="BD490" s="64"/>
      <c r="BE490" s="64"/>
      <c r="BF490" s="64"/>
      <c r="BG490" s="64"/>
      <c r="BH490" s="64"/>
      <c r="BI490" s="64"/>
      <c r="BJ490" s="64"/>
      <c r="BK490" s="64"/>
      <c r="BL490" s="64"/>
      <c r="BM490" s="64"/>
      <c r="BN490" s="64"/>
      <c r="BO490" s="64"/>
      <c r="BP490" s="64"/>
      <c r="BQ490" s="64"/>
      <c r="BR490" s="64"/>
      <c r="BS490" s="64"/>
      <c r="BT490" s="65"/>
    </row>
    <row r="491" spans="1:72" ht="18" hidden="1" customHeight="1" x14ac:dyDescent="0.3">
      <c r="A491" s="81" t="s">
        <v>476</v>
      </c>
      <c r="B491" s="76" t="s">
        <v>459</v>
      </c>
      <c r="C491" s="16" t="s">
        <v>1499</v>
      </c>
      <c r="D491" s="16" t="s">
        <v>1496</v>
      </c>
      <c r="E491" s="50">
        <v>15</v>
      </c>
      <c r="F491" s="50">
        <v>0</v>
      </c>
      <c r="G491" s="16">
        <v>7</v>
      </c>
      <c r="H491" s="16" t="s">
        <v>1428</v>
      </c>
      <c r="I491" s="48" t="s">
        <v>1016</v>
      </c>
      <c r="J491" s="16" t="s">
        <v>2382</v>
      </c>
      <c r="K491" s="16">
        <v>50</v>
      </c>
      <c r="L491" s="16">
        <v>50</v>
      </c>
      <c r="M491" s="64"/>
      <c r="N491" s="64"/>
      <c r="O491" s="49" t="str">
        <f>IF(AND(ISBLANK(K491),ISBLANK(N491))," ",IF(ISBLANK(N491),"YES","NO"))</f>
        <v>YES</v>
      </c>
      <c r="P491" s="52"/>
      <c r="Q491" s="53">
        <f t="shared" si="66"/>
        <v>5000</v>
      </c>
      <c r="R491" s="54">
        <f t="shared" si="67"/>
        <v>750</v>
      </c>
      <c r="S491" s="55" t="str">
        <f t="shared" si="68"/>
        <v xml:space="preserve"> </v>
      </c>
      <c r="T491" s="56"/>
      <c r="U491" s="57" t="str">
        <f t="shared" si="69"/>
        <v>100µg/100cm²</v>
      </c>
      <c r="V491" s="58">
        <f t="shared" si="70"/>
        <v>750</v>
      </c>
      <c r="W491" s="58" t="str">
        <f t="shared" si="71"/>
        <v xml:space="preserve"> </v>
      </c>
      <c r="X491" s="59" t="str">
        <f t="shared" si="72"/>
        <v/>
      </c>
      <c r="Y491" s="60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16"/>
      <c r="AS491" s="16" t="s">
        <v>675</v>
      </c>
      <c r="AT491" s="64"/>
      <c r="AU491" s="82"/>
      <c r="AV491" s="82"/>
      <c r="AW491" s="82"/>
      <c r="AX491" s="64"/>
      <c r="AY491" s="64"/>
      <c r="AZ491" s="64"/>
      <c r="BA491" s="64"/>
      <c r="BB491" s="64"/>
      <c r="BC491" s="64"/>
      <c r="BD491" s="64"/>
      <c r="BE491" s="64"/>
      <c r="BF491" s="64"/>
      <c r="BG491" s="64"/>
      <c r="BH491" s="64"/>
      <c r="BI491" s="64"/>
      <c r="BJ491" s="64"/>
      <c r="BK491" s="64"/>
      <c r="BL491" s="64"/>
      <c r="BM491" s="64"/>
      <c r="BN491" s="64"/>
      <c r="BO491" s="64"/>
      <c r="BP491" s="64"/>
      <c r="BQ491" s="64"/>
      <c r="BR491" s="64"/>
      <c r="BS491" s="64"/>
      <c r="BT491" s="65"/>
    </row>
    <row r="492" spans="1:72" ht="18" hidden="1" customHeight="1" x14ac:dyDescent="0.3">
      <c r="A492" s="47" t="s">
        <v>740</v>
      </c>
      <c r="B492" s="69" t="s">
        <v>1897</v>
      </c>
      <c r="C492" s="67" t="s">
        <v>1976</v>
      </c>
      <c r="D492" s="16" t="s">
        <v>1268</v>
      </c>
      <c r="E492" s="50">
        <v>80</v>
      </c>
      <c r="F492" s="50">
        <v>0</v>
      </c>
      <c r="G492" s="61">
        <v>7</v>
      </c>
      <c r="H492" s="68" t="s">
        <v>1250</v>
      </c>
      <c r="I492" s="70" t="s">
        <v>1474</v>
      </c>
      <c r="J492" s="16" t="s">
        <v>1314</v>
      </c>
      <c r="K492" s="49">
        <v>1.5</v>
      </c>
      <c r="L492" s="49">
        <v>1.5</v>
      </c>
      <c r="M492" s="49" t="s">
        <v>1036</v>
      </c>
      <c r="N492" s="132"/>
      <c r="O492" s="49" t="str">
        <f>IF(AND(ISBLANK(K492),ISBLANK(N492))," ",IF(ISBLANK(N492),"YES","NO"))</f>
        <v>YES</v>
      </c>
      <c r="P492" s="52"/>
      <c r="Q492" s="53">
        <f t="shared" si="66"/>
        <v>273.7</v>
      </c>
      <c r="R492" s="54">
        <f t="shared" si="67"/>
        <v>218.9</v>
      </c>
      <c r="S492" s="55" t="str">
        <f t="shared" si="68"/>
        <v xml:space="preserve"> </v>
      </c>
      <c r="T492" s="56"/>
      <c r="U492" s="57" t="str">
        <f t="shared" si="69"/>
        <v>100µg/100cm²</v>
      </c>
      <c r="V492" s="58">
        <f t="shared" si="70"/>
        <v>218.9</v>
      </c>
      <c r="W492" s="57" t="str">
        <f t="shared" si="71"/>
        <v xml:space="preserve"> </v>
      </c>
      <c r="X492" s="59" t="str">
        <f t="shared" si="72"/>
        <v/>
      </c>
      <c r="Y492" s="60"/>
      <c r="Z492" s="16" t="s">
        <v>675</v>
      </c>
      <c r="AA492" s="16" t="s">
        <v>675</v>
      </c>
      <c r="AB492" s="16" t="s">
        <v>675</v>
      </c>
      <c r="AC492" s="64"/>
      <c r="AD492" s="64"/>
      <c r="AE492" s="16" t="s">
        <v>675</v>
      </c>
      <c r="AF492" s="16" t="s">
        <v>675</v>
      </c>
      <c r="AG492" s="16" t="s">
        <v>675</v>
      </c>
      <c r="AH492" s="16" t="s">
        <v>675</v>
      </c>
      <c r="AI492" s="64"/>
      <c r="AJ492" s="16" t="s">
        <v>675</v>
      </c>
      <c r="AK492" s="16" t="s">
        <v>675</v>
      </c>
      <c r="AL492" s="16" t="s">
        <v>675</v>
      </c>
      <c r="AM492" s="16" t="s">
        <v>675</v>
      </c>
      <c r="AN492" s="16" t="s">
        <v>675</v>
      </c>
      <c r="AO492" s="16" t="s">
        <v>675</v>
      </c>
      <c r="AP492" s="16" t="s">
        <v>675</v>
      </c>
      <c r="AQ492" s="64"/>
      <c r="AR492" s="64"/>
      <c r="AS492" s="64"/>
      <c r="AT492" s="16" t="s">
        <v>675</v>
      </c>
      <c r="AU492" s="64"/>
      <c r="AV492" s="64"/>
      <c r="AW492" s="64"/>
      <c r="AX492" s="64"/>
      <c r="AY492" s="64"/>
      <c r="AZ492" s="64"/>
      <c r="BA492" s="64"/>
      <c r="BB492" s="64"/>
      <c r="BC492" s="16" t="s">
        <v>675</v>
      </c>
      <c r="BD492" s="64"/>
      <c r="BE492" s="64"/>
      <c r="BF492" s="64"/>
      <c r="BG492" s="64"/>
      <c r="BH492" s="64"/>
      <c r="BI492" s="64"/>
      <c r="BJ492" s="64"/>
      <c r="BK492" s="64"/>
      <c r="BL492" s="64"/>
      <c r="BM492" s="64"/>
      <c r="BN492" s="64"/>
      <c r="BO492" s="64"/>
      <c r="BP492" s="64"/>
      <c r="BQ492" s="64"/>
      <c r="BR492" s="64"/>
      <c r="BS492" s="64"/>
      <c r="BT492" s="65"/>
    </row>
    <row r="493" spans="1:72" ht="18" hidden="1" customHeight="1" x14ac:dyDescent="0.3">
      <c r="A493" s="98" t="s">
        <v>1752</v>
      </c>
      <c r="B493" s="83" t="s">
        <v>1753</v>
      </c>
      <c r="C493" s="87" t="s">
        <v>1976</v>
      </c>
      <c r="D493" s="16" t="s">
        <v>1268</v>
      </c>
      <c r="E493" s="50">
        <v>80</v>
      </c>
      <c r="F493" s="50">
        <v>0</v>
      </c>
      <c r="G493" s="16">
        <v>6</v>
      </c>
      <c r="H493" s="16">
        <v>1.5</v>
      </c>
      <c r="I493" s="48" t="s">
        <v>1474</v>
      </c>
      <c r="J493" s="16" t="s">
        <v>2018</v>
      </c>
      <c r="K493" s="16" t="s">
        <v>2027</v>
      </c>
      <c r="L493" s="16" t="s">
        <v>2027</v>
      </c>
      <c r="M493" s="64"/>
      <c r="N493" s="64"/>
      <c r="O493" s="16" t="s">
        <v>2027</v>
      </c>
      <c r="P493" s="73"/>
      <c r="Q493" s="53" t="str">
        <f t="shared" si="66"/>
        <v>Pending</v>
      </c>
      <c r="R493" s="54" t="str">
        <f t="shared" si="67"/>
        <v>Pending</v>
      </c>
      <c r="S493" s="55" t="str">
        <f t="shared" si="68"/>
        <v>Pending</v>
      </c>
      <c r="T493" s="56"/>
      <c r="U493" s="57" t="str">
        <f t="shared" si="69"/>
        <v>Pending</v>
      </c>
      <c r="V493" s="58" t="str">
        <f t="shared" si="70"/>
        <v>Pending</v>
      </c>
      <c r="W493" s="57" t="str">
        <f t="shared" si="71"/>
        <v>Pending</v>
      </c>
      <c r="X493" s="59" t="str">
        <f t="shared" si="72"/>
        <v/>
      </c>
      <c r="Y493" s="60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16" t="s">
        <v>675</v>
      </c>
      <c r="AU493" s="64"/>
      <c r="AV493" s="64"/>
      <c r="AW493" s="64"/>
      <c r="AX493" s="64"/>
      <c r="AY493" s="64"/>
      <c r="AZ493" s="64"/>
      <c r="BA493" s="64"/>
      <c r="BB493" s="64"/>
      <c r="BC493" s="64"/>
      <c r="BD493" s="64"/>
      <c r="BE493" s="64"/>
      <c r="BF493" s="64"/>
      <c r="BG493" s="64"/>
      <c r="BH493" s="64"/>
      <c r="BI493" s="64"/>
      <c r="BJ493" s="64"/>
      <c r="BK493" s="64"/>
      <c r="BL493" s="64"/>
      <c r="BM493" s="64"/>
      <c r="BN493" s="64"/>
      <c r="BO493" s="64"/>
      <c r="BP493" s="64"/>
      <c r="BQ493" s="64"/>
      <c r="BR493" s="64"/>
      <c r="BS493" s="64"/>
      <c r="BT493" s="65"/>
    </row>
    <row r="494" spans="1:72" ht="18" hidden="1" customHeight="1" x14ac:dyDescent="0.3">
      <c r="A494" s="98" t="s">
        <v>1754</v>
      </c>
      <c r="B494" s="83" t="s">
        <v>1755</v>
      </c>
      <c r="C494" s="87" t="s">
        <v>1976</v>
      </c>
      <c r="D494" s="16" t="s">
        <v>1268</v>
      </c>
      <c r="E494" s="50">
        <v>80</v>
      </c>
      <c r="F494" s="50">
        <v>0</v>
      </c>
      <c r="G494" s="16">
        <v>7</v>
      </c>
      <c r="H494" s="16" t="s">
        <v>1806</v>
      </c>
      <c r="I494" s="48" t="s">
        <v>1474</v>
      </c>
      <c r="J494" s="16" t="s">
        <v>2018</v>
      </c>
      <c r="K494" s="16" t="s">
        <v>2027</v>
      </c>
      <c r="L494" s="16" t="s">
        <v>2027</v>
      </c>
      <c r="M494" s="64"/>
      <c r="N494" s="64"/>
      <c r="O494" s="16" t="s">
        <v>2027</v>
      </c>
      <c r="P494" s="73"/>
      <c r="Q494" s="53" t="str">
        <f t="shared" si="66"/>
        <v>Pending</v>
      </c>
      <c r="R494" s="54" t="str">
        <f t="shared" si="67"/>
        <v>Pending</v>
      </c>
      <c r="S494" s="55" t="str">
        <f t="shared" si="68"/>
        <v>Pending</v>
      </c>
      <c r="T494" s="56"/>
      <c r="U494" s="57" t="str">
        <f t="shared" si="69"/>
        <v>Pending</v>
      </c>
      <c r="V494" s="58" t="str">
        <f t="shared" si="70"/>
        <v>Pending</v>
      </c>
      <c r="W494" s="57" t="str">
        <f t="shared" si="71"/>
        <v>Pending</v>
      </c>
      <c r="X494" s="59" t="str">
        <f t="shared" si="72"/>
        <v/>
      </c>
      <c r="Y494" s="60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16" t="s">
        <v>675</v>
      </c>
      <c r="AU494" s="64"/>
      <c r="AV494" s="64"/>
      <c r="AW494" s="64"/>
      <c r="AX494" s="64"/>
      <c r="AY494" s="64"/>
      <c r="AZ494" s="64"/>
      <c r="BA494" s="64"/>
      <c r="BB494" s="64"/>
      <c r="BC494" s="64"/>
      <c r="BD494" s="64"/>
      <c r="BE494" s="64"/>
      <c r="BF494" s="64"/>
      <c r="BG494" s="64"/>
      <c r="BH494" s="64"/>
      <c r="BI494" s="64"/>
      <c r="BJ494" s="64"/>
      <c r="BK494" s="64"/>
      <c r="BL494" s="64"/>
      <c r="BM494" s="64"/>
      <c r="BN494" s="64"/>
      <c r="BO494" s="64"/>
      <c r="BP494" s="64"/>
      <c r="BQ494" s="64"/>
      <c r="BR494" s="64"/>
      <c r="BS494" s="64"/>
      <c r="BT494" s="65"/>
    </row>
    <row r="495" spans="1:72" ht="18" hidden="1" customHeight="1" x14ac:dyDescent="0.3">
      <c r="A495" s="47" t="s">
        <v>169</v>
      </c>
      <c r="B495" s="48" t="s">
        <v>170</v>
      </c>
      <c r="C495" s="16" t="s">
        <v>2187</v>
      </c>
      <c r="D495" s="49" t="s">
        <v>1028</v>
      </c>
      <c r="E495" s="50">
        <v>76.599999999999994</v>
      </c>
      <c r="F495" s="50">
        <v>0</v>
      </c>
      <c r="G495" s="61">
        <v>3</v>
      </c>
      <c r="H495" s="16">
        <v>67</v>
      </c>
      <c r="I495" s="49" t="s">
        <v>1016</v>
      </c>
      <c r="J495" s="16" t="s">
        <v>1035</v>
      </c>
      <c r="K495" s="62">
        <v>1.5</v>
      </c>
      <c r="L495" s="62">
        <v>1.5</v>
      </c>
      <c r="M495" s="62" t="s">
        <v>1036</v>
      </c>
      <c r="N495" s="51"/>
      <c r="O495" s="49" t="str">
        <f t="shared" ref="O495:O511" si="74">IF(AND(ISBLANK(K495),ISBLANK(N495))," ",IF(ISBLANK(N495),"YES","NO"))</f>
        <v>YES</v>
      </c>
      <c r="P495" s="52"/>
      <c r="Q495" s="53">
        <f t="shared" si="66"/>
        <v>273.7</v>
      </c>
      <c r="R495" s="54">
        <f t="shared" si="67"/>
        <v>209.6</v>
      </c>
      <c r="S495" s="55" t="str">
        <f t="shared" si="68"/>
        <v xml:space="preserve"> </v>
      </c>
      <c r="T495" s="56"/>
      <c r="U495" s="57" t="str">
        <f t="shared" si="69"/>
        <v>100µg/100cm²</v>
      </c>
      <c r="V495" s="58">
        <f t="shared" si="70"/>
        <v>209.6</v>
      </c>
      <c r="W495" s="58" t="str">
        <f t="shared" si="71"/>
        <v xml:space="preserve"> </v>
      </c>
      <c r="X495" s="59" t="str">
        <f t="shared" si="72"/>
        <v/>
      </c>
      <c r="Y495" s="60"/>
      <c r="Z495" s="64"/>
      <c r="AA495" s="64"/>
      <c r="AB495" s="64"/>
      <c r="AC495" s="64"/>
      <c r="AD495" s="64"/>
      <c r="AE495" s="16" t="s">
        <v>675</v>
      </c>
      <c r="AF495" s="16" t="s">
        <v>675</v>
      </c>
      <c r="AG495" s="64"/>
      <c r="AH495" s="64"/>
      <c r="AI495" s="64"/>
      <c r="AJ495" s="64"/>
      <c r="AK495" s="64"/>
      <c r="AL495" s="64"/>
      <c r="AM495" s="16" t="s">
        <v>675</v>
      </c>
      <c r="AN495" s="64"/>
      <c r="AO495" s="64"/>
      <c r="AP495" s="64"/>
      <c r="AQ495" s="64"/>
      <c r="AR495" s="64"/>
      <c r="AS495" s="64"/>
      <c r="AT495" s="64"/>
      <c r="AU495" s="64"/>
      <c r="AV495" s="64"/>
      <c r="AW495" s="64"/>
      <c r="AX495" s="64"/>
      <c r="AY495" s="64"/>
      <c r="AZ495" s="64"/>
      <c r="BA495" s="16" t="s">
        <v>675</v>
      </c>
      <c r="BB495" s="16" t="s">
        <v>675</v>
      </c>
      <c r="BC495" s="64"/>
      <c r="BD495" s="64"/>
      <c r="BE495" s="64"/>
      <c r="BF495" s="64"/>
      <c r="BG495" s="16" t="s">
        <v>675</v>
      </c>
      <c r="BH495" s="16" t="s">
        <v>675</v>
      </c>
      <c r="BI495" s="64"/>
      <c r="BJ495" s="64"/>
      <c r="BK495" s="64"/>
      <c r="BL495" s="64"/>
      <c r="BM495" s="64"/>
      <c r="BN495" s="64"/>
      <c r="BO495" s="64"/>
      <c r="BP495" s="64"/>
      <c r="BQ495" s="64"/>
      <c r="BR495" s="64"/>
      <c r="BS495" s="16" t="s">
        <v>675</v>
      </c>
      <c r="BT495" s="65"/>
    </row>
    <row r="496" spans="1:72" ht="18" hidden="1" customHeight="1" x14ac:dyDescent="0.3">
      <c r="A496" s="66" t="s">
        <v>734</v>
      </c>
      <c r="B496" s="69" t="s">
        <v>505</v>
      </c>
      <c r="C496" s="16" t="s">
        <v>1287</v>
      </c>
      <c r="D496" s="67" t="s">
        <v>1096</v>
      </c>
      <c r="E496" s="50">
        <v>60.64</v>
      </c>
      <c r="F496" s="50">
        <v>0</v>
      </c>
      <c r="G496" s="61">
        <v>4</v>
      </c>
      <c r="H496" s="16" t="s">
        <v>1288</v>
      </c>
      <c r="I496" s="48" t="s">
        <v>1016</v>
      </c>
      <c r="J496" s="16" t="s">
        <v>1289</v>
      </c>
      <c r="K496" s="62">
        <v>1.5</v>
      </c>
      <c r="L496" s="62">
        <v>1.5</v>
      </c>
      <c r="M496" s="62" t="s">
        <v>1036</v>
      </c>
      <c r="N496" s="62" t="s">
        <v>1058</v>
      </c>
      <c r="O496" s="49" t="str">
        <f t="shared" si="74"/>
        <v>NO</v>
      </c>
      <c r="P496" s="52"/>
      <c r="Q496" s="53">
        <f t="shared" si="66"/>
        <v>1.5</v>
      </c>
      <c r="R496" s="54">
        <f t="shared" si="67"/>
        <v>0.9</v>
      </c>
      <c r="S496" s="55" t="str">
        <f t="shared" si="68"/>
        <v xml:space="preserve"> </v>
      </c>
      <c r="T496" s="56"/>
      <c r="U496" s="57" t="str">
        <f t="shared" si="69"/>
        <v>Mitigation</v>
      </c>
      <c r="V496" s="58">
        <f t="shared" si="70"/>
        <v>0.9</v>
      </c>
      <c r="W496" s="58" t="str">
        <f t="shared" si="71"/>
        <v xml:space="preserve"> </v>
      </c>
      <c r="X496" s="59" t="str">
        <f t="shared" si="72"/>
        <v/>
      </c>
      <c r="Y496" s="60"/>
      <c r="Z496" s="64"/>
      <c r="AA496" s="64"/>
      <c r="AB496" s="64"/>
      <c r="AC496" s="64"/>
      <c r="AD496" s="64"/>
      <c r="AE496" s="64"/>
      <c r="AF496" s="64"/>
      <c r="AG496" s="64"/>
      <c r="AH496" s="64"/>
      <c r="AI496" s="16" t="s">
        <v>675</v>
      </c>
      <c r="AJ496" s="64"/>
      <c r="AK496" s="64"/>
      <c r="AL496" s="64"/>
      <c r="AM496" s="16" t="s">
        <v>675</v>
      </c>
      <c r="AN496" s="64"/>
      <c r="AO496" s="64"/>
      <c r="AP496" s="64"/>
      <c r="AQ496" s="64"/>
      <c r="AR496" s="64"/>
      <c r="AS496" s="16" t="s">
        <v>675</v>
      </c>
      <c r="AT496" s="64"/>
      <c r="AU496" s="64"/>
      <c r="AV496" s="64"/>
      <c r="AW496" s="64"/>
      <c r="AX496" s="64"/>
      <c r="AY496" s="64"/>
      <c r="AZ496" s="64"/>
      <c r="BA496" s="64"/>
      <c r="BB496" s="64"/>
      <c r="BC496" s="64"/>
      <c r="BD496" s="64"/>
      <c r="BE496" s="64"/>
      <c r="BF496" s="64"/>
      <c r="BG496" s="64"/>
      <c r="BH496" s="64"/>
      <c r="BI496" s="64"/>
      <c r="BJ496" s="64"/>
      <c r="BK496" s="64"/>
      <c r="BL496" s="64"/>
      <c r="BM496" s="64"/>
      <c r="BN496" s="64"/>
      <c r="BO496" s="64"/>
      <c r="BP496" s="64"/>
      <c r="BQ496" s="64"/>
      <c r="BR496" s="64"/>
      <c r="BS496" s="64"/>
      <c r="BT496" s="65"/>
    </row>
    <row r="497" spans="1:72" ht="18" hidden="1" customHeight="1" x14ac:dyDescent="0.3">
      <c r="A497" s="47" t="s">
        <v>1841</v>
      </c>
      <c r="B497" s="48" t="s">
        <v>10</v>
      </c>
      <c r="C497" s="16" t="s">
        <v>2188</v>
      </c>
      <c r="D497" s="49" t="s">
        <v>1096</v>
      </c>
      <c r="E497" s="50">
        <v>64.41</v>
      </c>
      <c r="F497" s="50">
        <v>0</v>
      </c>
      <c r="G497" s="61">
        <v>5</v>
      </c>
      <c r="H497" s="16">
        <v>3</v>
      </c>
      <c r="I497" s="49" t="s">
        <v>1016</v>
      </c>
      <c r="J497" s="16" t="s">
        <v>1097</v>
      </c>
      <c r="K497" s="62">
        <v>1.5</v>
      </c>
      <c r="L497" s="62">
        <v>1.5</v>
      </c>
      <c r="M497" s="62" t="s">
        <v>1036</v>
      </c>
      <c r="N497" s="51"/>
      <c r="O497" s="49" t="str">
        <f t="shared" si="74"/>
        <v>YES</v>
      </c>
      <c r="P497" s="52"/>
      <c r="Q497" s="53">
        <f t="shared" si="66"/>
        <v>273.7</v>
      </c>
      <c r="R497" s="54">
        <f t="shared" si="67"/>
        <v>176.2</v>
      </c>
      <c r="S497" s="55" t="str">
        <f t="shared" si="68"/>
        <v xml:space="preserve"> </v>
      </c>
      <c r="T497" s="56"/>
      <c r="U497" s="57" t="str">
        <f t="shared" si="69"/>
        <v>100µg/100cm²</v>
      </c>
      <c r="V497" s="58">
        <f t="shared" si="70"/>
        <v>176.2</v>
      </c>
      <c r="W497" s="58" t="str">
        <f t="shared" si="71"/>
        <v xml:space="preserve"> </v>
      </c>
      <c r="X497" s="59" t="str">
        <f t="shared" si="72"/>
        <v/>
      </c>
      <c r="Y497" s="60"/>
      <c r="Z497" s="64"/>
      <c r="AA497" s="64"/>
      <c r="AB497" s="16" t="s">
        <v>675</v>
      </c>
      <c r="AC497" s="64"/>
      <c r="AD497" s="64"/>
      <c r="AE497" s="64"/>
      <c r="AF497" s="16" t="s">
        <v>675</v>
      </c>
      <c r="AG497" s="64"/>
      <c r="AH497" s="16" t="s">
        <v>675</v>
      </c>
      <c r="AI497" s="16" t="s">
        <v>675</v>
      </c>
      <c r="AJ497" s="64"/>
      <c r="AK497" s="16" t="s">
        <v>675</v>
      </c>
      <c r="AL497" s="16" t="s">
        <v>675</v>
      </c>
      <c r="AM497" s="16" t="s">
        <v>675</v>
      </c>
      <c r="AN497" s="64"/>
      <c r="AO497" s="64"/>
      <c r="AP497" s="64"/>
      <c r="AQ497" s="64"/>
      <c r="AR497" s="64"/>
      <c r="AS497" s="16" t="s">
        <v>675</v>
      </c>
      <c r="AT497" s="16" t="s">
        <v>675</v>
      </c>
      <c r="AU497" s="64"/>
      <c r="AV497" s="64"/>
      <c r="AW497" s="64"/>
      <c r="AX497" s="64"/>
      <c r="AY497" s="64"/>
      <c r="AZ497" s="64"/>
      <c r="BA497" s="64"/>
      <c r="BB497" s="64"/>
      <c r="BC497" s="64"/>
      <c r="BD497" s="64"/>
      <c r="BE497" s="64"/>
      <c r="BF497" s="64"/>
      <c r="BG497" s="16" t="s">
        <v>675</v>
      </c>
      <c r="BH497" s="64"/>
      <c r="BI497" s="64"/>
      <c r="BJ497" s="64"/>
      <c r="BK497" s="64"/>
      <c r="BL497" s="64"/>
      <c r="BM497" s="64"/>
      <c r="BN497" s="64"/>
      <c r="BO497" s="64"/>
      <c r="BP497" s="64"/>
      <c r="BQ497" s="64"/>
      <c r="BR497" s="64"/>
      <c r="BS497" s="16" t="s">
        <v>675</v>
      </c>
      <c r="BT497" s="65"/>
    </row>
    <row r="498" spans="1:72" ht="18" hidden="1" customHeight="1" x14ac:dyDescent="0.3">
      <c r="A498" s="47" t="s">
        <v>635</v>
      </c>
      <c r="B498" s="49" t="s">
        <v>636</v>
      </c>
      <c r="C498" s="16" t="s">
        <v>2189</v>
      </c>
      <c r="D498" s="49" t="s">
        <v>1028</v>
      </c>
      <c r="E498" s="50">
        <v>69.5</v>
      </c>
      <c r="F498" s="50">
        <v>0</v>
      </c>
      <c r="G498" s="61">
        <v>4</v>
      </c>
      <c r="H498" s="16">
        <v>26.7</v>
      </c>
      <c r="I498" s="49" t="s">
        <v>1040</v>
      </c>
      <c r="J498" s="16" t="s">
        <v>1044</v>
      </c>
      <c r="K498" s="62">
        <v>1600</v>
      </c>
      <c r="L498" s="62">
        <v>14400</v>
      </c>
      <c r="M498" s="62" t="s">
        <v>1014</v>
      </c>
      <c r="N498" s="51"/>
      <c r="O498" s="49" t="str">
        <f t="shared" si="74"/>
        <v>YES</v>
      </c>
      <c r="P498" s="52"/>
      <c r="Q498" s="53">
        <f t="shared" si="66"/>
        <v>5000</v>
      </c>
      <c r="R498" s="54">
        <f t="shared" si="67"/>
        <v>3475</v>
      </c>
      <c r="S498" s="55" t="str">
        <f t="shared" si="68"/>
        <v xml:space="preserve"> </v>
      </c>
      <c r="T498" s="56"/>
      <c r="U498" s="57" t="str">
        <f t="shared" si="69"/>
        <v>100µg/100cm²</v>
      </c>
      <c r="V498" s="58">
        <f t="shared" si="70"/>
        <v>3475</v>
      </c>
      <c r="W498" s="58" t="str">
        <f t="shared" si="71"/>
        <v xml:space="preserve"> </v>
      </c>
      <c r="X498" s="59" t="str">
        <f t="shared" si="72"/>
        <v/>
      </c>
      <c r="Y498" s="60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AV498" s="64"/>
      <c r="AW498" s="64"/>
      <c r="AX498" s="16" t="s">
        <v>675</v>
      </c>
      <c r="AY498" s="64"/>
      <c r="AZ498" s="64"/>
      <c r="BA498" s="64"/>
      <c r="BB498" s="64"/>
      <c r="BC498" s="64"/>
      <c r="BD498" s="64"/>
      <c r="BE498" s="64"/>
      <c r="BF498" s="64"/>
      <c r="BG498" s="64"/>
      <c r="BH498" s="64"/>
      <c r="BI498" s="64"/>
      <c r="BJ498" s="64"/>
      <c r="BK498" s="64"/>
      <c r="BL498" s="64"/>
      <c r="BM498" s="64"/>
      <c r="BN498" s="64"/>
      <c r="BO498" s="64"/>
      <c r="BP498" s="64"/>
      <c r="BQ498" s="64"/>
      <c r="BR498" s="64"/>
      <c r="BS498" s="64"/>
      <c r="BT498" s="65"/>
    </row>
    <row r="499" spans="1:72" ht="18" hidden="1" customHeight="1" x14ac:dyDescent="0.3">
      <c r="A499" s="47" t="s">
        <v>679</v>
      </c>
      <c r="B499" s="49" t="s">
        <v>680</v>
      </c>
      <c r="C499" s="16" t="s">
        <v>2190</v>
      </c>
      <c r="D499" s="49" t="s">
        <v>1086</v>
      </c>
      <c r="E499" s="50">
        <v>48.28</v>
      </c>
      <c r="F499" s="50">
        <v>0</v>
      </c>
      <c r="G499" s="61">
        <v>6</v>
      </c>
      <c r="H499" s="16" t="s">
        <v>1087</v>
      </c>
      <c r="I499" s="49" t="s">
        <v>1016</v>
      </c>
      <c r="J499" s="16" t="s">
        <v>1088</v>
      </c>
      <c r="K499" s="49">
        <v>150</v>
      </c>
      <c r="L499" s="49">
        <v>1350</v>
      </c>
      <c r="M499" s="62" t="s">
        <v>1021</v>
      </c>
      <c r="N499" s="51"/>
      <c r="O499" s="49" t="str">
        <f t="shared" si="74"/>
        <v>YES</v>
      </c>
      <c r="P499" s="52"/>
      <c r="Q499" s="53">
        <f t="shared" si="66"/>
        <v>5000</v>
      </c>
      <c r="R499" s="54">
        <f t="shared" si="67"/>
        <v>2414</v>
      </c>
      <c r="S499" s="55" t="str">
        <f t="shared" si="68"/>
        <v xml:space="preserve"> </v>
      </c>
      <c r="T499" s="56"/>
      <c r="U499" s="57" t="str">
        <f t="shared" si="69"/>
        <v>100µg/100cm²</v>
      </c>
      <c r="V499" s="58">
        <f t="shared" si="70"/>
        <v>2414</v>
      </c>
      <c r="W499" s="58" t="str">
        <f t="shared" si="71"/>
        <v xml:space="preserve"> </v>
      </c>
      <c r="X499" s="59" t="str">
        <f t="shared" si="72"/>
        <v/>
      </c>
      <c r="Y499" s="60"/>
      <c r="Z499" s="16" t="s">
        <v>675</v>
      </c>
      <c r="AA499" s="16" t="s">
        <v>675</v>
      </c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16" t="s">
        <v>675</v>
      </c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  <c r="BE499" s="65"/>
      <c r="BF499" s="65"/>
      <c r="BG499" s="65"/>
      <c r="BH499" s="65"/>
      <c r="BI499" s="65"/>
      <c r="BJ499" s="65"/>
      <c r="BK499" s="65"/>
      <c r="BL499" s="65"/>
      <c r="BM499" s="65"/>
      <c r="BN499" s="65"/>
      <c r="BO499" s="65"/>
      <c r="BP499" s="65"/>
      <c r="BQ499" s="65"/>
      <c r="BR499" s="65"/>
      <c r="BS499" s="65"/>
      <c r="BT499" s="65"/>
    </row>
    <row r="500" spans="1:72" ht="18" customHeight="1" x14ac:dyDescent="0.3">
      <c r="A500" s="66" t="s">
        <v>777</v>
      </c>
      <c r="B500" s="69" t="s">
        <v>504</v>
      </c>
      <c r="C500" s="67" t="s">
        <v>1423</v>
      </c>
      <c r="D500" s="67" t="s">
        <v>1424</v>
      </c>
      <c r="E500" s="50">
        <v>0</v>
      </c>
      <c r="F500" s="50">
        <v>0</v>
      </c>
      <c r="G500" s="61">
        <v>7</v>
      </c>
      <c r="H500" s="68" t="s">
        <v>1271</v>
      </c>
      <c r="I500" s="48" t="s">
        <v>1189</v>
      </c>
      <c r="J500" s="16" t="s">
        <v>2386</v>
      </c>
      <c r="K500" s="49">
        <v>50</v>
      </c>
      <c r="L500" s="49">
        <v>50</v>
      </c>
      <c r="M500" s="64"/>
      <c r="N500" s="64"/>
      <c r="O500" s="49" t="str">
        <f t="shared" si="74"/>
        <v>YES</v>
      </c>
      <c r="P500" s="52"/>
      <c r="Q500" s="53">
        <f t="shared" si="66"/>
        <v>5000</v>
      </c>
      <c r="R500" s="54" t="str">
        <f t="shared" si="67"/>
        <v xml:space="preserve"> </v>
      </c>
      <c r="S500" s="55" t="str">
        <f t="shared" si="68"/>
        <v xml:space="preserve"> </v>
      </c>
      <c r="T500" s="56"/>
      <c r="U500" s="57" t="str">
        <f t="shared" si="69"/>
        <v xml:space="preserve"> </v>
      </c>
      <c r="V500" s="58" t="str">
        <f t="shared" si="70"/>
        <v xml:space="preserve"> </v>
      </c>
      <c r="W500" s="58" t="str">
        <f t="shared" si="71"/>
        <v xml:space="preserve"> </v>
      </c>
      <c r="X500" s="59" t="str">
        <f t="shared" si="72"/>
        <v>Mitigation</v>
      </c>
      <c r="Y500" s="60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16" t="s">
        <v>675</v>
      </c>
      <c r="AT500" s="64"/>
      <c r="AU500" s="64"/>
      <c r="AV500" s="64"/>
      <c r="AW500" s="64"/>
      <c r="AX500" s="64"/>
      <c r="AY500" s="64"/>
      <c r="AZ500" s="64"/>
      <c r="BA500" s="64"/>
      <c r="BB500" s="64"/>
      <c r="BC500" s="64"/>
      <c r="BD500" s="64"/>
      <c r="BE500" s="64"/>
      <c r="BF500" s="64"/>
      <c r="BG500" s="64"/>
      <c r="BH500" s="64"/>
      <c r="BI500" s="64"/>
      <c r="BJ500" s="64"/>
      <c r="BK500" s="64"/>
      <c r="BL500" s="64"/>
      <c r="BM500" s="64"/>
      <c r="BN500" s="64"/>
      <c r="BO500" s="64"/>
      <c r="BP500" s="64"/>
      <c r="BQ500" s="64"/>
      <c r="BR500" s="64"/>
      <c r="BS500" s="64"/>
      <c r="BT500" s="65"/>
    </row>
    <row r="501" spans="1:72" ht="18" customHeight="1" x14ac:dyDescent="0.3">
      <c r="A501" s="47" t="s">
        <v>402</v>
      </c>
      <c r="B501" s="49" t="s">
        <v>403</v>
      </c>
      <c r="C501" s="49" t="s">
        <v>1337</v>
      </c>
      <c r="D501" s="70" t="s">
        <v>1011</v>
      </c>
      <c r="E501" s="50">
        <v>0</v>
      </c>
      <c r="F501" s="50">
        <v>0</v>
      </c>
      <c r="G501" s="61">
        <v>1</v>
      </c>
      <c r="H501" s="16" t="s">
        <v>1023</v>
      </c>
      <c r="I501" s="49" t="s">
        <v>1012</v>
      </c>
      <c r="J501" s="16" t="s">
        <v>2386</v>
      </c>
      <c r="K501" s="49">
        <v>50</v>
      </c>
      <c r="L501" s="49">
        <v>50</v>
      </c>
      <c r="M501" s="64"/>
      <c r="N501" s="64"/>
      <c r="O501" s="49" t="str">
        <f t="shared" si="74"/>
        <v>YES</v>
      </c>
      <c r="P501" s="52"/>
      <c r="Q501" s="53">
        <f t="shared" si="66"/>
        <v>5000</v>
      </c>
      <c r="R501" s="54" t="str">
        <f t="shared" si="67"/>
        <v xml:space="preserve"> </v>
      </c>
      <c r="S501" s="55" t="str">
        <f t="shared" si="68"/>
        <v xml:space="preserve"> </v>
      </c>
      <c r="T501" s="56"/>
      <c r="U501" s="57" t="str">
        <f t="shared" si="69"/>
        <v xml:space="preserve"> </v>
      </c>
      <c r="V501" s="58" t="str">
        <f t="shared" si="70"/>
        <v xml:space="preserve"> </v>
      </c>
      <c r="W501" s="58" t="str">
        <f t="shared" si="71"/>
        <v xml:space="preserve"> </v>
      </c>
      <c r="X501" s="59" t="str">
        <f t="shared" si="72"/>
        <v>Water criteria (conductivity)</v>
      </c>
      <c r="Y501" s="60"/>
      <c r="Z501" s="16" t="s">
        <v>675</v>
      </c>
      <c r="AA501" s="16" t="s">
        <v>675</v>
      </c>
      <c r="AB501" s="16" t="s">
        <v>675</v>
      </c>
      <c r="AC501" s="64"/>
      <c r="AD501" s="64"/>
      <c r="AE501" s="16" t="s">
        <v>675</v>
      </c>
      <c r="AF501" s="16" t="s">
        <v>675</v>
      </c>
      <c r="AG501" s="16" t="s">
        <v>675</v>
      </c>
      <c r="AH501" s="64"/>
      <c r="AI501" s="16" t="s">
        <v>675</v>
      </c>
      <c r="AJ501" s="16" t="s">
        <v>675</v>
      </c>
      <c r="AK501" s="16" t="s">
        <v>675</v>
      </c>
      <c r="AL501" s="16" t="s">
        <v>675</v>
      </c>
      <c r="AM501" s="16" t="s">
        <v>675</v>
      </c>
      <c r="AN501" s="64"/>
      <c r="AO501" s="64"/>
      <c r="AP501" s="64"/>
      <c r="AQ501" s="64"/>
      <c r="AR501" s="16" t="s">
        <v>675</v>
      </c>
      <c r="AS501" s="16" t="s">
        <v>675</v>
      </c>
      <c r="AT501" s="16" t="s">
        <v>675</v>
      </c>
      <c r="AU501" s="16" t="s">
        <v>675</v>
      </c>
      <c r="AV501" s="64"/>
      <c r="AW501" s="16" t="s">
        <v>675</v>
      </c>
      <c r="AX501" s="64"/>
      <c r="AY501" s="64"/>
      <c r="AZ501" s="64"/>
      <c r="BA501" s="64"/>
      <c r="BB501" s="64"/>
      <c r="BC501" s="16" t="s">
        <v>675</v>
      </c>
      <c r="BD501" s="64"/>
      <c r="BE501" s="16" t="s">
        <v>675</v>
      </c>
      <c r="BF501" s="64"/>
      <c r="BG501" s="64"/>
      <c r="BH501" s="64"/>
      <c r="BI501" s="64"/>
      <c r="BJ501" s="64"/>
      <c r="BK501" s="64"/>
      <c r="BL501" s="64"/>
      <c r="BM501" s="16" t="s">
        <v>675</v>
      </c>
      <c r="BN501" s="64"/>
      <c r="BO501" s="64"/>
      <c r="BP501" s="64"/>
      <c r="BQ501" s="64"/>
      <c r="BR501" s="64"/>
      <c r="BS501" s="16" t="s">
        <v>675</v>
      </c>
      <c r="BT501" s="65"/>
    </row>
    <row r="502" spans="1:72" ht="18" hidden="1" customHeight="1" x14ac:dyDescent="0.3">
      <c r="A502" s="81" t="s">
        <v>580</v>
      </c>
      <c r="B502" s="76" t="s">
        <v>459</v>
      </c>
      <c r="C502" s="16" t="s">
        <v>1503</v>
      </c>
      <c r="D502" s="16" t="s">
        <v>1494</v>
      </c>
      <c r="E502" s="50">
        <v>50</v>
      </c>
      <c r="F502" s="50">
        <v>0</v>
      </c>
      <c r="G502" s="16">
        <v>1</v>
      </c>
      <c r="H502" s="16" t="s">
        <v>1023</v>
      </c>
      <c r="I502" s="16" t="s">
        <v>1016</v>
      </c>
      <c r="J502" s="16" t="s">
        <v>2382</v>
      </c>
      <c r="K502" s="16">
        <v>50</v>
      </c>
      <c r="L502" s="16">
        <v>50</v>
      </c>
      <c r="M502" s="64"/>
      <c r="N502" s="64"/>
      <c r="O502" s="49" t="str">
        <f t="shared" si="74"/>
        <v>YES</v>
      </c>
      <c r="P502" s="52"/>
      <c r="Q502" s="53">
        <f t="shared" si="66"/>
        <v>5000</v>
      </c>
      <c r="R502" s="54">
        <f t="shared" si="67"/>
        <v>2500</v>
      </c>
      <c r="S502" s="55" t="str">
        <f t="shared" si="68"/>
        <v xml:space="preserve"> </v>
      </c>
      <c r="T502" s="56"/>
      <c r="U502" s="57" t="str">
        <f t="shared" si="69"/>
        <v>100µg/100cm²</v>
      </c>
      <c r="V502" s="58">
        <f t="shared" si="70"/>
        <v>2500</v>
      </c>
      <c r="W502" s="58" t="str">
        <f t="shared" si="71"/>
        <v xml:space="preserve"> </v>
      </c>
      <c r="X502" s="59" t="str">
        <f t="shared" si="72"/>
        <v/>
      </c>
      <c r="Y502" s="60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16" t="s">
        <v>675</v>
      </c>
      <c r="AT502" s="64"/>
      <c r="AU502" s="82"/>
      <c r="AV502" s="82"/>
      <c r="AW502" s="82"/>
      <c r="AX502" s="64"/>
      <c r="AY502" s="64"/>
      <c r="AZ502" s="64"/>
      <c r="BA502" s="64"/>
      <c r="BB502" s="64"/>
      <c r="BC502" s="64"/>
      <c r="BD502" s="64"/>
      <c r="BE502" s="64"/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  <c r="BQ502" s="64"/>
      <c r="BR502" s="64"/>
      <c r="BS502" s="64"/>
      <c r="BT502" s="65"/>
    </row>
    <row r="503" spans="1:72" ht="18" hidden="1" customHeight="1" x14ac:dyDescent="0.3">
      <c r="A503" s="47" t="s">
        <v>380</v>
      </c>
      <c r="B503" s="48" t="s">
        <v>381</v>
      </c>
      <c r="C503" s="16" t="s">
        <v>2191</v>
      </c>
      <c r="D503" s="49" t="s">
        <v>1011</v>
      </c>
      <c r="E503" s="50">
        <v>52.5</v>
      </c>
      <c r="F503" s="50">
        <v>0</v>
      </c>
      <c r="G503" s="61">
        <v>4</v>
      </c>
      <c r="H503" s="68">
        <v>25</v>
      </c>
      <c r="I503" s="48" t="s">
        <v>1016</v>
      </c>
      <c r="J503" s="16" t="s">
        <v>2386</v>
      </c>
      <c r="K503" s="49">
        <v>50</v>
      </c>
      <c r="L503" s="49">
        <v>50</v>
      </c>
      <c r="M503" s="64"/>
      <c r="N503" s="64"/>
      <c r="O503" s="49" t="str">
        <f t="shared" si="74"/>
        <v>YES</v>
      </c>
      <c r="P503" s="52"/>
      <c r="Q503" s="53">
        <f t="shared" si="66"/>
        <v>5000</v>
      </c>
      <c r="R503" s="54">
        <f t="shared" si="67"/>
        <v>2625</v>
      </c>
      <c r="S503" s="55" t="str">
        <f t="shared" si="68"/>
        <v xml:space="preserve"> </v>
      </c>
      <c r="T503" s="56"/>
      <c r="U503" s="57" t="str">
        <f t="shared" si="69"/>
        <v>100µg/100cm²</v>
      </c>
      <c r="V503" s="58">
        <f t="shared" si="70"/>
        <v>2625</v>
      </c>
      <c r="W503" s="58" t="str">
        <f t="shared" si="71"/>
        <v xml:space="preserve"> </v>
      </c>
      <c r="X503" s="59" t="str">
        <f t="shared" si="72"/>
        <v/>
      </c>
      <c r="Y503" s="60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16" t="s">
        <v>675</v>
      </c>
      <c r="AR503" s="64"/>
      <c r="AS503" s="64"/>
      <c r="AT503" s="64"/>
      <c r="AU503" s="16" t="s">
        <v>675</v>
      </c>
      <c r="AV503" s="64"/>
      <c r="AW503" s="16" t="s">
        <v>675</v>
      </c>
      <c r="AX503" s="64"/>
      <c r="AY503" s="64"/>
      <c r="AZ503" s="64"/>
      <c r="BA503" s="64"/>
      <c r="BB503" s="64"/>
      <c r="BC503" s="64"/>
      <c r="BD503" s="64"/>
      <c r="BE503" s="64"/>
      <c r="BF503" s="64"/>
      <c r="BG503" s="64"/>
      <c r="BH503" s="64"/>
      <c r="BI503" s="64"/>
      <c r="BJ503" s="64"/>
      <c r="BK503" s="64"/>
      <c r="BL503" s="64"/>
      <c r="BM503" s="64"/>
      <c r="BN503" s="64"/>
      <c r="BO503" s="64"/>
      <c r="BP503" s="64"/>
      <c r="BQ503" s="64"/>
      <c r="BR503" s="64"/>
      <c r="BS503" s="64"/>
      <c r="BT503" s="65"/>
    </row>
    <row r="504" spans="1:72" ht="18" hidden="1" customHeight="1" x14ac:dyDescent="0.3">
      <c r="A504" s="47" t="s">
        <v>98</v>
      </c>
      <c r="B504" s="48" t="s">
        <v>99</v>
      </c>
      <c r="C504" s="16" t="s">
        <v>2192</v>
      </c>
      <c r="D504" s="49" t="s">
        <v>1055</v>
      </c>
      <c r="E504" s="50">
        <v>55.81</v>
      </c>
      <c r="F504" s="50">
        <v>0</v>
      </c>
      <c r="G504" s="61">
        <v>2</v>
      </c>
      <c r="H504" s="16">
        <v>150</v>
      </c>
      <c r="I504" s="48" t="s">
        <v>1016</v>
      </c>
      <c r="J504" s="16" t="s">
        <v>1056</v>
      </c>
      <c r="K504" s="49">
        <v>5</v>
      </c>
      <c r="L504" s="49">
        <v>5</v>
      </c>
      <c r="M504" s="62" t="s">
        <v>1033</v>
      </c>
      <c r="N504" s="62" t="s">
        <v>1043</v>
      </c>
      <c r="O504" s="49" t="str">
        <f t="shared" si="74"/>
        <v>NO</v>
      </c>
      <c r="P504" s="52"/>
      <c r="Q504" s="53">
        <f t="shared" si="66"/>
        <v>5</v>
      </c>
      <c r="R504" s="54">
        <f t="shared" si="67"/>
        <v>2.7</v>
      </c>
      <c r="S504" s="55" t="str">
        <f t="shared" si="68"/>
        <v xml:space="preserve"> </v>
      </c>
      <c r="T504" s="56"/>
      <c r="U504" s="57" t="str">
        <f t="shared" si="69"/>
        <v>Mitigation</v>
      </c>
      <c r="V504" s="58">
        <f t="shared" si="70"/>
        <v>2.7</v>
      </c>
      <c r="W504" s="58" t="str">
        <f t="shared" si="71"/>
        <v xml:space="preserve"> </v>
      </c>
      <c r="X504" s="59" t="str">
        <f t="shared" si="72"/>
        <v/>
      </c>
      <c r="Y504" s="60"/>
      <c r="Z504" s="64"/>
      <c r="AA504" s="64"/>
      <c r="AB504" s="64"/>
      <c r="AC504" s="16" t="s">
        <v>675</v>
      </c>
      <c r="AD504" s="64"/>
      <c r="AE504" s="64"/>
      <c r="AF504" s="64"/>
      <c r="AG504" s="64"/>
      <c r="AH504" s="64"/>
      <c r="AI504" s="64"/>
      <c r="AJ504" s="64"/>
      <c r="AK504" s="64"/>
      <c r="AL504" s="64"/>
      <c r="AM504" s="16" t="s">
        <v>675</v>
      </c>
      <c r="AN504" s="64"/>
      <c r="AO504" s="64"/>
      <c r="AP504" s="64"/>
      <c r="AQ504" s="64"/>
      <c r="AR504" s="64"/>
      <c r="AS504" s="16" t="s">
        <v>675</v>
      </c>
      <c r="AT504" s="64"/>
      <c r="AU504" s="64"/>
      <c r="AV504" s="64"/>
      <c r="AW504" s="64"/>
      <c r="AX504" s="64"/>
      <c r="AY504" s="64"/>
      <c r="AZ504" s="64"/>
      <c r="BA504" s="64"/>
      <c r="BB504" s="64"/>
      <c r="BC504" s="64"/>
      <c r="BD504" s="64"/>
      <c r="BE504" s="64"/>
      <c r="BF504" s="64"/>
      <c r="BG504" s="64"/>
      <c r="BH504" s="64"/>
      <c r="BI504" s="64"/>
      <c r="BJ504" s="64"/>
      <c r="BK504" s="16" t="s">
        <v>675</v>
      </c>
      <c r="BL504" s="64"/>
      <c r="BM504" s="64"/>
      <c r="BN504" s="64"/>
      <c r="BO504" s="64"/>
      <c r="BP504" s="64"/>
      <c r="BQ504" s="64"/>
      <c r="BR504" s="64"/>
      <c r="BS504" s="16" t="s">
        <v>675</v>
      </c>
      <c r="BT504" s="65"/>
    </row>
    <row r="505" spans="1:72" ht="18" hidden="1" customHeight="1" x14ac:dyDescent="0.3">
      <c r="A505" s="66" t="s">
        <v>433</v>
      </c>
      <c r="B505" s="69" t="s">
        <v>1813</v>
      </c>
      <c r="C505" s="16" t="s">
        <v>1631</v>
      </c>
      <c r="D505" s="16" t="s">
        <v>1618</v>
      </c>
      <c r="E505" s="50">
        <v>51.2</v>
      </c>
      <c r="F505" s="50">
        <v>0</v>
      </c>
      <c r="G505" s="16">
        <v>4</v>
      </c>
      <c r="H505" s="16" t="s">
        <v>1814</v>
      </c>
      <c r="I505" s="16" t="s">
        <v>1016</v>
      </c>
      <c r="J505" s="16" t="s">
        <v>2394</v>
      </c>
      <c r="K505" s="16">
        <v>5</v>
      </c>
      <c r="L505" s="16">
        <v>5</v>
      </c>
      <c r="M505" s="64"/>
      <c r="N505" s="64"/>
      <c r="O505" s="63" t="str">
        <f t="shared" si="74"/>
        <v>YES</v>
      </c>
      <c r="P505" s="52"/>
      <c r="Q505" s="53">
        <f t="shared" si="66"/>
        <v>912.5</v>
      </c>
      <c r="R505" s="54">
        <f t="shared" si="67"/>
        <v>467.2</v>
      </c>
      <c r="S505" s="55" t="str">
        <f t="shared" si="68"/>
        <v xml:space="preserve"> </v>
      </c>
      <c r="T505" s="56"/>
      <c r="U505" s="57" t="str">
        <f t="shared" si="69"/>
        <v>100µg/100cm²</v>
      </c>
      <c r="V505" s="58">
        <f t="shared" si="70"/>
        <v>467.2</v>
      </c>
      <c r="W505" s="57" t="str">
        <f t="shared" si="71"/>
        <v xml:space="preserve"> </v>
      </c>
      <c r="X505" s="59" t="str">
        <f t="shared" si="72"/>
        <v/>
      </c>
      <c r="Y505" s="60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16" t="s">
        <v>675</v>
      </c>
      <c r="AS505" s="64"/>
      <c r="AT505" s="64"/>
      <c r="AU505" s="64"/>
      <c r="AV505" s="64"/>
      <c r="AW505" s="64"/>
      <c r="AX505" s="64"/>
      <c r="AY505" s="64"/>
      <c r="AZ505" s="64"/>
      <c r="BA505" s="64"/>
      <c r="BB505" s="64"/>
      <c r="BC505" s="64"/>
      <c r="BD505" s="64"/>
      <c r="BE505" s="64"/>
      <c r="BF505" s="64"/>
      <c r="BG505" s="64"/>
      <c r="BH505" s="64"/>
      <c r="BI505" s="64"/>
      <c r="BJ505" s="64"/>
      <c r="BK505" s="64"/>
      <c r="BL505" s="64"/>
      <c r="BM505" s="64"/>
      <c r="BN505" s="64"/>
      <c r="BO505" s="64"/>
      <c r="BP505" s="64"/>
      <c r="BQ505" s="64"/>
      <c r="BR505" s="64"/>
      <c r="BS505" s="64"/>
      <c r="BT505" s="65"/>
    </row>
    <row r="506" spans="1:72" ht="18" hidden="1" customHeight="1" x14ac:dyDescent="0.3">
      <c r="A506" s="47" t="s">
        <v>1842</v>
      </c>
      <c r="B506" s="48" t="s">
        <v>138</v>
      </c>
      <c r="C506" s="49" t="s">
        <v>1393</v>
      </c>
      <c r="D506" s="49" t="s">
        <v>1163</v>
      </c>
      <c r="E506" s="50">
        <v>58.82</v>
      </c>
      <c r="F506" s="50">
        <v>0</v>
      </c>
      <c r="G506" s="61">
        <v>3</v>
      </c>
      <c r="H506" s="16" t="s">
        <v>1038</v>
      </c>
      <c r="I506" s="48" t="s">
        <v>1016</v>
      </c>
      <c r="J506" s="16" t="s">
        <v>2386</v>
      </c>
      <c r="K506" s="49">
        <v>50</v>
      </c>
      <c r="L506" s="49">
        <v>50</v>
      </c>
      <c r="M506" s="64"/>
      <c r="N506" s="64"/>
      <c r="O506" s="49" t="str">
        <f t="shared" si="74"/>
        <v>YES</v>
      </c>
      <c r="P506" s="52"/>
      <c r="Q506" s="53">
        <f t="shared" si="66"/>
        <v>5000</v>
      </c>
      <c r="R506" s="54">
        <f t="shared" si="67"/>
        <v>2941</v>
      </c>
      <c r="S506" s="55" t="str">
        <f t="shared" si="68"/>
        <v xml:space="preserve"> </v>
      </c>
      <c r="T506" s="56"/>
      <c r="U506" s="57" t="str">
        <f t="shared" si="69"/>
        <v>100µg/100cm²</v>
      </c>
      <c r="V506" s="58">
        <f t="shared" si="70"/>
        <v>2941</v>
      </c>
      <c r="W506" s="58" t="str">
        <f t="shared" si="71"/>
        <v xml:space="preserve"> </v>
      </c>
      <c r="X506" s="59" t="str">
        <f t="shared" si="72"/>
        <v/>
      </c>
      <c r="Y506" s="60"/>
      <c r="Z506" s="64"/>
      <c r="AA506" s="64"/>
      <c r="AB506" s="64"/>
      <c r="AC506" s="16" t="s">
        <v>675</v>
      </c>
      <c r="AD506" s="16" t="s">
        <v>675</v>
      </c>
      <c r="AE506" s="64"/>
      <c r="AF506" s="64"/>
      <c r="AG506" s="64"/>
      <c r="AH506" s="64"/>
      <c r="AI506" s="64"/>
      <c r="AJ506" s="64"/>
      <c r="AK506" s="64"/>
      <c r="AL506" s="64"/>
      <c r="AM506" s="16" t="s">
        <v>675</v>
      </c>
      <c r="AN506" s="64"/>
      <c r="AO506" s="64"/>
      <c r="AP506" s="64"/>
      <c r="AQ506" s="64"/>
      <c r="AR506" s="64"/>
      <c r="AS506" s="16" t="s">
        <v>675</v>
      </c>
      <c r="AT506" s="64"/>
      <c r="AU506" s="16" t="s">
        <v>675</v>
      </c>
      <c r="AV506" s="64"/>
      <c r="AW506" s="16" t="s">
        <v>675</v>
      </c>
      <c r="AX506" s="64"/>
      <c r="AY506" s="64"/>
      <c r="AZ506" s="64"/>
      <c r="BA506" s="64"/>
      <c r="BB506" s="64"/>
      <c r="BC506" s="64"/>
      <c r="BD506" s="64"/>
      <c r="BE506" s="64"/>
      <c r="BF506" s="64"/>
      <c r="BG506" s="64"/>
      <c r="BH506" s="64"/>
      <c r="BI506" s="64"/>
      <c r="BJ506" s="64"/>
      <c r="BK506" s="64"/>
      <c r="BL506" s="64"/>
      <c r="BM506" s="64"/>
      <c r="BN506" s="64"/>
      <c r="BO506" s="64"/>
      <c r="BP506" s="64"/>
      <c r="BQ506" s="64"/>
      <c r="BR506" s="64"/>
      <c r="BS506" s="64"/>
      <c r="BT506" s="65"/>
    </row>
    <row r="507" spans="1:72" ht="18" hidden="1" customHeight="1" x14ac:dyDescent="0.3">
      <c r="A507" s="47" t="s">
        <v>764</v>
      </c>
      <c r="B507" s="48" t="s">
        <v>765</v>
      </c>
      <c r="C507" s="49" t="s">
        <v>1412</v>
      </c>
      <c r="D507" s="49" t="s">
        <v>1301</v>
      </c>
      <c r="E507" s="50">
        <v>68.97</v>
      </c>
      <c r="F507" s="50">
        <v>0</v>
      </c>
      <c r="G507" s="61">
        <v>1</v>
      </c>
      <c r="H507" s="17" t="s">
        <v>1413</v>
      </c>
      <c r="I507" s="48" t="s">
        <v>1189</v>
      </c>
      <c r="J507" s="16" t="s">
        <v>2386</v>
      </c>
      <c r="K507" s="49">
        <v>50</v>
      </c>
      <c r="L507" s="49">
        <v>50</v>
      </c>
      <c r="M507" s="64"/>
      <c r="N507" s="64"/>
      <c r="O507" s="49" t="str">
        <f t="shared" si="74"/>
        <v>YES</v>
      </c>
      <c r="P507" s="52"/>
      <c r="Q507" s="53">
        <f t="shared" si="66"/>
        <v>5000</v>
      </c>
      <c r="R507" s="54">
        <f t="shared" si="67"/>
        <v>3448.5</v>
      </c>
      <c r="S507" s="55" t="str">
        <f t="shared" si="68"/>
        <v xml:space="preserve"> </v>
      </c>
      <c r="T507" s="56"/>
      <c r="U507" s="57" t="str">
        <f t="shared" si="69"/>
        <v>100µg/100cm²</v>
      </c>
      <c r="V507" s="58">
        <f t="shared" si="70"/>
        <v>3448.5</v>
      </c>
      <c r="W507" s="58" t="str">
        <f t="shared" si="71"/>
        <v xml:space="preserve"> </v>
      </c>
      <c r="X507" s="59" t="str">
        <f t="shared" si="72"/>
        <v/>
      </c>
      <c r="Y507" s="60"/>
      <c r="Z507" s="16" t="s">
        <v>1987</v>
      </c>
      <c r="AA507" s="16" t="s">
        <v>1987</v>
      </c>
      <c r="AB507" s="16" t="s">
        <v>1987</v>
      </c>
      <c r="AC507" s="16" t="s">
        <v>1987</v>
      </c>
      <c r="AD507" s="16" t="s">
        <v>1987</v>
      </c>
      <c r="AE507" s="16" t="s">
        <v>1987</v>
      </c>
      <c r="AF507" s="16" t="s">
        <v>1987</v>
      </c>
      <c r="AG507" s="16" t="s">
        <v>1987</v>
      </c>
      <c r="AH507" s="16" t="s">
        <v>1987</v>
      </c>
      <c r="AI507" s="16" t="s">
        <v>1987</v>
      </c>
      <c r="AJ507" s="16" t="s">
        <v>1987</v>
      </c>
      <c r="AK507" s="16" t="s">
        <v>1987</v>
      </c>
      <c r="AL507" s="16" t="s">
        <v>1987</v>
      </c>
      <c r="AM507" s="16" t="s">
        <v>1987</v>
      </c>
      <c r="AN507" s="16" t="s">
        <v>1987</v>
      </c>
      <c r="AO507" s="16" t="s">
        <v>1987</v>
      </c>
      <c r="AP507" s="16" t="s">
        <v>1987</v>
      </c>
      <c r="AQ507" s="16" t="s">
        <v>1987</v>
      </c>
      <c r="AR507" s="16" t="s">
        <v>1987</v>
      </c>
      <c r="AS507" s="16" t="s">
        <v>1987</v>
      </c>
      <c r="AT507" s="16" t="s">
        <v>1987</v>
      </c>
      <c r="AU507" s="16" t="s">
        <v>1987</v>
      </c>
      <c r="AV507" s="16" t="s">
        <v>1987</v>
      </c>
      <c r="AW507" s="16" t="s">
        <v>1987</v>
      </c>
      <c r="AX507" s="16" t="s">
        <v>1987</v>
      </c>
      <c r="AY507" s="16" t="s">
        <v>1987</v>
      </c>
      <c r="AZ507" s="16" t="s">
        <v>1987</v>
      </c>
      <c r="BA507" s="16" t="s">
        <v>1987</v>
      </c>
      <c r="BB507" s="16" t="s">
        <v>1987</v>
      </c>
      <c r="BC507" s="16" t="s">
        <v>1987</v>
      </c>
      <c r="BD507" s="16" t="s">
        <v>1987</v>
      </c>
      <c r="BE507" s="16" t="s">
        <v>1987</v>
      </c>
      <c r="BF507" s="16" t="s">
        <v>1987</v>
      </c>
      <c r="BG507" s="16" t="s">
        <v>1987</v>
      </c>
      <c r="BH507" s="16" t="s">
        <v>1987</v>
      </c>
      <c r="BI507" s="16" t="s">
        <v>1987</v>
      </c>
      <c r="BJ507" s="16" t="s">
        <v>1987</v>
      </c>
      <c r="BK507" s="16" t="s">
        <v>1987</v>
      </c>
      <c r="BL507" s="16" t="s">
        <v>1987</v>
      </c>
      <c r="BM507" s="16" t="s">
        <v>1987</v>
      </c>
      <c r="BN507" s="16" t="s">
        <v>1987</v>
      </c>
      <c r="BO507" s="16" t="s">
        <v>1987</v>
      </c>
      <c r="BP507" s="16" t="s">
        <v>1987</v>
      </c>
      <c r="BQ507" s="16" t="s">
        <v>1987</v>
      </c>
      <c r="BR507" s="16" t="s">
        <v>1987</v>
      </c>
      <c r="BS507" s="16" t="s">
        <v>1987</v>
      </c>
      <c r="BT507" s="16" t="s">
        <v>1987</v>
      </c>
    </row>
    <row r="508" spans="1:72" ht="18" hidden="1" customHeight="1" x14ac:dyDescent="0.3">
      <c r="A508" s="47" t="s">
        <v>669</v>
      </c>
      <c r="B508" s="48" t="s">
        <v>670</v>
      </c>
      <c r="C508" s="49" t="s">
        <v>1311</v>
      </c>
      <c r="D508" s="49" t="s">
        <v>1301</v>
      </c>
      <c r="E508" s="50">
        <v>50</v>
      </c>
      <c r="F508" s="50">
        <v>0</v>
      </c>
      <c r="G508" s="61">
        <v>2</v>
      </c>
      <c r="H508" s="16">
        <v>1000</v>
      </c>
      <c r="I508" s="48" t="s">
        <v>1189</v>
      </c>
      <c r="J508" s="16" t="s">
        <v>2386</v>
      </c>
      <c r="K508" s="49">
        <v>50</v>
      </c>
      <c r="L508" s="49">
        <v>50</v>
      </c>
      <c r="M508" s="64"/>
      <c r="N508" s="64"/>
      <c r="O508" s="49" t="str">
        <f t="shared" si="74"/>
        <v>YES</v>
      </c>
      <c r="P508" s="52"/>
      <c r="Q508" s="53">
        <f t="shared" si="66"/>
        <v>5000</v>
      </c>
      <c r="R508" s="54">
        <f t="shared" si="67"/>
        <v>2500</v>
      </c>
      <c r="S508" s="55" t="str">
        <f t="shared" si="68"/>
        <v xml:space="preserve"> </v>
      </c>
      <c r="T508" s="56"/>
      <c r="U508" s="57" t="str">
        <f t="shared" si="69"/>
        <v>100µg/100cm²</v>
      </c>
      <c r="V508" s="58">
        <f t="shared" si="70"/>
        <v>2500</v>
      </c>
      <c r="W508" s="58" t="str">
        <f t="shared" si="71"/>
        <v xml:space="preserve"> </v>
      </c>
      <c r="X508" s="59" t="str">
        <f t="shared" si="72"/>
        <v/>
      </c>
      <c r="Y508" s="60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16" t="s">
        <v>675</v>
      </c>
      <c r="AS508" s="64"/>
      <c r="AT508" s="64"/>
      <c r="AU508" s="64"/>
      <c r="AV508" s="64"/>
      <c r="AW508" s="64"/>
      <c r="AX508" s="64"/>
      <c r="AY508" s="64"/>
      <c r="AZ508" s="64"/>
      <c r="BA508" s="64"/>
      <c r="BB508" s="64"/>
      <c r="BC508" s="16" t="s">
        <v>675</v>
      </c>
      <c r="BD508" s="64"/>
      <c r="BE508" s="64"/>
      <c r="BF508" s="64"/>
      <c r="BG508" s="64"/>
      <c r="BH508" s="64"/>
      <c r="BI508" s="64"/>
      <c r="BJ508" s="64"/>
      <c r="BK508" s="64"/>
      <c r="BL508" s="64"/>
      <c r="BM508" s="64"/>
      <c r="BN508" s="64"/>
      <c r="BO508" s="64"/>
      <c r="BP508" s="64"/>
      <c r="BQ508" s="64"/>
      <c r="BR508" s="64"/>
      <c r="BS508" s="64"/>
      <c r="BT508" s="65"/>
    </row>
    <row r="509" spans="1:72" ht="18" hidden="1" customHeight="1" x14ac:dyDescent="0.3">
      <c r="A509" s="66" t="s">
        <v>427</v>
      </c>
      <c r="B509" s="69" t="s">
        <v>428</v>
      </c>
      <c r="C509" s="49" t="s">
        <v>1455</v>
      </c>
      <c r="D509" s="49" t="s">
        <v>1247</v>
      </c>
      <c r="E509" s="50">
        <v>32.4</v>
      </c>
      <c r="F509" s="50">
        <v>0</v>
      </c>
      <c r="G509" s="61">
        <v>1</v>
      </c>
      <c r="H509" s="16" t="s">
        <v>1410</v>
      </c>
      <c r="I509" s="48" t="s">
        <v>1016</v>
      </c>
      <c r="J509" s="16" t="s">
        <v>1166</v>
      </c>
      <c r="K509" s="49">
        <v>2000</v>
      </c>
      <c r="L509" s="49">
        <v>18000</v>
      </c>
      <c r="M509" s="62" t="s">
        <v>1014</v>
      </c>
      <c r="N509" s="51"/>
      <c r="O509" s="49" t="str">
        <f t="shared" si="74"/>
        <v>YES</v>
      </c>
      <c r="P509" s="52"/>
      <c r="Q509" s="53">
        <f t="shared" si="66"/>
        <v>5000</v>
      </c>
      <c r="R509" s="54">
        <f t="shared" si="67"/>
        <v>1620</v>
      </c>
      <c r="S509" s="55" t="str">
        <f t="shared" si="68"/>
        <v xml:space="preserve"> </v>
      </c>
      <c r="T509" s="56"/>
      <c r="U509" s="57" t="str">
        <f t="shared" si="69"/>
        <v>100µg/100cm²</v>
      </c>
      <c r="V509" s="58">
        <f t="shared" si="70"/>
        <v>1620</v>
      </c>
      <c r="W509" s="58" t="str">
        <f t="shared" si="71"/>
        <v xml:space="preserve"> </v>
      </c>
      <c r="X509" s="59" t="str">
        <f t="shared" si="72"/>
        <v/>
      </c>
      <c r="Y509" s="60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16" t="s">
        <v>675</v>
      </c>
      <c r="AS509" s="64"/>
      <c r="AT509" s="64"/>
      <c r="AU509" s="64"/>
      <c r="AV509" s="64"/>
      <c r="AW509" s="64"/>
      <c r="AX509" s="64"/>
      <c r="AY509" s="64"/>
      <c r="AZ509" s="64"/>
      <c r="BA509" s="64"/>
      <c r="BB509" s="64"/>
      <c r="BC509" s="64"/>
      <c r="BD509" s="64"/>
      <c r="BE509" s="64"/>
      <c r="BF509" s="64"/>
      <c r="BG509" s="64"/>
      <c r="BH509" s="64"/>
      <c r="BI509" s="64"/>
      <c r="BJ509" s="64"/>
      <c r="BK509" s="64"/>
      <c r="BL509" s="64"/>
      <c r="BM509" s="64"/>
      <c r="BN509" s="64"/>
      <c r="BO509" s="64"/>
      <c r="BP509" s="64"/>
      <c r="BQ509" s="64"/>
      <c r="BR509" s="64"/>
      <c r="BS509" s="64"/>
      <c r="BT509" s="65"/>
    </row>
    <row r="510" spans="1:72" ht="18" hidden="1" customHeight="1" x14ac:dyDescent="0.3">
      <c r="A510" s="84" t="s">
        <v>754</v>
      </c>
      <c r="B510" s="120" t="s">
        <v>591</v>
      </c>
      <c r="C510" s="16" t="s">
        <v>2193</v>
      </c>
      <c r="D510" s="70" t="s">
        <v>1247</v>
      </c>
      <c r="E510" s="50">
        <v>32.4</v>
      </c>
      <c r="F510" s="50">
        <v>0</v>
      </c>
      <c r="G510" s="61">
        <v>7</v>
      </c>
      <c r="H510" s="16" t="s">
        <v>1105</v>
      </c>
      <c r="I510" s="120" t="s">
        <v>1016</v>
      </c>
      <c r="J510" s="16" t="s">
        <v>2386</v>
      </c>
      <c r="K510" s="49">
        <v>50</v>
      </c>
      <c r="L510" s="49">
        <v>50</v>
      </c>
      <c r="M510" s="64"/>
      <c r="N510" s="64"/>
      <c r="O510" s="49" t="str">
        <f t="shared" si="74"/>
        <v>YES</v>
      </c>
      <c r="P510" s="52"/>
      <c r="Q510" s="53">
        <f t="shared" si="66"/>
        <v>5000</v>
      </c>
      <c r="R510" s="54">
        <f t="shared" si="67"/>
        <v>1620</v>
      </c>
      <c r="S510" s="55" t="str">
        <f t="shared" si="68"/>
        <v xml:space="preserve"> </v>
      </c>
      <c r="T510" s="56"/>
      <c r="U510" s="57" t="str">
        <f t="shared" si="69"/>
        <v>100µg/100cm²</v>
      </c>
      <c r="V510" s="58">
        <f t="shared" si="70"/>
        <v>1620</v>
      </c>
      <c r="W510" s="58" t="str">
        <f t="shared" si="71"/>
        <v xml:space="preserve"> </v>
      </c>
      <c r="X510" s="59" t="str">
        <f t="shared" si="72"/>
        <v/>
      </c>
      <c r="Y510" s="60"/>
      <c r="Z510" s="16" t="s">
        <v>675</v>
      </c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16" t="s">
        <v>675</v>
      </c>
      <c r="AL510" s="16" t="s">
        <v>675</v>
      </c>
      <c r="AM510" s="16" t="s">
        <v>675</v>
      </c>
      <c r="AN510" s="64"/>
      <c r="AO510" s="64"/>
      <c r="AP510" s="64"/>
      <c r="AQ510" s="64"/>
      <c r="AR510" s="64"/>
      <c r="AS510" s="64"/>
      <c r="AT510" s="64"/>
      <c r="AU510" s="16" t="s">
        <v>675</v>
      </c>
      <c r="AV510" s="64"/>
      <c r="AW510" s="16" t="s">
        <v>675</v>
      </c>
      <c r="AX510" s="64"/>
      <c r="AY510" s="64"/>
      <c r="AZ510" s="64"/>
      <c r="BA510" s="64"/>
      <c r="BB510" s="64"/>
      <c r="BC510" s="64"/>
      <c r="BD510" s="64"/>
      <c r="BE510" s="64"/>
      <c r="BF510" s="64"/>
      <c r="BG510" s="64"/>
      <c r="BH510" s="64"/>
      <c r="BI510" s="64"/>
      <c r="BJ510" s="64"/>
      <c r="BK510" s="64"/>
      <c r="BL510" s="64"/>
      <c r="BM510" s="64"/>
      <c r="BN510" s="64"/>
      <c r="BO510" s="64"/>
      <c r="BP510" s="64"/>
      <c r="BQ510" s="64"/>
      <c r="BR510" s="64"/>
      <c r="BS510" s="64"/>
      <c r="BT510" s="65"/>
    </row>
    <row r="511" spans="1:72" ht="18" hidden="1" customHeight="1" x14ac:dyDescent="0.3">
      <c r="A511" s="84" t="s">
        <v>676</v>
      </c>
      <c r="B511" s="120" t="s">
        <v>677</v>
      </c>
      <c r="C511" s="120" t="s">
        <v>1037</v>
      </c>
      <c r="D511" s="49" t="s">
        <v>1028</v>
      </c>
      <c r="E511" s="50">
        <v>38.700000000000003</v>
      </c>
      <c r="F511" s="50">
        <v>0</v>
      </c>
      <c r="G511" s="61">
        <v>3</v>
      </c>
      <c r="H511" s="16" t="s">
        <v>1038</v>
      </c>
      <c r="I511" s="120" t="s">
        <v>1016</v>
      </c>
      <c r="J511" s="16" t="s">
        <v>1039</v>
      </c>
      <c r="K511" s="49">
        <v>110000</v>
      </c>
      <c r="L511" s="49">
        <v>990000</v>
      </c>
      <c r="M511" s="62" t="s">
        <v>1014</v>
      </c>
      <c r="N511" s="51"/>
      <c r="O511" s="49" t="str">
        <f t="shared" si="74"/>
        <v>YES</v>
      </c>
      <c r="P511" s="52"/>
      <c r="Q511" s="53">
        <f t="shared" si="66"/>
        <v>5000</v>
      </c>
      <c r="R511" s="54">
        <f t="shared" si="67"/>
        <v>1935</v>
      </c>
      <c r="S511" s="55" t="str">
        <f t="shared" si="68"/>
        <v xml:space="preserve"> </v>
      </c>
      <c r="T511" s="56"/>
      <c r="U511" s="57" t="str">
        <f t="shared" si="69"/>
        <v>100µg/100cm²</v>
      </c>
      <c r="V511" s="58">
        <f t="shared" si="70"/>
        <v>1935</v>
      </c>
      <c r="W511" s="58" t="str">
        <f t="shared" si="71"/>
        <v xml:space="preserve"> </v>
      </c>
      <c r="X511" s="59" t="str">
        <f t="shared" si="72"/>
        <v/>
      </c>
      <c r="Y511" s="60"/>
      <c r="Z511" s="16" t="s">
        <v>675</v>
      </c>
      <c r="AA511" s="16" t="s">
        <v>675</v>
      </c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16" t="s">
        <v>675</v>
      </c>
      <c r="AN511" s="65"/>
      <c r="AO511" s="65"/>
      <c r="AP511" s="65"/>
      <c r="AQ511" s="65"/>
      <c r="AR511" s="65"/>
      <c r="AS511" s="65"/>
      <c r="AT511" s="65"/>
      <c r="AU511" s="65"/>
      <c r="AV511" s="65"/>
      <c r="AW511" s="65"/>
      <c r="AX511" s="65"/>
      <c r="AY511" s="65"/>
      <c r="AZ511" s="65"/>
      <c r="BA511" s="65"/>
      <c r="BB511" s="65"/>
      <c r="BC511" s="65"/>
      <c r="BD511" s="65"/>
      <c r="BE511" s="65"/>
      <c r="BF511" s="65"/>
      <c r="BG511" s="65"/>
      <c r="BH511" s="65"/>
      <c r="BI511" s="65"/>
      <c r="BJ511" s="65"/>
      <c r="BK511" s="65"/>
      <c r="BL511" s="65"/>
      <c r="BM511" s="65"/>
      <c r="BN511" s="65"/>
      <c r="BO511" s="65"/>
      <c r="BP511" s="65"/>
      <c r="BQ511" s="65"/>
      <c r="BR511" s="65"/>
      <c r="BS511" s="65"/>
      <c r="BT511" s="65"/>
    </row>
    <row r="512" spans="1:72" ht="18" hidden="1" customHeight="1" x14ac:dyDescent="0.3">
      <c r="A512" s="80" t="s">
        <v>847</v>
      </c>
      <c r="B512" s="102" t="s">
        <v>848</v>
      </c>
      <c r="C512" s="16" t="s">
        <v>1632</v>
      </c>
      <c r="D512" s="16" t="s">
        <v>1608</v>
      </c>
      <c r="E512" s="50">
        <v>40</v>
      </c>
      <c r="F512" s="50">
        <v>0</v>
      </c>
      <c r="G512" s="16">
        <v>3</v>
      </c>
      <c r="H512" s="16" t="s">
        <v>1567</v>
      </c>
      <c r="I512" s="16" t="s">
        <v>1016</v>
      </c>
      <c r="J512" s="16" t="s">
        <v>2023</v>
      </c>
      <c r="K512" s="16" t="s">
        <v>2027</v>
      </c>
      <c r="L512" s="16" t="s">
        <v>2027</v>
      </c>
      <c r="M512" s="64"/>
      <c r="N512" s="64"/>
      <c r="O512" s="16" t="s">
        <v>2027</v>
      </c>
      <c r="P512" s="52"/>
      <c r="Q512" s="53" t="str">
        <f t="shared" si="66"/>
        <v>Pending</v>
      </c>
      <c r="R512" s="54" t="str">
        <f t="shared" si="67"/>
        <v>Pending</v>
      </c>
      <c r="S512" s="55" t="str">
        <f t="shared" si="68"/>
        <v>Pending</v>
      </c>
      <c r="T512" s="56"/>
      <c r="U512" s="57" t="str">
        <f t="shared" si="69"/>
        <v>Pending</v>
      </c>
      <c r="V512" s="58" t="str">
        <f t="shared" si="70"/>
        <v>Pending</v>
      </c>
      <c r="W512" s="57" t="str">
        <f t="shared" si="71"/>
        <v>Pending</v>
      </c>
      <c r="X512" s="59" t="str">
        <f t="shared" si="72"/>
        <v/>
      </c>
      <c r="Y512" s="60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/>
      <c r="BD512" s="64"/>
      <c r="BE512" s="16" t="s">
        <v>675</v>
      </c>
      <c r="BF512" s="64"/>
      <c r="BG512" s="64"/>
      <c r="BH512" s="64"/>
      <c r="BI512" s="64"/>
      <c r="BJ512" s="64"/>
      <c r="BK512" s="64"/>
      <c r="BL512" s="64"/>
      <c r="BM512" s="64"/>
      <c r="BN512" s="64"/>
      <c r="BO512" s="64"/>
      <c r="BP512" s="64"/>
      <c r="BQ512" s="64"/>
      <c r="BR512" s="64"/>
      <c r="BS512" s="16" t="s">
        <v>675</v>
      </c>
      <c r="BT512" s="65"/>
    </row>
    <row r="513" spans="1:72" ht="18" hidden="1" customHeight="1" x14ac:dyDescent="0.3">
      <c r="A513" s="98" t="s">
        <v>560</v>
      </c>
      <c r="B513" s="99" t="s">
        <v>561</v>
      </c>
      <c r="C513" s="16" t="s">
        <v>1633</v>
      </c>
      <c r="D513" s="16" t="s">
        <v>1634</v>
      </c>
      <c r="E513" s="50">
        <v>59.71</v>
      </c>
      <c r="F513" s="50">
        <v>0</v>
      </c>
      <c r="G513" s="87">
        <v>5</v>
      </c>
      <c r="H513" s="87" t="s">
        <v>1816</v>
      </c>
      <c r="I513" s="87" t="s">
        <v>1016</v>
      </c>
      <c r="J513" s="16" t="s">
        <v>2382</v>
      </c>
      <c r="K513" s="16">
        <v>50</v>
      </c>
      <c r="L513" s="16">
        <v>50</v>
      </c>
      <c r="M513" s="64"/>
      <c r="N513" s="64"/>
      <c r="O513" s="49" t="str">
        <f>IF(AND(ISBLANK(K513),ISBLANK(N513))," ",IF(ISBLANK(N513),"YES","NO"))</f>
        <v>YES</v>
      </c>
      <c r="P513" s="52"/>
      <c r="Q513" s="53">
        <f t="shared" si="66"/>
        <v>5000</v>
      </c>
      <c r="R513" s="54">
        <f t="shared" si="67"/>
        <v>2985.5</v>
      </c>
      <c r="S513" s="55" t="str">
        <f t="shared" si="68"/>
        <v xml:space="preserve"> </v>
      </c>
      <c r="T513" s="56"/>
      <c r="U513" s="57" t="str">
        <f t="shared" si="69"/>
        <v>100µg/100cm²</v>
      </c>
      <c r="V513" s="58">
        <f t="shared" si="70"/>
        <v>2985.5</v>
      </c>
      <c r="W513" s="57" t="str">
        <f t="shared" si="71"/>
        <v xml:space="preserve"> </v>
      </c>
      <c r="X513" s="59" t="str">
        <f t="shared" si="72"/>
        <v/>
      </c>
      <c r="Y513" s="60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16" t="s">
        <v>675</v>
      </c>
      <c r="AT513" s="64"/>
      <c r="AU513" s="64"/>
      <c r="AV513" s="64"/>
      <c r="AW513" s="64"/>
      <c r="AX513" s="64"/>
      <c r="AY513" s="64"/>
      <c r="AZ513" s="64"/>
      <c r="BA513" s="64"/>
      <c r="BB513" s="64"/>
      <c r="BC513" s="64"/>
      <c r="BD513" s="64"/>
      <c r="BE513" s="64"/>
      <c r="BF513" s="64"/>
      <c r="BG513" s="64"/>
      <c r="BH513" s="64"/>
      <c r="BI513" s="64"/>
      <c r="BJ513" s="64"/>
      <c r="BK513" s="64"/>
      <c r="BL513" s="64"/>
      <c r="BM513" s="64"/>
      <c r="BN513" s="64"/>
      <c r="BO513" s="64"/>
      <c r="BP513" s="64"/>
      <c r="BQ513" s="64"/>
      <c r="BR513" s="64"/>
      <c r="BS513" s="64"/>
      <c r="BT513" s="65"/>
    </row>
    <row r="514" spans="1:72" ht="18" hidden="1" customHeight="1" x14ac:dyDescent="0.3">
      <c r="A514" s="90" t="s">
        <v>296</v>
      </c>
      <c r="B514" s="48" t="s">
        <v>297</v>
      </c>
      <c r="C514" s="48" t="s">
        <v>1083</v>
      </c>
      <c r="D514" s="70" t="s">
        <v>1073</v>
      </c>
      <c r="E514" s="50">
        <v>51.69</v>
      </c>
      <c r="F514" s="50">
        <v>0</v>
      </c>
      <c r="G514" s="61">
        <v>3</v>
      </c>
      <c r="H514" s="16">
        <v>50</v>
      </c>
      <c r="I514" s="48" t="s">
        <v>1016</v>
      </c>
      <c r="J514" s="16" t="s">
        <v>1084</v>
      </c>
      <c r="K514" s="49">
        <v>25</v>
      </c>
      <c r="L514" s="49">
        <v>225</v>
      </c>
      <c r="M514" s="62" t="s">
        <v>1085</v>
      </c>
      <c r="N514" s="49" t="s">
        <v>2358</v>
      </c>
      <c r="O514" s="49" t="str">
        <f>IF(AND(ISBLANK(K514),ISBLANK(N514))," ",IF(ISBLANK(N514),"YES","NO"))</f>
        <v>NO</v>
      </c>
      <c r="P514" s="52"/>
      <c r="Q514" s="53">
        <f t="shared" si="66"/>
        <v>25</v>
      </c>
      <c r="R514" s="54">
        <f t="shared" si="67"/>
        <v>12.9</v>
      </c>
      <c r="S514" s="55" t="str">
        <f t="shared" si="68"/>
        <v xml:space="preserve"> </v>
      </c>
      <c r="T514" s="56"/>
      <c r="U514" s="57" t="str">
        <f t="shared" si="69"/>
        <v>Mitigation</v>
      </c>
      <c r="V514" s="58">
        <f t="shared" si="70"/>
        <v>12.9</v>
      </c>
      <c r="W514" s="58" t="str">
        <f t="shared" si="71"/>
        <v xml:space="preserve"> </v>
      </c>
      <c r="X514" s="59" t="str">
        <f t="shared" si="72"/>
        <v/>
      </c>
      <c r="Y514" s="60"/>
      <c r="Z514" s="64"/>
      <c r="AA514" s="64"/>
      <c r="AB514" s="64"/>
      <c r="AC514" s="64"/>
      <c r="AD514" s="64"/>
      <c r="AE514" s="64"/>
      <c r="AF514" s="64"/>
      <c r="AG514" s="64"/>
      <c r="AH514" s="64"/>
      <c r="AI514" s="16" t="s">
        <v>675</v>
      </c>
      <c r="AJ514" s="64"/>
      <c r="AK514" s="16" t="s">
        <v>675</v>
      </c>
      <c r="AL514" s="16" t="s">
        <v>675</v>
      </c>
      <c r="AM514" s="16" t="s">
        <v>675</v>
      </c>
      <c r="AN514" s="64"/>
      <c r="AO514" s="64"/>
      <c r="AP514" s="64"/>
      <c r="AQ514" s="64"/>
      <c r="AR514" s="64"/>
      <c r="AS514" s="16" t="s">
        <v>675</v>
      </c>
      <c r="AT514" s="64"/>
      <c r="AU514" s="64"/>
      <c r="AV514" s="64"/>
      <c r="AW514" s="64"/>
      <c r="AX514" s="64"/>
      <c r="AY514" s="64"/>
      <c r="AZ514" s="64"/>
      <c r="BA514" s="64"/>
      <c r="BB514" s="64"/>
      <c r="BC514" s="64"/>
      <c r="BD514" s="64"/>
      <c r="BE514" s="64"/>
      <c r="BF514" s="64"/>
      <c r="BG514" s="64"/>
      <c r="BH514" s="64"/>
      <c r="BI514" s="64"/>
      <c r="BJ514" s="64"/>
      <c r="BK514" s="64"/>
      <c r="BL514" s="64"/>
      <c r="BM514" s="64"/>
      <c r="BN514" s="64"/>
      <c r="BO514" s="64"/>
      <c r="BP514" s="64"/>
      <c r="BQ514" s="64"/>
      <c r="BR514" s="64"/>
      <c r="BS514" s="64"/>
      <c r="BT514" s="65"/>
    </row>
    <row r="515" spans="1:72" ht="18" hidden="1" customHeight="1" x14ac:dyDescent="0.3">
      <c r="A515" s="66" t="s">
        <v>1739</v>
      </c>
      <c r="B515" s="49" t="s">
        <v>1740</v>
      </c>
      <c r="C515" s="67" t="s">
        <v>2194</v>
      </c>
      <c r="D515" s="16" t="s">
        <v>1163</v>
      </c>
      <c r="E515" s="50">
        <v>61</v>
      </c>
      <c r="F515" s="50">
        <v>0</v>
      </c>
      <c r="G515" s="17">
        <v>3</v>
      </c>
      <c r="H515" s="17" t="s">
        <v>1741</v>
      </c>
      <c r="I515" s="70" t="s">
        <v>1474</v>
      </c>
      <c r="J515" s="16" t="s">
        <v>2386</v>
      </c>
      <c r="K515" s="49">
        <v>50</v>
      </c>
      <c r="L515" s="49">
        <v>50</v>
      </c>
      <c r="M515" s="64"/>
      <c r="N515" s="64"/>
      <c r="O515" s="49" t="str">
        <f>IF(AND(ISBLANK(K515),ISBLANK(N515))," ",IF(ISBLANK(N515),"YES","NO"))</f>
        <v>YES</v>
      </c>
      <c r="P515" s="52"/>
      <c r="Q515" s="53">
        <f t="shared" si="66"/>
        <v>5000</v>
      </c>
      <c r="R515" s="54">
        <f t="shared" si="67"/>
        <v>3050</v>
      </c>
      <c r="S515" s="55" t="str">
        <f t="shared" si="68"/>
        <v xml:space="preserve"> </v>
      </c>
      <c r="T515" s="56"/>
      <c r="U515" s="57" t="str">
        <f t="shared" si="69"/>
        <v>100µg/100cm²</v>
      </c>
      <c r="V515" s="58">
        <f t="shared" si="70"/>
        <v>3050</v>
      </c>
      <c r="W515" s="58" t="str">
        <f t="shared" si="71"/>
        <v xml:space="preserve"> </v>
      </c>
      <c r="X515" s="59" t="str">
        <f t="shared" si="72"/>
        <v/>
      </c>
      <c r="Y515" s="60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16" t="s">
        <v>675</v>
      </c>
      <c r="AK515" s="64"/>
      <c r="AL515" s="64"/>
      <c r="AM515" s="16" t="s">
        <v>675</v>
      </c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/>
      <c r="AY515" s="16" t="s">
        <v>675</v>
      </c>
      <c r="AZ515" s="16" t="s">
        <v>675</v>
      </c>
      <c r="BA515" s="16" t="s">
        <v>675</v>
      </c>
      <c r="BB515" s="16" t="s">
        <v>675</v>
      </c>
      <c r="BC515" s="64"/>
      <c r="BD515" s="64"/>
      <c r="BE515" s="64"/>
      <c r="BF515" s="64"/>
      <c r="BG515" s="64"/>
      <c r="BH515" s="64"/>
      <c r="BI515" s="64"/>
      <c r="BJ515" s="64"/>
      <c r="BK515" s="64"/>
      <c r="BL515" s="64"/>
      <c r="BM515" s="64"/>
      <c r="BN515" s="64"/>
      <c r="BO515" s="64"/>
      <c r="BP515" s="64"/>
      <c r="BQ515" s="64"/>
      <c r="BR515" s="64"/>
      <c r="BS515" s="64"/>
      <c r="BT515" s="65"/>
    </row>
    <row r="516" spans="1:72" ht="18" hidden="1" customHeight="1" x14ac:dyDescent="0.3">
      <c r="A516" s="66" t="s">
        <v>425</v>
      </c>
      <c r="B516" s="69" t="s">
        <v>426</v>
      </c>
      <c r="C516" s="67" t="s">
        <v>1446</v>
      </c>
      <c r="D516" s="67" t="s">
        <v>1301</v>
      </c>
      <c r="E516" s="50">
        <v>47.4</v>
      </c>
      <c r="F516" s="50">
        <v>0</v>
      </c>
      <c r="G516" s="61">
        <v>1</v>
      </c>
      <c r="H516" s="16" t="s">
        <v>1418</v>
      </c>
      <c r="I516" s="48" t="s">
        <v>1016</v>
      </c>
      <c r="J516" s="16" t="s">
        <v>2386</v>
      </c>
      <c r="K516" s="49">
        <v>50</v>
      </c>
      <c r="L516" s="49">
        <v>50</v>
      </c>
      <c r="M516" s="64"/>
      <c r="N516" s="64"/>
      <c r="O516" s="49" t="str">
        <f>IF(AND(ISBLANK(K516),ISBLANK(N516))," ",IF(ISBLANK(N516),"YES","NO"))</f>
        <v>YES</v>
      </c>
      <c r="P516" s="52"/>
      <c r="Q516" s="53">
        <f t="shared" si="66"/>
        <v>5000</v>
      </c>
      <c r="R516" s="54">
        <f t="shared" si="67"/>
        <v>2370</v>
      </c>
      <c r="S516" s="55" t="str">
        <f t="shared" si="68"/>
        <v xml:space="preserve"> </v>
      </c>
      <c r="T516" s="56"/>
      <c r="U516" s="57" t="str">
        <f t="shared" si="69"/>
        <v>100µg/100cm²</v>
      </c>
      <c r="V516" s="58">
        <f t="shared" si="70"/>
        <v>2370</v>
      </c>
      <c r="W516" s="58" t="str">
        <f t="shared" si="71"/>
        <v xml:space="preserve"> </v>
      </c>
      <c r="X516" s="59" t="str">
        <f t="shared" si="72"/>
        <v/>
      </c>
      <c r="Y516" s="60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16" t="s">
        <v>675</v>
      </c>
      <c r="AS516" s="16" t="s">
        <v>675</v>
      </c>
      <c r="AT516" s="64"/>
      <c r="AU516" s="64"/>
      <c r="AV516" s="64"/>
      <c r="AW516" s="64"/>
      <c r="AX516" s="64"/>
      <c r="AY516" s="64"/>
      <c r="AZ516" s="64"/>
      <c r="BA516" s="64"/>
      <c r="BB516" s="64"/>
      <c r="BC516" s="64"/>
      <c r="BD516" s="64"/>
      <c r="BE516" s="64"/>
      <c r="BF516" s="64"/>
      <c r="BG516" s="64"/>
      <c r="BH516" s="64"/>
      <c r="BI516" s="64"/>
      <c r="BJ516" s="64"/>
      <c r="BK516" s="16" t="s">
        <v>675</v>
      </c>
      <c r="BL516" s="64"/>
      <c r="BM516" s="64"/>
      <c r="BN516" s="64"/>
      <c r="BO516" s="64"/>
      <c r="BP516" s="64"/>
      <c r="BQ516" s="64"/>
      <c r="BR516" s="64"/>
      <c r="BS516" s="16" t="s">
        <v>675</v>
      </c>
      <c r="BT516" s="65"/>
    </row>
    <row r="517" spans="1:72" ht="18" hidden="1" customHeight="1" x14ac:dyDescent="0.3">
      <c r="A517" s="47" t="s">
        <v>1725</v>
      </c>
      <c r="B517" s="48" t="s">
        <v>1726</v>
      </c>
      <c r="C517" s="49" t="s">
        <v>2195</v>
      </c>
      <c r="D517" s="16" t="s">
        <v>1214</v>
      </c>
      <c r="E517" s="50">
        <v>34.869999999999997</v>
      </c>
      <c r="F517" s="50">
        <v>0</v>
      </c>
      <c r="G517" s="16">
        <v>6</v>
      </c>
      <c r="H517" s="16">
        <v>0.154</v>
      </c>
      <c r="I517" s="70" t="s">
        <v>1474</v>
      </c>
      <c r="J517" s="16" t="s">
        <v>2386</v>
      </c>
      <c r="K517" s="49">
        <v>50</v>
      </c>
      <c r="L517" s="49">
        <v>50</v>
      </c>
      <c r="M517" s="64"/>
      <c r="N517" s="64"/>
      <c r="O517" s="49" t="str">
        <f>IF(AND(ISBLANK(K517),ISBLANK(N517))," ",IF(ISBLANK(N517),"YES","NO"))</f>
        <v>YES</v>
      </c>
      <c r="P517" s="52"/>
      <c r="Q517" s="53">
        <f t="shared" si="66"/>
        <v>5000</v>
      </c>
      <c r="R517" s="54">
        <f t="shared" si="67"/>
        <v>1743.5</v>
      </c>
      <c r="S517" s="55" t="str">
        <f t="shared" si="68"/>
        <v xml:space="preserve"> </v>
      </c>
      <c r="T517" s="56"/>
      <c r="U517" s="57" t="str">
        <f t="shared" si="69"/>
        <v>100µg/100cm²</v>
      </c>
      <c r="V517" s="58">
        <f t="shared" si="70"/>
        <v>1743.5</v>
      </c>
      <c r="W517" s="58" t="str">
        <f t="shared" si="71"/>
        <v xml:space="preserve"> </v>
      </c>
      <c r="X517" s="59" t="str">
        <f t="shared" si="72"/>
        <v/>
      </c>
      <c r="Y517" s="60"/>
      <c r="Z517" s="64"/>
      <c r="AA517" s="64"/>
      <c r="AB517" s="64"/>
      <c r="AC517" s="64"/>
      <c r="AD517" s="64"/>
      <c r="AE517" s="16" t="s">
        <v>675</v>
      </c>
      <c r="AF517" s="64"/>
      <c r="AG517" s="64"/>
      <c r="AH517" s="64"/>
      <c r="AI517" s="64"/>
      <c r="AJ517" s="64"/>
      <c r="AK517" s="16" t="s">
        <v>675</v>
      </c>
      <c r="AL517" s="16" t="s">
        <v>675</v>
      </c>
      <c r="AM517" s="16" t="s">
        <v>675</v>
      </c>
      <c r="AN517" s="64"/>
      <c r="AO517" s="64"/>
      <c r="AP517" s="64"/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  <c r="BB517" s="64"/>
      <c r="BC517" s="64"/>
      <c r="BD517" s="64"/>
      <c r="BE517" s="64"/>
      <c r="BF517" s="64"/>
      <c r="BG517" s="64"/>
      <c r="BH517" s="64"/>
      <c r="BI517" s="64"/>
      <c r="BJ517" s="64"/>
      <c r="BK517" s="64"/>
      <c r="BL517" s="64"/>
      <c r="BM517" s="64"/>
      <c r="BN517" s="64"/>
      <c r="BO517" s="64"/>
      <c r="BP517" s="64"/>
      <c r="BQ517" s="64"/>
      <c r="BR517" s="64"/>
      <c r="BS517" s="64"/>
      <c r="BT517" s="65"/>
    </row>
    <row r="518" spans="1:72" ht="18" hidden="1" customHeight="1" x14ac:dyDescent="0.3">
      <c r="A518" s="80" t="s">
        <v>1784</v>
      </c>
      <c r="B518" s="16" t="s">
        <v>1783</v>
      </c>
      <c r="C518" s="16" t="s">
        <v>1585</v>
      </c>
      <c r="D518" s="16" t="s">
        <v>1301</v>
      </c>
      <c r="E518" s="50">
        <v>64.8</v>
      </c>
      <c r="F518" s="50">
        <v>0</v>
      </c>
      <c r="G518" s="16">
        <v>7</v>
      </c>
      <c r="H518" s="16" t="s">
        <v>1612</v>
      </c>
      <c r="I518" s="16" t="s">
        <v>1016</v>
      </c>
      <c r="J518" s="16" t="s">
        <v>2013</v>
      </c>
      <c r="K518" s="16" t="s">
        <v>2027</v>
      </c>
      <c r="L518" s="16" t="s">
        <v>2027</v>
      </c>
      <c r="M518" s="64"/>
      <c r="N518" s="64"/>
      <c r="O518" s="16" t="s">
        <v>2027</v>
      </c>
      <c r="P518" s="73"/>
      <c r="Q518" s="53" t="str">
        <f t="shared" si="66"/>
        <v>Pending</v>
      </c>
      <c r="R518" s="54" t="str">
        <f t="shared" si="67"/>
        <v>Pending</v>
      </c>
      <c r="S518" s="55" t="str">
        <f t="shared" si="68"/>
        <v>Pending</v>
      </c>
      <c r="T518" s="105"/>
      <c r="U518" s="57" t="str">
        <f t="shared" si="69"/>
        <v>Pending</v>
      </c>
      <c r="V518" s="58" t="str">
        <f t="shared" si="70"/>
        <v>Pending</v>
      </c>
      <c r="W518" s="57" t="str">
        <f t="shared" si="71"/>
        <v>Pending</v>
      </c>
      <c r="X518" s="59" t="str">
        <f t="shared" si="72"/>
        <v/>
      </c>
      <c r="Y518" s="60"/>
      <c r="Z518" s="64"/>
      <c r="AA518" s="64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16" t="s">
        <v>675</v>
      </c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  <c r="BD518" s="65"/>
      <c r="BE518" s="65"/>
      <c r="BF518" s="65"/>
      <c r="BG518" s="65"/>
      <c r="BH518" s="65"/>
      <c r="BI518" s="65"/>
      <c r="BJ518" s="65"/>
      <c r="BK518" s="65"/>
      <c r="BL518" s="65"/>
      <c r="BM518" s="65"/>
      <c r="BN518" s="65"/>
      <c r="BO518" s="65"/>
      <c r="BP518" s="65"/>
      <c r="BQ518" s="65"/>
      <c r="BR518" s="65"/>
      <c r="BS518" s="65"/>
      <c r="BT518" s="65"/>
    </row>
    <row r="519" spans="1:72" ht="18" customHeight="1" x14ac:dyDescent="0.3">
      <c r="A519" s="66" t="s">
        <v>783</v>
      </c>
      <c r="B519" s="69" t="s">
        <v>538</v>
      </c>
      <c r="C519" s="49" t="s">
        <v>1433</v>
      </c>
      <c r="D519" s="49" t="s">
        <v>1432</v>
      </c>
      <c r="E519" s="50">
        <v>0</v>
      </c>
      <c r="F519" s="50">
        <v>0</v>
      </c>
      <c r="G519" s="61">
        <v>5</v>
      </c>
      <c r="H519" s="68">
        <v>10</v>
      </c>
      <c r="I519" s="48" t="s">
        <v>1016</v>
      </c>
      <c r="J519" s="16" t="s">
        <v>2386</v>
      </c>
      <c r="K519" s="49">
        <v>50</v>
      </c>
      <c r="L519" s="49">
        <v>50</v>
      </c>
      <c r="M519" s="64"/>
      <c r="N519" s="64"/>
      <c r="O519" s="49" t="str">
        <f t="shared" ref="O519:O531" si="75">IF(AND(ISBLANK(K519),ISBLANK(N519))," ",IF(ISBLANK(N519),"YES","NO"))</f>
        <v>YES</v>
      </c>
      <c r="P519" s="52"/>
      <c r="Q519" s="53">
        <f t="shared" si="66"/>
        <v>5000</v>
      </c>
      <c r="R519" s="54" t="str">
        <f t="shared" si="67"/>
        <v xml:space="preserve"> </v>
      </c>
      <c r="S519" s="55" t="str">
        <f t="shared" si="68"/>
        <v xml:space="preserve"> </v>
      </c>
      <c r="T519" s="56"/>
      <c r="U519" s="57" t="str">
        <f t="shared" si="69"/>
        <v xml:space="preserve"> </v>
      </c>
      <c r="V519" s="58" t="str">
        <f t="shared" si="70"/>
        <v xml:space="preserve"> </v>
      </c>
      <c r="W519" s="58" t="str">
        <f t="shared" si="71"/>
        <v xml:space="preserve"> </v>
      </c>
      <c r="X519" s="59" t="str">
        <f t="shared" si="72"/>
        <v>Mitigation</v>
      </c>
      <c r="Y519" s="60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16" t="s">
        <v>675</v>
      </c>
      <c r="AT519" s="64"/>
      <c r="AU519" s="64"/>
      <c r="AV519" s="64"/>
      <c r="AW519" s="64"/>
      <c r="AX519" s="64"/>
      <c r="AY519" s="64"/>
      <c r="AZ519" s="64"/>
      <c r="BA519" s="64"/>
      <c r="BB519" s="64"/>
      <c r="BC519" s="64"/>
      <c r="BD519" s="64"/>
      <c r="BE519" s="64"/>
      <c r="BF519" s="64"/>
      <c r="BG519" s="64"/>
      <c r="BH519" s="64"/>
      <c r="BI519" s="64"/>
      <c r="BJ519" s="64"/>
      <c r="BK519" s="64"/>
      <c r="BL519" s="64"/>
      <c r="BM519" s="64"/>
      <c r="BN519" s="64"/>
      <c r="BO519" s="64"/>
      <c r="BP519" s="64"/>
      <c r="BQ519" s="64"/>
      <c r="BR519" s="64"/>
      <c r="BS519" s="64"/>
      <c r="BT519" s="65"/>
    </row>
    <row r="520" spans="1:72" ht="18" hidden="1" customHeight="1" x14ac:dyDescent="0.3">
      <c r="A520" s="80" t="s">
        <v>849</v>
      </c>
      <c r="B520" s="102" t="s">
        <v>850</v>
      </c>
      <c r="C520" s="16" t="s">
        <v>1635</v>
      </c>
      <c r="D520" s="16" t="s">
        <v>1114</v>
      </c>
      <c r="E520" s="50">
        <v>24.45</v>
      </c>
      <c r="F520" s="50">
        <v>0</v>
      </c>
      <c r="G520" s="16">
        <v>1</v>
      </c>
      <c r="H520" s="16" t="s">
        <v>1023</v>
      </c>
      <c r="I520" s="16" t="s">
        <v>1016</v>
      </c>
      <c r="J520" s="16" t="s">
        <v>2386</v>
      </c>
      <c r="K520" s="49">
        <v>50</v>
      </c>
      <c r="L520" s="49">
        <v>50</v>
      </c>
      <c r="M520" s="64" t="s">
        <v>1998</v>
      </c>
      <c r="N520" s="64"/>
      <c r="O520" s="49" t="str">
        <f t="shared" si="75"/>
        <v>YES</v>
      </c>
      <c r="P520" s="52"/>
      <c r="Q520" s="53">
        <f t="shared" ref="Q520:Q583" si="76">IF(K520="Pending","Pending",IF(AND(K520&lt;5000,O520="YES"),MIN(ROUNDDOWN(K520*25550/140,1),5000),IF(AND(K520&lt;5000,O520="NO"),K520,IF(K520&gt;=5000,5000))))</f>
        <v>5000</v>
      </c>
      <c r="R520" s="54">
        <f t="shared" ref="R520:R583" si="77">IF(Q520="Pending","Pending",IF(E520=0," ",ROUNDDOWN(Q520*E520/100,1)))</f>
        <v>1222.5</v>
      </c>
      <c r="S520" s="55" t="str">
        <f t="shared" ref="S520:S583" si="78">IF(Q520="Pending","Pending",IF(F520=0, " ",ROUNDDOWN(Q520*F520/100,1)))</f>
        <v xml:space="preserve"> </v>
      </c>
      <c r="T520" s="100"/>
      <c r="U520" s="57" t="str">
        <f t="shared" ref="U520:U583" si="79">IF(Q520="Pending","Pending",IF(R520= " ", " ", IF(R520&lt;20, "Mitigation", "100µg/100cm²")))</f>
        <v>100µg/100cm²</v>
      </c>
      <c r="V520" s="58">
        <f t="shared" ref="V520:V583" si="80">IF(R520=0, " ", R520)</f>
        <v>1222.5</v>
      </c>
      <c r="W520" s="58" t="str">
        <f t="shared" ref="W520:W583" si="81">IF(Q520="Pending","Pending",IF(S520= " ", " ", IF(S520&lt;20, "Mitigation", "100µg/100cm²")))</f>
        <v xml:space="preserve"> </v>
      </c>
      <c r="X520" s="59" t="str">
        <f t="shared" ref="X520:X583" si="82">IF(K520="","Pending",IF(AND(Q520=5000,G520&lt;4,SUM(E520,F520)=0),"Water criteria (conductivity)",IF(AND(Q520=5000,G520&gt;3,SUM(E520,F520)=0),"Mitigation",IF(AND(Q520&lt;5000,G520&gt;0,SUM(E520,F520)=0),"Mitigation",""))))</f>
        <v/>
      </c>
      <c r="Y520" s="60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  <c r="BB520" s="64"/>
      <c r="BC520" s="64"/>
      <c r="BD520" s="64"/>
      <c r="BE520" s="16" t="s">
        <v>675</v>
      </c>
      <c r="BF520" s="64"/>
      <c r="BG520" s="64"/>
      <c r="BH520" s="64"/>
      <c r="BI520" s="64"/>
      <c r="BJ520" s="64"/>
      <c r="BK520" s="64"/>
      <c r="BL520" s="64"/>
      <c r="BM520" s="64"/>
      <c r="BN520" s="64"/>
      <c r="BO520" s="64"/>
      <c r="BP520" s="64"/>
      <c r="BQ520" s="64"/>
      <c r="BR520" s="64"/>
      <c r="BS520" s="16" t="s">
        <v>675</v>
      </c>
      <c r="BT520" s="65"/>
    </row>
    <row r="521" spans="1:72" ht="18" hidden="1" customHeight="1" x14ac:dyDescent="0.3">
      <c r="A521" s="47" t="s">
        <v>2004</v>
      </c>
      <c r="B521" s="102" t="s">
        <v>2005</v>
      </c>
      <c r="C521" s="16" t="s">
        <v>2008</v>
      </c>
      <c r="D521" s="16" t="s">
        <v>1011</v>
      </c>
      <c r="E521" s="50">
        <v>52.48</v>
      </c>
      <c r="F521" s="50">
        <v>0</v>
      </c>
      <c r="G521" s="16">
        <v>2</v>
      </c>
      <c r="H521" s="16" t="s">
        <v>2009</v>
      </c>
      <c r="I521" s="16" t="s">
        <v>1016</v>
      </c>
      <c r="J521" s="16" t="s">
        <v>2376</v>
      </c>
      <c r="K521" s="16">
        <v>20</v>
      </c>
      <c r="L521" s="16">
        <v>20</v>
      </c>
      <c r="M521" s="64"/>
      <c r="N521" s="16" t="s">
        <v>2377</v>
      </c>
      <c r="O521" s="63" t="str">
        <f t="shared" si="75"/>
        <v>NO</v>
      </c>
      <c r="P521" s="52"/>
      <c r="Q521" s="53">
        <f t="shared" si="76"/>
        <v>20</v>
      </c>
      <c r="R521" s="54">
        <f t="shared" si="77"/>
        <v>10.4</v>
      </c>
      <c r="S521" s="55" t="str">
        <f t="shared" si="78"/>
        <v xml:space="preserve"> </v>
      </c>
      <c r="T521" s="56"/>
      <c r="U521" s="57" t="str">
        <f t="shared" si="79"/>
        <v>Mitigation</v>
      </c>
      <c r="V521" s="58">
        <f t="shared" si="80"/>
        <v>10.4</v>
      </c>
      <c r="W521" s="57" t="str">
        <f t="shared" si="81"/>
        <v xml:space="preserve"> </v>
      </c>
      <c r="X521" s="59" t="str">
        <f t="shared" si="82"/>
        <v/>
      </c>
      <c r="Y521" s="60"/>
      <c r="Z521" s="64"/>
      <c r="AA521" s="64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  <c r="BD521" s="65"/>
      <c r="BE521" s="65"/>
      <c r="BF521" s="65"/>
      <c r="BG521" s="65"/>
      <c r="BH521" s="65"/>
      <c r="BI521" s="65"/>
      <c r="BJ521" s="65"/>
      <c r="BK521" s="65"/>
      <c r="BL521" s="65"/>
      <c r="BM521" s="65"/>
      <c r="BN521" s="65"/>
      <c r="BO521" s="65"/>
      <c r="BP521" s="65"/>
      <c r="BQ521" s="65"/>
      <c r="BR521" s="65"/>
      <c r="BS521" s="65"/>
      <c r="BT521" s="65"/>
    </row>
    <row r="522" spans="1:72" ht="18" customHeight="1" x14ac:dyDescent="0.3">
      <c r="A522" s="66" t="s">
        <v>418</v>
      </c>
      <c r="B522" s="49" t="s">
        <v>419</v>
      </c>
      <c r="C522" s="67" t="s">
        <v>1440</v>
      </c>
      <c r="D522" s="67" t="s">
        <v>1114</v>
      </c>
      <c r="E522" s="50">
        <v>0</v>
      </c>
      <c r="F522" s="50">
        <v>0</v>
      </c>
      <c r="G522" s="61">
        <v>2</v>
      </c>
      <c r="H522" s="68">
        <v>400</v>
      </c>
      <c r="I522" s="48" t="s">
        <v>1016</v>
      </c>
      <c r="J522" s="16" t="s">
        <v>2386</v>
      </c>
      <c r="K522" s="49">
        <v>50</v>
      </c>
      <c r="L522" s="49">
        <v>50</v>
      </c>
      <c r="M522" s="64"/>
      <c r="N522" s="64"/>
      <c r="O522" s="49" t="str">
        <f t="shared" si="75"/>
        <v>YES</v>
      </c>
      <c r="P522" s="52"/>
      <c r="Q522" s="53">
        <f t="shared" si="76"/>
        <v>5000</v>
      </c>
      <c r="R522" s="54" t="str">
        <f t="shared" si="77"/>
        <v xml:space="preserve"> </v>
      </c>
      <c r="S522" s="55" t="str">
        <f t="shared" si="78"/>
        <v xml:space="preserve"> </v>
      </c>
      <c r="T522" s="56"/>
      <c r="U522" s="57" t="str">
        <f t="shared" si="79"/>
        <v xml:space="preserve"> </v>
      </c>
      <c r="V522" s="58" t="str">
        <f t="shared" si="80"/>
        <v xml:space="preserve"> </v>
      </c>
      <c r="W522" s="58" t="str">
        <f t="shared" si="81"/>
        <v xml:space="preserve"> </v>
      </c>
      <c r="X522" s="59" t="str">
        <f t="shared" si="82"/>
        <v>Water criteria (conductivity)</v>
      </c>
      <c r="Y522" s="60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16" t="s">
        <v>675</v>
      </c>
      <c r="AS522" s="64"/>
      <c r="AT522" s="64"/>
      <c r="AU522" s="64"/>
      <c r="AV522" s="64"/>
      <c r="AW522" s="64"/>
      <c r="AX522" s="64"/>
      <c r="AY522" s="64"/>
      <c r="AZ522" s="64"/>
      <c r="BA522" s="64"/>
      <c r="BB522" s="64"/>
      <c r="BC522" s="64"/>
      <c r="BD522" s="64"/>
      <c r="BE522" s="64"/>
      <c r="BF522" s="64"/>
      <c r="BG522" s="64"/>
      <c r="BH522" s="64"/>
      <c r="BI522" s="64"/>
      <c r="BJ522" s="64"/>
      <c r="BK522" s="64"/>
      <c r="BL522" s="64"/>
      <c r="BM522" s="64"/>
      <c r="BN522" s="64"/>
      <c r="BO522" s="64"/>
      <c r="BP522" s="64"/>
      <c r="BQ522" s="64"/>
      <c r="BR522" s="64"/>
      <c r="BS522" s="64"/>
      <c r="BT522" s="65"/>
    </row>
    <row r="523" spans="1:72" ht="18" customHeight="1" x14ac:dyDescent="0.3">
      <c r="A523" s="84" t="s">
        <v>56</v>
      </c>
      <c r="B523" s="70" t="s">
        <v>57</v>
      </c>
      <c r="C523" s="70" t="s">
        <v>1382</v>
      </c>
      <c r="D523" s="49" t="s">
        <v>1114</v>
      </c>
      <c r="E523" s="50">
        <v>0</v>
      </c>
      <c r="F523" s="50">
        <v>0</v>
      </c>
      <c r="G523" s="61">
        <v>2</v>
      </c>
      <c r="H523" s="16">
        <v>340</v>
      </c>
      <c r="I523" s="49" t="s">
        <v>1012</v>
      </c>
      <c r="J523" s="16" t="s">
        <v>2386</v>
      </c>
      <c r="K523" s="49">
        <v>50</v>
      </c>
      <c r="L523" s="49">
        <v>50</v>
      </c>
      <c r="M523" s="64"/>
      <c r="N523" s="64"/>
      <c r="O523" s="49" t="str">
        <f t="shared" si="75"/>
        <v>YES</v>
      </c>
      <c r="P523" s="52"/>
      <c r="Q523" s="53">
        <f t="shared" si="76"/>
        <v>5000</v>
      </c>
      <c r="R523" s="54" t="str">
        <f t="shared" si="77"/>
        <v xml:space="preserve"> </v>
      </c>
      <c r="S523" s="55" t="str">
        <f t="shared" si="78"/>
        <v xml:space="preserve"> </v>
      </c>
      <c r="T523" s="56"/>
      <c r="U523" s="57" t="str">
        <f t="shared" si="79"/>
        <v xml:space="preserve"> </v>
      </c>
      <c r="V523" s="58" t="str">
        <f t="shared" si="80"/>
        <v xml:space="preserve"> </v>
      </c>
      <c r="W523" s="58" t="str">
        <f t="shared" si="81"/>
        <v xml:space="preserve"> </v>
      </c>
      <c r="X523" s="59" t="str">
        <f t="shared" si="82"/>
        <v>Water criteria (conductivity)</v>
      </c>
      <c r="Y523" s="60"/>
      <c r="Z523" s="16" t="s">
        <v>675</v>
      </c>
      <c r="AA523" s="16" t="s">
        <v>675</v>
      </c>
      <c r="AB523" s="16" t="s">
        <v>675</v>
      </c>
      <c r="AC523" s="16" t="s">
        <v>675</v>
      </c>
      <c r="AD523" s="16" t="s">
        <v>675</v>
      </c>
      <c r="AE523" s="16" t="s">
        <v>675</v>
      </c>
      <c r="AF523" s="16" t="s">
        <v>675</v>
      </c>
      <c r="AG523" s="16" t="s">
        <v>675</v>
      </c>
      <c r="AH523" s="16" t="s">
        <v>675</v>
      </c>
      <c r="AI523" s="16" t="s">
        <v>675</v>
      </c>
      <c r="AJ523" s="16" t="s">
        <v>675</v>
      </c>
      <c r="AK523" s="16" t="s">
        <v>675</v>
      </c>
      <c r="AL523" s="16" t="s">
        <v>675</v>
      </c>
      <c r="AM523" s="16" t="s">
        <v>675</v>
      </c>
      <c r="AN523" s="16" t="s">
        <v>675</v>
      </c>
      <c r="AO523" s="16" t="s">
        <v>675</v>
      </c>
      <c r="AP523" s="16" t="s">
        <v>675</v>
      </c>
      <c r="AQ523" s="64"/>
      <c r="AR523" s="64"/>
      <c r="AS523" s="16" t="s">
        <v>675</v>
      </c>
      <c r="AT523" s="16" t="s">
        <v>675</v>
      </c>
      <c r="AU523" s="16" t="s">
        <v>675</v>
      </c>
      <c r="AV523" s="16" t="s">
        <v>675</v>
      </c>
      <c r="AW523" s="16" t="s">
        <v>675</v>
      </c>
      <c r="AX523" s="16" t="s">
        <v>675</v>
      </c>
      <c r="AY523" s="16" t="s">
        <v>675</v>
      </c>
      <c r="AZ523" s="16" t="s">
        <v>675</v>
      </c>
      <c r="BA523" s="16" t="s">
        <v>675</v>
      </c>
      <c r="BB523" s="16" t="s">
        <v>675</v>
      </c>
      <c r="BC523" s="16" t="s">
        <v>675</v>
      </c>
      <c r="BD523" s="64"/>
      <c r="BE523" s="16" t="s">
        <v>675</v>
      </c>
      <c r="BF523" s="64"/>
      <c r="BG523" s="16" t="s">
        <v>675</v>
      </c>
      <c r="BH523" s="16" t="s">
        <v>675</v>
      </c>
      <c r="BI523" s="64"/>
      <c r="BJ523" s="64"/>
      <c r="BK523" s="16" t="s">
        <v>675</v>
      </c>
      <c r="BL523" s="64"/>
      <c r="BM523" s="64"/>
      <c r="BN523" s="64"/>
      <c r="BO523" s="64"/>
      <c r="BP523" s="64"/>
      <c r="BQ523" s="64"/>
      <c r="BR523" s="64"/>
      <c r="BS523" s="16" t="s">
        <v>675</v>
      </c>
      <c r="BT523" s="65"/>
    </row>
    <row r="524" spans="1:72" ht="18" hidden="1" customHeight="1" x14ac:dyDescent="0.3">
      <c r="A524" s="47" t="s">
        <v>2292</v>
      </c>
      <c r="B524" s="49" t="s">
        <v>2293</v>
      </c>
      <c r="C524" s="174" t="s">
        <v>2294</v>
      </c>
      <c r="D524" s="49" t="s">
        <v>1114</v>
      </c>
      <c r="E524" s="50">
        <v>14.8</v>
      </c>
      <c r="F524" s="50">
        <v>0</v>
      </c>
      <c r="G524" s="16">
        <v>2</v>
      </c>
      <c r="H524" s="16">
        <v>750</v>
      </c>
      <c r="I524" s="48" t="s">
        <v>2339</v>
      </c>
      <c r="J524" s="16" t="s">
        <v>2295</v>
      </c>
      <c r="K524" s="49">
        <v>133</v>
      </c>
      <c r="L524" s="49">
        <v>1200</v>
      </c>
      <c r="M524" s="49" t="s">
        <v>1014</v>
      </c>
      <c r="N524" s="64"/>
      <c r="O524" s="49" t="str">
        <f t="shared" si="75"/>
        <v>YES</v>
      </c>
      <c r="P524" s="73"/>
      <c r="Q524" s="53">
        <f t="shared" si="76"/>
        <v>5000</v>
      </c>
      <c r="R524" s="54">
        <f t="shared" si="77"/>
        <v>740</v>
      </c>
      <c r="S524" s="55" t="str">
        <f t="shared" si="78"/>
        <v xml:space="preserve"> </v>
      </c>
      <c r="T524" s="105"/>
      <c r="U524" s="57" t="str">
        <f t="shared" si="79"/>
        <v>100µg/100cm²</v>
      </c>
      <c r="V524" s="58">
        <f t="shared" si="80"/>
        <v>740</v>
      </c>
      <c r="W524" s="57" t="str">
        <f t="shared" si="81"/>
        <v xml:space="preserve"> </v>
      </c>
      <c r="X524" s="59" t="str">
        <f t="shared" si="82"/>
        <v/>
      </c>
      <c r="Y524" s="106"/>
      <c r="Z524" s="16" t="s">
        <v>1987</v>
      </c>
      <c r="AA524" s="16" t="s">
        <v>1987</v>
      </c>
      <c r="AB524" s="16" t="s">
        <v>1987</v>
      </c>
      <c r="AC524" s="16" t="s">
        <v>1987</v>
      </c>
      <c r="AD524" s="16" t="s">
        <v>1987</v>
      </c>
      <c r="AE524" s="16" t="s">
        <v>1987</v>
      </c>
      <c r="AF524" s="16" t="s">
        <v>1987</v>
      </c>
      <c r="AG524" s="16" t="s">
        <v>1987</v>
      </c>
      <c r="AH524" s="16" t="s">
        <v>1987</v>
      </c>
      <c r="AI524" s="16" t="s">
        <v>1987</v>
      </c>
      <c r="AJ524" s="16" t="s">
        <v>1987</v>
      </c>
      <c r="AK524" s="16" t="s">
        <v>1987</v>
      </c>
      <c r="AL524" s="16" t="s">
        <v>1987</v>
      </c>
      <c r="AM524" s="16" t="s">
        <v>1987</v>
      </c>
      <c r="AN524" s="16" t="s">
        <v>1987</v>
      </c>
      <c r="AO524" s="16" t="s">
        <v>1987</v>
      </c>
      <c r="AP524" s="16" t="s">
        <v>1987</v>
      </c>
      <c r="AQ524" s="16" t="s">
        <v>1987</v>
      </c>
      <c r="AR524" s="16" t="s">
        <v>1987</v>
      </c>
      <c r="AS524" s="16" t="s">
        <v>1987</v>
      </c>
      <c r="AT524" s="16" t="s">
        <v>1987</v>
      </c>
      <c r="AU524" s="16" t="s">
        <v>1987</v>
      </c>
      <c r="AV524" s="16" t="s">
        <v>1987</v>
      </c>
      <c r="AW524" s="16" t="s">
        <v>1987</v>
      </c>
      <c r="AX524" s="16" t="s">
        <v>1987</v>
      </c>
      <c r="AY524" s="16" t="s">
        <v>1987</v>
      </c>
      <c r="AZ524" s="16" t="s">
        <v>1987</v>
      </c>
      <c r="BA524" s="16" t="s">
        <v>1987</v>
      </c>
      <c r="BB524" s="16" t="s">
        <v>1987</v>
      </c>
      <c r="BC524" s="16" t="s">
        <v>1987</v>
      </c>
      <c r="BD524" s="16" t="s">
        <v>1987</v>
      </c>
      <c r="BE524" s="16" t="s">
        <v>1987</v>
      </c>
      <c r="BF524" s="16" t="s">
        <v>1987</v>
      </c>
      <c r="BG524" s="16" t="s">
        <v>1987</v>
      </c>
      <c r="BH524" s="16" t="s">
        <v>1987</v>
      </c>
      <c r="BI524" s="16" t="s">
        <v>1987</v>
      </c>
      <c r="BJ524" s="16" t="s">
        <v>1987</v>
      </c>
      <c r="BK524" s="16" t="s">
        <v>1987</v>
      </c>
      <c r="BL524" s="16" t="s">
        <v>1987</v>
      </c>
      <c r="BM524" s="16" t="s">
        <v>1987</v>
      </c>
      <c r="BN524" s="16" t="s">
        <v>1987</v>
      </c>
      <c r="BO524" s="16" t="s">
        <v>1987</v>
      </c>
      <c r="BP524" s="16" t="s">
        <v>1987</v>
      </c>
      <c r="BQ524" s="16" t="s">
        <v>1987</v>
      </c>
      <c r="BR524" s="16" t="s">
        <v>1987</v>
      </c>
      <c r="BS524" s="16" t="s">
        <v>1987</v>
      </c>
      <c r="BT524" s="16" t="s">
        <v>1987</v>
      </c>
    </row>
    <row r="525" spans="1:72" ht="18" customHeight="1" x14ac:dyDescent="0.3">
      <c r="A525" s="117" t="s">
        <v>1970</v>
      </c>
      <c r="B525" s="110" t="s">
        <v>439</v>
      </c>
      <c r="C525" s="16" t="s">
        <v>1652</v>
      </c>
      <c r="D525" s="16" t="s">
        <v>1114</v>
      </c>
      <c r="E525" s="50">
        <v>0</v>
      </c>
      <c r="F525" s="50">
        <v>0</v>
      </c>
      <c r="G525" s="16">
        <v>1</v>
      </c>
      <c r="H525" s="16">
        <v>2200</v>
      </c>
      <c r="I525" s="16" t="s">
        <v>1573</v>
      </c>
      <c r="J525" s="16" t="s">
        <v>2386</v>
      </c>
      <c r="K525" s="49">
        <v>50</v>
      </c>
      <c r="L525" s="49">
        <v>50</v>
      </c>
      <c r="M525" s="64"/>
      <c r="N525" s="64"/>
      <c r="O525" s="49" t="str">
        <f t="shared" si="75"/>
        <v>YES</v>
      </c>
      <c r="P525" s="52"/>
      <c r="Q525" s="53">
        <f t="shared" si="76"/>
        <v>5000</v>
      </c>
      <c r="R525" s="54" t="str">
        <f t="shared" si="77"/>
        <v xml:space="preserve"> </v>
      </c>
      <c r="S525" s="55" t="str">
        <f t="shared" si="78"/>
        <v xml:space="preserve"> </v>
      </c>
      <c r="T525" s="56"/>
      <c r="U525" s="57" t="str">
        <f t="shared" si="79"/>
        <v xml:space="preserve"> </v>
      </c>
      <c r="V525" s="58" t="str">
        <f t="shared" si="80"/>
        <v xml:space="preserve"> </v>
      </c>
      <c r="W525" s="58" t="str">
        <f t="shared" si="81"/>
        <v xml:space="preserve"> </v>
      </c>
      <c r="X525" s="59" t="str">
        <f t="shared" si="82"/>
        <v>Water criteria (conductivity)</v>
      </c>
      <c r="Y525" s="60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16" t="s">
        <v>675</v>
      </c>
      <c r="AT525" s="64"/>
      <c r="AU525" s="64"/>
      <c r="AV525" s="64"/>
      <c r="AW525" s="64"/>
      <c r="AX525" s="64"/>
      <c r="AY525" s="64"/>
      <c r="AZ525" s="64"/>
      <c r="BA525" s="64"/>
      <c r="BB525" s="64"/>
      <c r="BC525" s="64"/>
      <c r="BD525" s="64"/>
      <c r="BE525" s="64"/>
      <c r="BF525" s="64"/>
      <c r="BG525" s="64"/>
      <c r="BH525" s="64"/>
      <c r="BI525" s="64"/>
      <c r="BJ525" s="64"/>
      <c r="BK525" s="64"/>
      <c r="BL525" s="64"/>
      <c r="BM525" s="64"/>
      <c r="BN525" s="64"/>
      <c r="BO525" s="64"/>
      <c r="BP525" s="64"/>
      <c r="BQ525" s="64"/>
      <c r="BR525" s="64"/>
      <c r="BS525" s="64"/>
      <c r="BT525" s="65"/>
    </row>
    <row r="526" spans="1:72" ht="18" hidden="1" customHeight="1" x14ac:dyDescent="0.3">
      <c r="A526" s="47" t="s">
        <v>706</v>
      </c>
      <c r="B526" s="48" t="s">
        <v>707</v>
      </c>
      <c r="C526" s="49" t="s">
        <v>2196</v>
      </c>
      <c r="D526" s="16" t="s">
        <v>1114</v>
      </c>
      <c r="E526" s="50">
        <v>31.44</v>
      </c>
      <c r="F526" s="50">
        <v>0</v>
      </c>
      <c r="G526" s="61">
        <v>2</v>
      </c>
      <c r="H526" s="16">
        <v>464</v>
      </c>
      <c r="I526" s="70" t="s">
        <v>1474</v>
      </c>
      <c r="J526" s="16" t="s">
        <v>1199</v>
      </c>
      <c r="K526" s="49">
        <v>0.3</v>
      </c>
      <c r="L526" s="49">
        <v>2.7</v>
      </c>
      <c r="M526" s="49" t="s">
        <v>1027</v>
      </c>
      <c r="N526" s="51"/>
      <c r="O526" s="49" t="str">
        <f t="shared" si="75"/>
        <v>YES</v>
      </c>
      <c r="P526" s="52"/>
      <c r="Q526" s="53">
        <f t="shared" si="76"/>
        <v>54.7</v>
      </c>
      <c r="R526" s="54">
        <f t="shared" si="77"/>
        <v>17.100000000000001</v>
      </c>
      <c r="S526" s="55" t="str">
        <f t="shared" si="78"/>
        <v xml:space="preserve"> </v>
      </c>
      <c r="T526" s="56"/>
      <c r="U526" s="57" t="str">
        <f t="shared" si="79"/>
        <v>Mitigation</v>
      </c>
      <c r="V526" s="58">
        <f t="shared" si="80"/>
        <v>17.100000000000001</v>
      </c>
      <c r="W526" s="58" t="str">
        <f t="shared" si="81"/>
        <v xml:space="preserve"> </v>
      </c>
      <c r="X526" s="59" t="str">
        <f t="shared" si="82"/>
        <v/>
      </c>
      <c r="Y526" s="60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16" t="s">
        <v>675</v>
      </c>
      <c r="AK526" s="64"/>
      <c r="AL526" s="64"/>
      <c r="AM526" s="16" t="s">
        <v>675</v>
      </c>
      <c r="AN526" s="64"/>
      <c r="AO526" s="64"/>
      <c r="AP526" s="64"/>
      <c r="AQ526" s="64"/>
      <c r="AR526" s="64"/>
      <c r="AS526" s="64"/>
      <c r="AT526" s="64"/>
      <c r="AU526" s="64"/>
      <c r="AV526" s="64"/>
      <c r="AW526" s="64"/>
      <c r="AX526" s="64"/>
      <c r="AY526" s="64"/>
      <c r="AZ526" s="64"/>
      <c r="BA526" s="64"/>
      <c r="BB526" s="64"/>
      <c r="BC526" s="16" t="s">
        <v>675</v>
      </c>
      <c r="BD526" s="64"/>
      <c r="BE526" s="64"/>
      <c r="BF526" s="64"/>
      <c r="BG526" s="64"/>
      <c r="BH526" s="64"/>
      <c r="BI526" s="64"/>
      <c r="BJ526" s="64"/>
      <c r="BK526" s="64"/>
      <c r="BL526" s="64"/>
      <c r="BM526" s="64"/>
      <c r="BN526" s="64"/>
      <c r="BO526" s="64"/>
      <c r="BP526" s="64"/>
      <c r="BQ526" s="64"/>
      <c r="BR526" s="64"/>
      <c r="BS526" s="64"/>
      <c r="BT526" s="65"/>
    </row>
    <row r="527" spans="1:72" ht="18" hidden="1" customHeight="1" x14ac:dyDescent="0.3">
      <c r="A527" s="47" t="s">
        <v>750</v>
      </c>
      <c r="B527" s="48" t="s">
        <v>1480</v>
      </c>
      <c r="C527" s="49" t="s">
        <v>1349</v>
      </c>
      <c r="D527" s="49" t="s">
        <v>1114</v>
      </c>
      <c r="E527" s="50">
        <v>32.43</v>
      </c>
      <c r="F527" s="50">
        <v>0</v>
      </c>
      <c r="G527" s="61">
        <v>2</v>
      </c>
      <c r="H527" s="16" t="s">
        <v>1126</v>
      </c>
      <c r="I527" s="16" t="s">
        <v>1573</v>
      </c>
      <c r="J527" s="16" t="s">
        <v>2386</v>
      </c>
      <c r="K527" s="49">
        <v>50</v>
      </c>
      <c r="L527" s="49">
        <v>50</v>
      </c>
      <c r="M527" s="64"/>
      <c r="N527" s="64"/>
      <c r="O527" s="49" t="str">
        <f t="shared" si="75"/>
        <v>YES</v>
      </c>
      <c r="P527" s="52"/>
      <c r="Q527" s="53">
        <f t="shared" si="76"/>
        <v>5000</v>
      </c>
      <c r="R527" s="54">
        <f t="shared" si="77"/>
        <v>1621.5</v>
      </c>
      <c r="S527" s="55" t="str">
        <f t="shared" si="78"/>
        <v xml:space="preserve"> </v>
      </c>
      <c r="T527" s="56"/>
      <c r="U527" s="57" t="str">
        <f t="shared" si="79"/>
        <v>100µg/100cm²</v>
      </c>
      <c r="V527" s="58">
        <f t="shared" si="80"/>
        <v>1621.5</v>
      </c>
      <c r="W527" s="58" t="str">
        <f t="shared" si="81"/>
        <v xml:space="preserve"> </v>
      </c>
      <c r="X527" s="59" t="str">
        <f t="shared" si="82"/>
        <v/>
      </c>
      <c r="Y527" s="60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16" t="s">
        <v>675</v>
      </c>
      <c r="AL527" s="16" t="s">
        <v>675</v>
      </c>
      <c r="AM527" s="16" t="s">
        <v>675</v>
      </c>
      <c r="AN527" s="64"/>
      <c r="AO527" s="64"/>
      <c r="AP527" s="64"/>
      <c r="AQ527" s="64"/>
      <c r="AR527" s="64"/>
      <c r="AS527" s="64"/>
      <c r="AT527" s="64"/>
      <c r="AU527" s="64"/>
      <c r="AV527" s="64"/>
      <c r="AW527" s="64"/>
      <c r="AX527" s="64"/>
      <c r="AY527" s="64"/>
      <c r="AZ527" s="64"/>
      <c r="BA527" s="64"/>
      <c r="BB527" s="64"/>
      <c r="BC527" s="64"/>
      <c r="BD527" s="64"/>
      <c r="BE527" s="64"/>
      <c r="BF527" s="64"/>
      <c r="BG527" s="64"/>
      <c r="BH527" s="64"/>
      <c r="BI527" s="64"/>
      <c r="BJ527" s="64"/>
      <c r="BK527" s="64"/>
      <c r="BL527" s="64"/>
      <c r="BM527" s="64"/>
      <c r="BN527" s="64"/>
      <c r="BO527" s="64"/>
      <c r="BP527" s="64"/>
      <c r="BQ527" s="64"/>
      <c r="BR527" s="64"/>
      <c r="BS527" s="64"/>
      <c r="BT527" s="65"/>
    </row>
    <row r="528" spans="1:72" ht="29.95" customHeight="1" x14ac:dyDescent="0.3">
      <c r="A528" s="47" t="s">
        <v>90</v>
      </c>
      <c r="B528" s="49" t="s">
        <v>91</v>
      </c>
      <c r="C528" s="49" t="s">
        <v>1019</v>
      </c>
      <c r="D528" s="70" t="s">
        <v>1011</v>
      </c>
      <c r="E528" s="50">
        <v>0</v>
      </c>
      <c r="F528" s="50">
        <v>0</v>
      </c>
      <c r="G528" s="61">
        <v>1</v>
      </c>
      <c r="H528" s="16">
        <v>1130</v>
      </c>
      <c r="I528" s="49" t="s">
        <v>1012</v>
      </c>
      <c r="J528" s="16" t="s">
        <v>1020</v>
      </c>
      <c r="K528" s="62">
        <v>273</v>
      </c>
      <c r="L528" s="62">
        <v>2457</v>
      </c>
      <c r="M528" s="62" t="s">
        <v>1021</v>
      </c>
      <c r="N528" s="49" t="s">
        <v>2359</v>
      </c>
      <c r="O528" s="49" t="str">
        <f t="shared" si="75"/>
        <v>NO</v>
      </c>
      <c r="P528" s="52"/>
      <c r="Q528" s="53">
        <f t="shared" si="76"/>
        <v>273</v>
      </c>
      <c r="R528" s="54" t="str">
        <f t="shared" si="77"/>
        <v xml:space="preserve"> </v>
      </c>
      <c r="S528" s="55" t="str">
        <f t="shared" si="78"/>
        <v xml:space="preserve"> </v>
      </c>
      <c r="T528" s="56"/>
      <c r="U528" s="57" t="str">
        <f t="shared" si="79"/>
        <v xml:space="preserve"> </v>
      </c>
      <c r="V528" s="58" t="str">
        <f t="shared" si="80"/>
        <v xml:space="preserve"> </v>
      </c>
      <c r="W528" s="58" t="str">
        <f t="shared" si="81"/>
        <v xml:space="preserve"> </v>
      </c>
      <c r="X528" s="59" t="str">
        <f t="shared" si="82"/>
        <v>Mitigation</v>
      </c>
      <c r="Y528" s="60"/>
      <c r="Z528" s="64"/>
      <c r="AA528" s="64"/>
      <c r="AB528" s="64"/>
      <c r="AC528" s="16" t="s">
        <v>675</v>
      </c>
      <c r="AD528" s="64"/>
      <c r="AE528" s="64"/>
      <c r="AF528" s="64"/>
      <c r="AG528" s="64"/>
      <c r="AH528" s="64"/>
      <c r="AI528" s="64"/>
      <c r="AJ528" s="16" t="s">
        <v>675</v>
      </c>
      <c r="AK528" s="64"/>
      <c r="AL528" s="64"/>
      <c r="AM528" s="16" t="s">
        <v>675</v>
      </c>
      <c r="AN528" s="64"/>
      <c r="AO528" s="64"/>
      <c r="AP528" s="64"/>
      <c r="AQ528" s="64"/>
      <c r="AR528" s="16" t="s">
        <v>675</v>
      </c>
      <c r="AS528" s="16" t="s">
        <v>675</v>
      </c>
      <c r="AT528" s="16" t="s">
        <v>675</v>
      </c>
      <c r="AU528" s="16" t="s">
        <v>675</v>
      </c>
      <c r="AV528" s="16" t="s">
        <v>675</v>
      </c>
      <c r="AW528" s="16" t="s">
        <v>675</v>
      </c>
      <c r="AX528" s="64"/>
      <c r="AY528" s="64"/>
      <c r="AZ528" s="64"/>
      <c r="BA528" s="64"/>
      <c r="BB528" s="64"/>
      <c r="BC528" s="16" t="s">
        <v>675</v>
      </c>
      <c r="BD528" s="64"/>
      <c r="BE528" s="16" t="s">
        <v>675</v>
      </c>
      <c r="BF528" s="64"/>
      <c r="BG528" s="64"/>
      <c r="BH528" s="64"/>
      <c r="BI528" s="64"/>
      <c r="BJ528" s="64"/>
      <c r="BK528" s="64"/>
      <c r="BL528" s="64"/>
      <c r="BM528" s="64"/>
      <c r="BN528" s="64"/>
      <c r="BO528" s="64"/>
      <c r="BP528" s="64"/>
      <c r="BQ528" s="64"/>
      <c r="BR528" s="64"/>
      <c r="BS528" s="16" t="s">
        <v>675</v>
      </c>
      <c r="BT528" s="65"/>
    </row>
    <row r="529" spans="1:72" ht="18" customHeight="1" x14ac:dyDescent="0.3">
      <c r="A529" s="47" t="s">
        <v>693</v>
      </c>
      <c r="B529" s="48" t="s">
        <v>694</v>
      </c>
      <c r="C529" s="49" t="s">
        <v>1137</v>
      </c>
      <c r="D529" s="49" t="s">
        <v>1114</v>
      </c>
      <c r="E529" s="50">
        <v>0</v>
      </c>
      <c r="F529" s="50">
        <v>0</v>
      </c>
      <c r="G529" s="61">
        <v>1</v>
      </c>
      <c r="H529" s="16">
        <v>1428</v>
      </c>
      <c r="I529" s="48" t="s">
        <v>1016</v>
      </c>
      <c r="J529" s="16" t="s">
        <v>1138</v>
      </c>
      <c r="K529" s="62">
        <v>5</v>
      </c>
      <c r="L529" s="62">
        <v>45</v>
      </c>
      <c r="M529" s="62" t="s">
        <v>1018</v>
      </c>
      <c r="N529" s="49" t="s">
        <v>2359</v>
      </c>
      <c r="O529" s="49" t="str">
        <f t="shared" si="75"/>
        <v>NO</v>
      </c>
      <c r="P529" s="52"/>
      <c r="Q529" s="53">
        <f t="shared" si="76"/>
        <v>5</v>
      </c>
      <c r="R529" s="54" t="str">
        <f t="shared" si="77"/>
        <v xml:space="preserve"> </v>
      </c>
      <c r="S529" s="55" t="str">
        <f t="shared" si="78"/>
        <v xml:space="preserve"> </v>
      </c>
      <c r="T529" s="56"/>
      <c r="U529" s="57" t="str">
        <f t="shared" si="79"/>
        <v xml:space="preserve"> </v>
      </c>
      <c r="V529" s="58" t="str">
        <f t="shared" si="80"/>
        <v xml:space="preserve"> </v>
      </c>
      <c r="W529" s="58" t="str">
        <f t="shared" si="81"/>
        <v xml:space="preserve"> </v>
      </c>
      <c r="X529" s="59" t="str">
        <f t="shared" si="82"/>
        <v>Mitigation</v>
      </c>
      <c r="Y529" s="60"/>
      <c r="Z529" s="16" t="s">
        <v>675</v>
      </c>
      <c r="AA529" s="16" t="s">
        <v>675</v>
      </c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16" t="s">
        <v>675</v>
      </c>
      <c r="AN529" s="64"/>
      <c r="AO529" s="64"/>
      <c r="AP529" s="64"/>
      <c r="AQ529" s="64"/>
      <c r="AR529" s="64"/>
      <c r="AS529" s="64"/>
      <c r="AT529" s="64"/>
      <c r="AU529" s="64"/>
      <c r="AV529" s="64"/>
      <c r="AW529" s="64"/>
      <c r="AX529" s="64"/>
      <c r="AY529" s="64"/>
      <c r="AZ529" s="64"/>
      <c r="BA529" s="64"/>
      <c r="BB529" s="64"/>
      <c r="BC529" s="64"/>
      <c r="BD529" s="64"/>
      <c r="BE529" s="16" t="s">
        <v>675</v>
      </c>
      <c r="BF529" s="64"/>
      <c r="BG529" s="64"/>
      <c r="BH529" s="64"/>
      <c r="BI529" s="64"/>
      <c r="BJ529" s="64"/>
      <c r="BK529" s="64"/>
      <c r="BL529" s="64"/>
      <c r="BM529" s="64"/>
      <c r="BN529" s="64"/>
      <c r="BO529" s="64"/>
      <c r="BP529" s="64"/>
      <c r="BQ529" s="64"/>
      <c r="BR529" s="64"/>
      <c r="BS529" s="16" t="s">
        <v>675</v>
      </c>
      <c r="BT529" s="65"/>
    </row>
    <row r="530" spans="1:72" ht="18" customHeight="1" x14ac:dyDescent="0.3">
      <c r="A530" s="47" t="s">
        <v>695</v>
      </c>
      <c r="B530" s="49" t="s">
        <v>543</v>
      </c>
      <c r="C530" s="49" t="s">
        <v>1139</v>
      </c>
      <c r="D530" s="49" t="s">
        <v>1114</v>
      </c>
      <c r="E530" s="50">
        <v>0</v>
      </c>
      <c r="F530" s="50">
        <v>0</v>
      </c>
      <c r="G530" s="61">
        <v>2</v>
      </c>
      <c r="H530" s="16">
        <v>320</v>
      </c>
      <c r="I530" s="49" t="s">
        <v>1016</v>
      </c>
      <c r="J530" s="16" t="s">
        <v>1140</v>
      </c>
      <c r="K530" s="62">
        <v>1500</v>
      </c>
      <c r="L530" s="62">
        <v>13500</v>
      </c>
      <c r="M530" s="62" t="s">
        <v>1014</v>
      </c>
      <c r="N530" s="49" t="s">
        <v>2359</v>
      </c>
      <c r="O530" s="49" t="str">
        <f t="shared" si="75"/>
        <v>NO</v>
      </c>
      <c r="P530" s="52"/>
      <c r="Q530" s="53">
        <f t="shared" si="76"/>
        <v>1500</v>
      </c>
      <c r="R530" s="54" t="str">
        <f t="shared" si="77"/>
        <v xml:space="preserve"> </v>
      </c>
      <c r="S530" s="55" t="str">
        <f t="shared" si="78"/>
        <v xml:space="preserve"> </v>
      </c>
      <c r="T530" s="56"/>
      <c r="U530" s="57" t="str">
        <f t="shared" si="79"/>
        <v xml:space="preserve"> </v>
      </c>
      <c r="V530" s="58" t="str">
        <f t="shared" si="80"/>
        <v xml:space="preserve"> </v>
      </c>
      <c r="W530" s="58" t="str">
        <f t="shared" si="81"/>
        <v xml:space="preserve"> </v>
      </c>
      <c r="X530" s="59" t="str">
        <f t="shared" si="82"/>
        <v>Mitigation</v>
      </c>
      <c r="Y530" s="60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16" t="s">
        <v>675</v>
      </c>
      <c r="AT530" s="64"/>
      <c r="AU530" s="64"/>
      <c r="AV530" s="64"/>
      <c r="AW530" s="64"/>
      <c r="AX530" s="64"/>
      <c r="AY530" s="64"/>
      <c r="AZ530" s="64"/>
      <c r="BA530" s="64"/>
      <c r="BB530" s="64"/>
      <c r="BC530" s="64"/>
      <c r="BD530" s="64"/>
      <c r="BE530" s="64"/>
      <c r="BF530" s="64"/>
      <c r="BG530" s="64"/>
      <c r="BH530" s="64"/>
      <c r="BI530" s="64"/>
      <c r="BJ530" s="64"/>
      <c r="BK530" s="64"/>
      <c r="BL530" s="64"/>
      <c r="BM530" s="64"/>
      <c r="BN530" s="64"/>
      <c r="BO530" s="64"/>
      <c r="BP530" s="64"/>
      <c r="BQ530" s="64"/>
      <c r="BR530" s="64"/>
      <c r="BS530" s="64"/>
      <c r="BT530" s="65"/>
    </row>
    <row r="531" spans="1:72" ht="18" customHeight="1" x14ac:dyDescent="0.3">
      <c r="A531" s="47" t="s">
        <v>827</v>
      </c>
      <c r="B531" s="49" t="s">
        <v>828</v>
      </c>
      <c r="C531" s="16" t="s">
        <v>1650</v>
      </c>
      <c r="D531" s="16" t="s">
        <v>1114</v>
      </c>
      <c r="E531" s="50">
        <v>0</v>
      </c>
      <c r="F531" s="50">
        <v>0</v>
      </c>
      <c r="G531" s="16">
        <v>2</v>
      </c>
      <c r="H531" s="16">
        <v>640</v>
      </c>
      <c r="I531" s="70" t="s">
        <v>1474</v>
      </c>
      <c r="J531" s="16" t="s">
        <v>1651</v>
      </c>
      <c r="K531" s="62">
        <v>80</v>
      </c>
      <c r="L531" s="62">
        <v>720</v>
      </c>
      <c r="M531" s="62" t="s">
        <v>1014</v>
      </c>
      <c r="N531" s="64"/>
      <c r="O531" s="49" t="str">
        <f t="shared" si="75"/>
        <v>YES</v>
      </c>
      <c r="P531" s="52"/>
      <c r="Q531" s="53">
        <f t="shared" si="76"/>
        <v>5000</v>
      </c>
      <c r="R531" s="54" t="str">
        <f t="shared" si="77"/>
        <v xml:space="preserve"> </v>
      </c>
      <c r="S531" s="55" t="str">
        <f t="shared" si="78"/>
        <v xml:space="preserve"> </v>
      </c>
      <c r="T531" s="56"/>
      <c r="U531" s="57" t="str">
        <f t="shared" si="79"/>
        <v xml:space="preserve"> </v>
      </c>
      <c r="V531" s="58" t="str">
        <f t="shared" si="80"/>
        <v xml:space="preserve"> </v>
      </c>
      <c r="W531" s="58" t="str">
        <f t="shared" si="81"/>
        <v xml:space="preserve"> </v>
      </c>
      <c r="X531" s="59" t="str">
        <f t="shared" si="82"/>
        <v>Water criteria (conductivity)</v>
      </c>
      <c r="Y531" s="60"/>
      <c r="Z531" s="16" t="s">
        <v>675</v>
      </c>
      <c r="AA531" s="16" t="s">
        <v>675</v>
      </c>
      <c r="AB531" s="64"/>
      <c r="AC531" s="64"/>
      <c r="AD531" s="64"/>
      <c r="AE531" s="64"/>
      <c r="AF531" s="64"/>
      <c r="AG531" s="64"/>
      <c r="AH531" s="64"/>
      <c r="AI531" s="16" t="s">
        <v>675</v>
      </c>
      <c r="AJ531" s="16" t="s">
        <v>675</v>
      </c>
      <c r="AK531" s="64"/>
      <c r="AL531" s="64"/>
      <c r="AM531" s="16" t="s">
        <v>675</v>
      </c>
      <c r="AN531" s="64"/>
      <c r="AO531" s="64"/>
      <c r="AP531" s="64"/>
      <c r="AQ531" s="16" t="s">
        <v>675</v>
      </c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  <c r="BB531" s="64"/>
      <c r="BC531" s="64"/>
      <c r="BD531" s="64"/>
      <c r="BE531" s="64"/>
      <c r="BF531" s="64"/>
      <c r="BG531" s="64"/>
      <c r="BH531" s="64"/>
      <c r="BI531" s="64"/>
      <c r="BJ531" s="64"/>
      <c r="BK531" s="64"/>
      <c r="BL531" s="64"/>
      <c r="BM531" s="64"/>
      <c r="BN531" s="64"/>
      <c r="BO531" s="64"/>
      <c r="BP531" s="64"/>
      <c r="BQ531" s="64"/>
      <c r="BR531" s="64"/>
      <c r="BS531" s="64"/>
      <c r="BT531" s="65"/>
    </row>
    <row r="532" spans="1:72" ht="18" customHeight="1" x14ac:dyDescent="0.3">
      <c r="A532" s="80" t="s">
        <v>1995</v>
      </c>
      <c r="B532" s="16" t="s">
        <v>1921</v>
      </c>
      <c r="C532" s="16" t="s">
        <v>1922</v>
      </c>
      <c r="D532" s="16" t="s">
        <v>1114</v>
      </c>
      <c r="E532" s="50">
        <v>0</v>
      </c>
      <c r="F532" s="50">
        <v>0</v>
      </c>
      <c r="G532" s="16">
        <v>2</v>
      </c>
      <c r="H532" s="16" t="s">
        <v>1457</v>
      </c>
      <c r="I532" s="16" t="s">
        <v>1016</v>
      </c>
      <c r="J532" s="16" t="s">
        <v>2024</v>
      </c>
      <c r="K532" s="16" t="s">
        <v>2027</v>
      </c>
      <c r="L532" s="16" t="s">
        <v>2027</v>
      </c>
      <c r="M532" s="64"/>
      <c r="N532" s="64"/>
      <c r="O532" s="16" t="s">
        <v>2027</v>
      </c>
      <c r="P532" s="52"/>
      <c r="Q532" s="53" t="str">
        <f t="shared" si="76"/>
        <v>Pending</v>
      </c>
      <c r="R532" s="54" t="str">
        <f t="shared" si="77"/>
        <v>Pending</v>
      </c>
      <c r="S532" s="55" t="str">
        <f t="shared" si="78"/>
        <v>Pending</v>
      </c>
      <c r="T532" s="56"/>
      <c r="U532" s="57" t="str">
        <f t="shared" si="79"/>
        <v>Pending</v>
      </c>
      <c r="V532" s="58" t="str">
        <f t="shared" si="80"/>
        <v>Pending</v>
      </c>
      <c r="W532" s="57" t="str">
        <f t="shared" si="81"/>
        <v>Pending</v>
      </c>
      <c r="X532" s="59" t="str">
        <f t="shared" si="82"/>
        <v/>
      </c>
      <c r="Y532" s="60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16" t="s">
        <v>675</v>
      </c>
      <c r="AS532" s="64"/>
      <c r="AT532" s="64"/>
      <c r="AU532" s="64"/>
      <c r="AV532" s="64"/>
      <c r="AW532" s="64"/>
      <c r="AX532" s="64"/>
      <c r="AY532" s="64"/>
      <c r="AZ532" s="64"/>
      <c r="BA532" s="64"/>
      <c r="BB532" s="64"/>
      <c r="BC532" s="64"/>
      <c r="BD532" s="64"/>
      <c r="BE532" s="64"/>
      <c r="BF532" s="64"/>
      <c r="BG532" s="64"/>
      <c r="BH532" s="64"/>
      <c r="BI532" s="64"/>
      <c r="BJ532" s="64"/>
      <c r="BK532" s="64"/>
      <c r="BL532" s="64"/>
      <c r="BM532" s="64"/>
      <c r="BN532" s="64"/>
      <c r="BO532" s="64"/>
      <c r="BP532" s="64"/>
      <c r="BQ532" s="64"/>
      <c r="BR532" s="64"/>
      <c r="BS532" s="64"/>
      <c r="BT532" s="65"/>
    </row>
    <row r="533" spans="1:72" ht="18" customHeight="1" x14ac:dyDescent="0.3">
      <c r="A533" s="66" t="s">
        <v>776</v>
      </c>
      <c r="B533" s="69" t="s">
        <v>497</v>
      </c>
      <c r="C533" s="67" t="s">
        <v>1422</v>
      </c>
      <c r="D533" s="67" t="s">
        <v>1114</v>
      </c>
      <c r="E533" s="50">
        <v>0</v>
      </c>
      <c r="F533" s="50">
        <v>0</v>
      </c>
      <c r="G533" s="61">
        <v>6</v>
      </c>
      <c r="H533" s="17">
        <v>0.115</v>
      </c>
      <c r="I533" s="48" t="s">
        <v>1196</v>
      </c>
      <c r="J533" s="16" t="s">
        <v>2386</v>
      </c>
      <c r="K533" s="49">
        <v>50</v>
      </c>
      <c r="L533" s="49">
        <v>50</v>
      </c>
      <c r="M533" s="64"/>
      <c r="N533" s="64"/>
      <c r="O533" s="49" t="str">
        <f t="shared" ref="O533:O572" si="83">IF(AND(ISBLANK(K533),ISBLANK(N533))," ",IF(ISBLANK(N533),"YES","NO"))</f>
        <v>YES</v>
      </c>
      <c r="P533" s="52"/>
      <c r="Q533" s="53">
        <f t="shared" si="76"/>
        <v>5000</v>
      </c>
      <c r="R533" s="54" t="str">
        <f t="shared" si="77"/>
        <v xml:space="preserve"> </v>
      </c>
      <c r="S533" s="55" t="str">
        <f t="shared" si="78"/>
        <v xml:space="preserve"> </v>
      </c>
      <c r="T533" s="56"/>
      <c r="U533" s="57" t="str">
        <f t="shared" si="79"/>
        <v xml:space="preserve"> </v>
      </c>
      <c r="V533" s="58" t="str">
        <f t="shared" si="80"/>
        <v xml:space="preserve"> </v>
      </c>
      <c r="W533" s="58" t="str">
        <f t="shared" si="81"/>
        <v xml:space="preserve"> </v>
      </c>
      <c r="X533" s="59" t="str">
        <f t="shared" si="82"/>
        <v>Mitigation</v>
      </c>
      <c r="Y533" s="60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16" t="s">
        <v>675</v>
      </c>
      <c r="AT533" s="64"/>
      <c r="AU533" s="64"/>
      <c r="AV533" s="64"/>
      <c r="AW533" s="64"/>
      <c r="AX533" s="64"/>
      <c r="AY533" s="64"/>
      <c r="AZ533" s="64"/>
      <c r="BA533" s="64"/>
      <c r="BB533" s="64"/>
      <c r="BC533" s="64"/>
      <c r="BD533" s="64"/>
      <c r="BE533" s="64"/>
      <c r="BF533" s="64"/>
      <c r="BG533" s="64"/>
      <c r="BH533" s="64"/>
      <c r="BI533" s="64"/>
      <c r="BJ533" s="64"/>
      <c r="BK533" s="64"/>
      <c r="BL533" s="64"/>
      <c r="BM533" s="64"/>
      <c r="BN533" s="64"/>
      <c r="BO533" s="64"/>
      <c r="BP533" s="64"/>
      <c r="BQ533" s="64"/>
      <c r="BR533" s="64"/>
      <c r="BS533" s="64"/>
      <c r="BT533" s="65"/>
    </row>
    <row r="534" spans="1:72" ht="18" customHeight="1" x14ac:dyDescent="0.3">
      <c r="A534" s="47" t="s">
        <v>608</v>
      </c>
      <c r="B534" s="49" t="s">
        <v>546</v>
      </c>
      <c r="C534" s="49" t="s">
        <v>1405</v>
      </c>
      <c r="D534" s="49" t="s">
        <v>1114</v>
      </c>
      <c r="E534" s="50">
        <v>0</v>
      </c>
      <c r="F534" s="50">
        <v>0</v>
      </c>
      <c r="G534" s="61">
        <v>2</v>
      </c>
      <c r="H534" s="16">
        <v>120</v>
      </c>
      <c r="I534" s="48" t="s">
        <v>1016</v>
      </c>
      <c r="J534" s="16" t="s">
        <v>2386</v>
      </c>
      <c r="K534" s="49">
        <v>50</v>
      </c>
      <c r="L534" s="49">
        <v>50</v>
      </c>
      <c r="M534" s="64"/>
      <c r="N534" s="64"/>
      <c r="O534" s="49" t="str">
        <f t="shared" si="83"/>
        <v>YES</v>
      </c>
      <c r="P534" s="52"/>
      <c r="Q534" s="53">
        <f t="shared" si="76"/>
        <v>5000</v>
      </c>
      <c r="R534" s="54" t="str">
        <f t="shared" si="77"/>
        <v xml:space="preserve"> </v>
      </c>
      <c r="S534" s="55" t="str">
        <f t="shared" si="78"/>
        <v xml:space="preserve"> </v>
      </c>
      <c r="T534" s="56"/>
      <c r="U534" s="57" t="str">
        <f t="shared" si="79"/>
        <v xml:space="preserve"> </v>
      </c>
      <c r="V534" s="58" t="str">
        <f t="shared" si="80"/>
        <v xml:space="preserve"> </v>
      </c>
      <c r="W534" s="58" t="str">
        <f t="shared" si="81"/>
        <v xml:space="preserve"> </v>
      </c>
      <c r="X534" s="59" t="str">
        <f t="shared" si="82"/>
        <v>Water criteria (conductivity)</v>
      </c>
      <c r="Y534" s="60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16" t="s">
        <v>675</v>
      </c>
      <c r="AT534" s="64"/>
      <c r="AU534" s="16" t="s">
        <v>675</v>
      </c>
      <c r="AV534" s="64"/>
      <c r="AW534" s="16" t="s">
        <v>675</v>
      </c>
      <c r="AX534" s="64"/>
      <c r="AY534" s="64"/>
      <c r="AZ534" s="64"/>
      <c r="BA534" s="64"/>
      <c r="BB534" s="64"/>
      <c r="BC534" s="64"/>
      <c r="BD534" s="64"/>
      <c r="BE534" s="64"/>
      <c r="BF534" s="64"/>
      <c r="BG534" s="64"/>
      <c r="BH534" s="64"/>
      <c r="BI534" s="64"/>
      <c r="BJ534" s="64"/>
      <c r="BK534" s="16" t="s">
        <v>675</v>
      </c>
      <c r="BL534" s="64"/>
      <c r="BM534" s="64"/>
      <c r="BN534" s="64"/>
      <c r="BO534" s="64"/>
      <c r="BP534" s="64"/>
      <c r="BQ534" s="64"/>
      <c r="BR534" s="64"/>
      <c r="BS534" s="16" t="s">
        <v>675</v>
      </c>
      <c r="BT534" s="65"/>
    </row>
    <row r="535" spans="1:72" ht="18" customHeight="1" x14ac:dyDescent="0.3">
      <c r="A535" s="89" t="s">
        <v>801</v>
      </c>
      <c r="B535" s="48" t="s">
        <v>802</v>
      </c>
      <c r="C535" s="17" t="s">
        <v>1477</v>
      </c>
      <c r="D535" s="17" t="s">
        <v>1114</v>
      </c>
      <c r="E535" s="50">
        <v>0</v>
      </c>
      <c r="F535" s="50">
        <v>0</v>
      </c>
      <c r="G535" s="61">
        <v>2</v>
      </c>
      <c r="H535" s="16">
        <v>232</v>
      </c>
      <c r="I535" s="48" t="s">
        <v>1447</v>
      </c>
      <c r="J535" s="16" t="s">
        <v>2396</v>
      </c>
      <c r="K535" s="16">
        <v>50</v>
      </c>
      <c r="L535" s="16">
        <v>50</v>
      </c>
      <c r="M535" s="64"/>
      <c r="N535" s="64"/>
      <c r="O535" s="49" t="str">
        <f t="shared" si="83"/>
        <v>YES</v>
      </c>
      <c r="P535" s="52"/>
      <c r="Q535" s="53">
        <f t="shared" si="76"/>
        <v>5000</v>
      </c>
      <c r="R535" s="54" t="str">
        <f t="shared" si="77"/>
        <v xml:space="preserve"> </v>
      </c>
      <c r="S535" s="55" t="str">
        <f t="shared" si="78"/>
        <v xml:space="preserve"> </v>
      </c>
      <c r="T535" s="56"/>
      <c r="U535" s="57" t="str">
        <f t="shared" si="79"/>
        <v xml:space="preserve"> </v>
      </c>
      <c r="V535" s="58" t="str">
        <f t="shared" si="80"/>
        <v xml:space="preserve"> </v>
      </c>
      <c r="W535" s="57" t="str">
        <f t="shared" si="81"/>
        <v xml:space="preserve"> </v>
      </c>
      <c r="X535" s="59" t="str">
        <f t="shared" si="82"/>
        <v>Water criteria (conductivity)</v>
      </c>
      <c r="Y535" s="60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  <c r="BB535" s="64"/>
      <c r="BC535" s="64"/>
      <c r="BD535" s="64"/>
      <c r="BE535" s="16" t="s">
        <v>675</v>
      </c>
      <c r="BF535" s="64"/>
      <c r="BG535" s="64"/>
      <c r="BH535" s="64"/>
      <c r="BI535" s="64"/>
      <c r="BJ535" s="64"/>
      <c r="BK535" s="64"/>
      <c r="BL535" s="64"/>
      <c r="BM535" s="64"/>
      <c r="BN535" s="64"/>
      <c r="BO535" s="64"/>
      <c r="BP535" s="64"/>
      <c r="BQ535" s="64"/>
      <c r="BR535" s="64"/>
      <c r="BS535" s="16" t="s">
        <v>675</v>
      </c>
      <c r="BT535" s="65"/>
    </row>
    <row r="536" spans="1:72" ht="18" hidden="1" customHeight="1" x14ac:dyDescent="0.3">
      <c r="A536" s="81" t="s">
        <v>581</v>
      </c>
      <c r="B536" s="76" t="s">
        <v>459</v>
      </c>
      <c r="C536" s="16" t="s">
        <v>1503</v>
      </c>
      <c r="D536" s="16" t="s">
        <v>1494</v>
      </c>
      <c r="E536" s="50">
        <v>50</v>
      </c>
      <c r="F536" s="50">
        <v>0</v>
      </c>
      <c r="G536" s="16">
        <v>1</v>
      </c>
      <c r="H536" s="16" t="s">
        <v>1023</v>
      </c>
      <c r="I536" s="16" t="s">
        <v>1016</v>
      </c>
      <c r="J536" s="16" t="s">
        <v>2382</v>
      </c>
      <c r="K536" s="16">
        <v>50</v>
      </c>
      <c r="L536" s="16">
        <v>50</v>
      </c>
      <c r="M536" s="64"/>
      <c r="N536" s="64"/>
      <c r="O536" s="63" t="str">
        <f t="shared" si="83"/>
        <v>YES</v>
      </c>
      <c r="P536" s="52"/>
      <c r="Q536" s="53">
        <f t="shared" si="76"/>
        <v>5000</v>
      </c>
      <c r="R536" s="54">
        <f t="shared" si="77"/>
        <v>2500</v>
      </c>
      <c r="S536" s="55" t="str">
        <f t="shared" si="78"/>
        <v xml:space="preserve"> </v>
      </c>
      <c r="T536" s="56"/>
      <c r="U536" s="57" t="str">
        <f t="shared" si="79"/>
        <v>100µg/100cm²</v>
      </c>
      <c r="V536" s="58">
        <f t="shared" si="80"/>
        <v>2500</v>
      </c>
      <c r="W536" s="58" t="str">
        <f t="shared" si="81"/>
        <v xml:space="preserve"> </v>
      </c>
      <c r="X536" s="59" t="str">
        <f t="shared" si="82"/>
        <v/>
      </c>
      <c r="Y536" s="60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16" t="s">
        <v>675</v>
      </c>
      <c r="AT536" s="64"/>
      <c r="AU536" s="82"/>
      <c r="AV536" s="82"/>
      <c r="AW536" s="82"/>
      <c r="AX536" s="64"/>
      <c r="AY536" s="64"/>
      <c r="AZ536" s="64"/>
      <c r="BA536" s="64"/>
      <c r="BB536" s="64"/>
      <c r="BC536" s="64"/>
      <c r="BD536" s="64"/>
      <c r="BE536" s="64"/>
      <c r="BF536" s="64"/>
      <c r="BG536" s="64"/>
      <c r="BH536" s="64"/>
      <c r="BI536" s="64"/>
      <c r="BJ536" s="64"/>
      <c r="BK536" s="64"/>
      <c r="BL536" s="64"/>
      <c r="BM536" s="64"/>
      <c r="BN536" s="64"/>
      <c r="BO536" s="64"/>
      <c r="BP536" s="64"/>
      <c r="BQ536" s="64"/>
      <c r="BR536" s="64"/>
      <c r="BS536" s="64"/>
      <c r="BT536" s="65"/>
    </row>
    <row r="537" spans="1:72" ht="18" hidden="1" customHeight="1" x14ac:dyDescent="0.3">
      <c r="A537" s="81" t="s">
        <v>1972</v>
      </c>
      <c r="B537" s="76" t="s">
        <v>459</v>
      </c>
      <c r="C537" s="16" t="s">
        <v>1502</v>
      </c>
      <c r="D537" s="16" t="s">
        <v>1484</v>
      </c>
      <c r="E537" s="50">
        <v>50</v>
      </c>
      <c r="F537" s="50">
        <v>0</v>
      </c>
      <c r="G537" s="16">
        <v>3</v>
      </c>
      <c r="H537" s="16" t="s">
        <v>1887</v>
      </c>
      <c r="I537" s="16" t="s">
        <v>1016</v>
      </c>
      <c r="J537" s="16" t="s">
        <v>2382</v>
      </c>
      <c r="K537" s="16">
        <v>50</v>
      </c>
      <c r="L537" s="16">
        <v>50</v>
      </c>
      <c r="M537" s="64"/>
      <c r="N537" s="64"/>
      <c r="O537" s="63" t="str">
        <f t="shared" si="83"/>
        <v>YES</v>
      </c>
      <c r="P537" s="52"/>
      <c r="Q537" s="53">
        <f t="shared" si="76"/>
        <v>5000</v>
      </c>
      <c r="R537" s="54">
        <f t="shared" si="77"/>
        <v>2500</v>
      </c>
      <c r="S537" s="55" t="str">
        <f t="shared" si="78"/>
        <v xml:space="preserve"> </v>
      </c>
      <c r="T537" s="56"/>
      <c r="U537" s="57" t="str">
        <f t="shared" si="79"/>
        <v>100µg/100cm²</v>
      </c>
      <c r="V537" s="58">
        <f t="shared" si="80"/>
        <v>2500</v>
      </c>
      <c r="W537" s="58" t="str">
        <f t="shared" si="81"/>
        <v xml:space="preserve"> </v>
      </c>
      <c r="X537" s="59" t="str">
        <f t="shared" si="82"/>
        <v/>
      </c>
      <c r="Y537" s="60"/>
      <c r="Z537" s="64"/>
      <c r="AA537" s="64"/>
      <c r="AB537" s="64"/>
      <c r="AC537" s="64"/>
      <c r="AD537" s="16" t="s">
        <v>675</v>
      </c>
      <c r="AE537" s="64"/>
      <c r="AF537" s="64"/>
      <c r="AG537" s="64"/>
      <c r="AH537" s="64"/>
      <c r="AI537" s="64"/>
      <c r="AJ537" s="64"/>
      <c r="AK537" s="64"/>
      <c r="AL537" s="64"/>
      <c r="AM537" s="16" t="s">
        <v>675</v>
      </c>
      <c r="AN537" s="64"/>
      <c r="AO537" s="64"/>
      <c r="AP537" s="64"/>
      <c r="AQ537" s="64"/>
      <c r="AR537" s="64"/>
      <c r="AS537" s="64"/>
      <c r="AT537" s="64"/>
      <c r="AU537" s="82"/>
      <c r="AV537" s="82"/>
      <c r="AW537" s="82"/>
      <c r="AX537" s="64"/>
      <c r="AY537" s="64"/>
      <c r="AZ537" s="64"/>
      <c r="BA537" s="64"/>
      <c r="BB537" s="64"/>
      <c r="BC537" s="64"/>
      <c r="BD537" s="64"/>
      <c r="BE537" s="64"/>
      <c r="BF537" s="64"/>
      <c r="BG537" s="64"/>
      <c r="BH537" s="64"/>
      <c r="BI537" s="64"/>
      <c r="BJ537" s="64"/>
      <c r="BK537" s="64"/>
      <c r="BL537" s="64"/>
      <c r="BM537" s="64"/>
      <c r="BN537" s="64"/>
      <c r="BO537" s="64"/>
      <c r="BP537" s="64"/>
      <c r="BQ537" s="64"/>
      <c r="BR537" s="64"/>
      <c r="BS537" s="64"/>
      <c r="BT537" s="65"/>
    </row>
    <row r="538" spans="1:72" ht="18" hidden="1" customHeight="1" x14ac:dyDescent="0.3">
      <c r="A538" s="81" t="s">
        <v>275</v>
      </c>
      <c r="B538" s="76" t="s">
        <v>459</v>
      </c>
      <c r="C538" s="16" t="s">
        <v>1502</v>
      </c>
      <c r="D538" s="16" t="s">
        <v>1484</v>
      </c>
      <c r="E538" s="50">
        <v>50</v>
      </c>
      <c r="F538" s="50">
        <v>0</v>
      </c>
      <c r="G538" s="16">
        <v>1</v>
      </c>
      <c r="H538" s="16" t="s">
        <v>1023</v>
      </c>
      <c r="I538" s="16" t="s">
        <v>1016</v>
      </c>
      <c r="J538" s="16" t="s">
        <v>2382</v>
      </c>
      <c r="K538" s="16">
        <v>50</v>
      </c>
      <c r="L538" s="16">
        <v>50</v>
      </c>
      <c r="M538" s="64"/>
      <c r="N538" s="64"/>
      <c r="O538" s="63" t="str">
        <f t="shared" si="83"/>
        <v>YES</v>
      </c>
      <c r="P538" s="52"/>
      <c r="Q538" s="53">
        <f t="shared" si="76"/>
        <v>5000</v>
      </c>
      <c r="R538" s="54">
        <f t="shared" si="77"/>
        <v>2500</v>
      </c>
      <c r="S538" s="55" t="str">
        <f t="shared" si="78"/>
        <v xml:space="preserve"> </v>
      </c>
      <c r="T538" s="56"/>
      <c r="U538" s="57" t="str">
        <f t="shared" si="79"/>
        <v>100µg/100cm²</v>
      </c>
      <c r="V538" s="58">
        <f t="shared" si="80"/>
        <v>2500</v>
      </c>
      <c r="W538" s="58" t="str">
        <f t="shared" si="81"/>
        <v xml:space="preserve"> </v>
      </c>
      <c r="X538" s="59" t="str">
        <f t="shared" si="82"/>
        <v/>
      </c>
      <c r="Y538" s="60"/>
      <c r="Z538" s="64"/>
      <c r="AA538" s="64"/>
      <c r="AB538" s="64"/>
      <c r="AC538" s="64"/>
      <c r="AD538" s="64"/>
      <c r="AE538" s="16" t="s">
        <v>675</v>
      </c>
      <c r="AF538" s="16" t="s">
        <v>675</v>
      </c>
      <c r="AG538" s="16" t="s">
        <v>675</v>
      </c>
      <c r="AH538" s="64"/>
      <c r="AI538" s="64"/>
      <c r="AJ538" s="16" t="s">
        <v>675</v>
      </c>
      <c r="AK538" s="64"/>
      <c r="AL538" s="64"/>
      <c r="AM538" s="16" t="s">
        <v>675</v>
      </c>
      <c r="AN538" s="16" t="s">
        <v>675</v>
      </c>
      <c r="AO538" s="16" t="s">
        <v>675</v>
      </c>
      <c r="AP538" s="16" t="s">
        <v>675</v>
      </c>
      <c r="AQ538" s="64"/>
      <c r="AR538" s="64"/>
      <c r="AS538" s="64"/>
      <c r="AT538" s="64"/>
      <c r="AU538" s="82"/>
      <c r="AV538" s="82"/>
      <c r="AW538" s="82"/>
      <c r="AX538" s="16" t="s">
        <v>675</v>
      </c>
      <c r="AY538" s="64"/>
      <c r="AZ538" s="64"/>
      <c r="BA538" s="64"/>
      <c r="BB538" s="64"/>
      <c r="BC538" s="64"/>
      <c r="BD538" s="16" t="s">
        <v>675</v>
      </c>
      <c r="BE538" s="64"/>
      <c r="BF538" s="64"/>
      <c r="BG538" s="64"/>
      <c r="BH538" s="64"/>
      <c r="BI538" s="64"/>
      <c r="BJ538" s="64"/>
      <c r="BK538" s="64"/>
      <c r="BL538" s="64"/>
      <c r="BM538" s="64"/>
      <c r="BN538" s="64"/>
      <c r="BO538" s="64"/>
      <c r="BP538" s="64"/>
      <c r="BQ538" s="64"/>
      <c r="BR538" s="64"/>
      <c r="BS538" s="64"/>
      <c r="BT538" s="65"/>
    </row>
    <row r="539" spans="1:72" ht="18" hidden="1" customHeight="1" x14ac:dyDescent="0.3">
      <c r="A539" s="47" t="s">
        <v>1723</v>
      </c>
      <c r="B539" s="48" t="s">
        <v>1724</v>
      </c>
      <c r="C539" s="49" t="s">
        <v>2197</v>
      </c>
      <c r="D539" s="16" t="s">
        <v>1268</v>
      </c>
      <c r="E539" s="50">
        <v>81.7</v>
      </c>
      <c r="F539" s="50">
        <v>0</v>
      </c>
      <c r="G539" s="16">
        <v>7</v>
      </c>
      <c r="H539" s="16">
        <v>7.4999999999999997E-2</v>
      </c>
      <c r="I539" s="70" t="s">
        <v>1474</v>
      </c>
      <c r="J539" s="16" t="s">
        <v>2386</v>
      </c>
      <c r="K539" s="49">
        <v>50</v>
      </c>
      <c r="L539" s="49">
        <v>50</v>
      </c>
      <c r="M539" s="64"/>
      <c r="N539" s="64"/>
      <c r="O539" s="63" t="str">
        <f t="shared" si="83"/>
        <v>YES</v>
      </c>
      <c r="P539" s="140"/>
      <c r="Q539" s="53">
        <f t="shared" si="76"/>
        <v>5000</v>
      </c>
      <c r="R539" s="54">
        <f t="shared" si="77"/>
        <v>4085</v>
      </c>
      <c r="S539" s="55" t="str">
        <f t="shared" si="78"/>
        <v xml:space="preserve"> </v>
      </c>
      <c r="T539" s="56"/>
      <c r="U539" s="57" t="str">
        <f t="shared" si="79"/>
        <v>100µg/100cm²</v>
      </c>
      <c r="V539" s="58">
        <f t="shared" si="80"/>
        <v>4085</v>
      </c>
      <c r="W539" s="58" t="str">
        <f t="shared" si="81"/>
        <v xml:space="preserve"> </v>
      </c>
      <c r="X539" s="59" t="str">
        <f t="shared" si="82"/>
        <v/>
      </c>
      <c r="Y539" s="60"/>
      <c r="Z539" s="16" t="s">
        <v>675</v>
      </c>
      <c r="AA539" s="16" t="s">
        <v>675</v>
      </c>
      <c r="AB539" s="64"/>
      <c r="AC539" s="64"/>
      <c r="AD539" s="64"/>
      <c r="AE539" s="64"/>
      <c r="AF539" s="64"/>
      <c r="AG539" s="64"/>
      <c r="AH539" s="16" t="s">
        <v>675</v>
      </c>
      <c r="AI539" s="64"/>
      <c r="AJ539" s="16" t="s">
        <v>675</v>
      </c>
      <c r="AK539" s="16" t="s">
        <v>675</v>
      </c>
      <c r="AL539" s="16" t="s">
        <v>675</v>
      </c>
      <c r="AM539" s="16" t="s">
        <v>675</v>
      </c>
      <c r="AN539" s="16" t="s">
        <v>675</v>
      </c>
      <c r="AO539" s="16" t="s">
        <v>675</v>
      </c>
      <c r="AP539" s="16" t="s">
        <v>675</v>
      </c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  <c r="BB539" s="64"/>
      <c r="BC539" s="16" t="s">
        <v>675</v>
      </c>
      <c r="BD539" s="64"/>
      <c r="BE539" s="64"/>
      <c r="BF539" s="64"/>
      <c r="BG539" s="64"/>
      <c r="BH539" s="64"/>
      <c r="BI539" s="64"/>
      <c r="BJ539" s="64"/>
      <c r="BK539" s="64"/>
      <c r="BL539" s="64"/>
      <c r="BM539" s="64"/>
      <c r="BN539" s="64"/>
      <c r="BO539" s="64"/>
      <c r="BP539" s="64"/>
      <c r="BQ539" s="64"/>
      <c r="BR539" s="64"/>
      <c r="BS539" s="64"/>
      <c r="BT539" s="65"/>
    </row>
    <row r="540" spans="1:72" ht="18" hidden="1" customHeight="1" x14ac:dyDescent="0.3">
      <c r="A540" s="84" t="s">
        <v>659</v>
      </c>
      <c r="B540" s="139" t="s">
        <v>660</v>
      </c>
      <c r="C540" s="16" t="s">
        <v>2127</v>
      </c>
      <c r="D540" s="49" t="s">
        <v>1028</v>
      </c>
      <c r="E540" s="50">
        <v>59.96</v>
      </c>
      <c r="F540" s="50">
        <v>0</v>
      </c>
      <c r="G540" s="61">
        <v>1</v>
      </c>
      <c r="H540" s="16" t="s">
        <v>1023</v>
      </c>
      <c r="I540" s="139" t="s">
        <v>1040</v>
      </c>
      <c r="J540" s="16" t="s">
        <v>2386</v>
      </c>
      <c r="K540" s="49">
        <v>50</v>
      </c>
      <c r="L540" s="49">
        <v>50</v>
      </c>
      <c r="M540" s="64"/>
      <c r="N540" s="64"/>
      <c r="O540" s="63" t="str">
        <f t="shared" si="83"/>
        <v>YES</v>
      </c>
      <c r="P540" s="140"/>
      <c r="Q540" s="53">
        <f t="shared" si="76"/>
        <v>5000</v>
      </c>
      <c r="R540" s="54">
        <f t="shared" si="77"/>
        <v>2998</v>
      </c>
      <c r="S540" s="55" t="str">
        <f t="shared" si="78"/>
        <v xml:space="preserve"> </v>
      </c>
      <c r="T540" s="56"/>
      <c r="U540" s="57" t="str">
        <f t="shared" si="79"/>
        <v>100µg/100cm²</v>
      </c>
      <c r="V540" s="58">
        <f t="shared" si="80"/>
        <v>2998</v>
      </c>
      <c r="W540" s="58" t="str">
        <f t="shared" si="81"/>
        <v xml:space="preserve"> </v>
      </c>
      <c r="X540" s="59" t="str">
        <f t="shared" si="82"/>
        <v/>
      </c>
      <c r="Y540" s="60"/>
      <c r="Z540" s="64"/>
      <c r="AA540" s="64"/>
      <c r="AB540" s="64"/>
      <c r="AC540" s="64"/>
      <c r="AD540" s="64"/>
      <c r="AE540" s="16" t="s">
        <v>675</v>
      </c>
      <c r="AF540" s="64"/>
      <c r="AG540" s="64"/>
      <c r="AH540" s="64"/>
      <c r="AI540" s="16" t="s">
        <v>675</v>
      </c>
      <c r="AJ540" s="16" t="s">
        <v>675</v>
      </c>
      <c r="AK540" s="64"/>
      <c r="AL540" s="64"/>
      <c r="AM540" s="16" t="s">
        <v>675</v>
      </c>
      <c r="AN540" s="64"/>
      <c r="AO540" s="64"/>
      <c r="AP540" s="64"/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16" t="s">
        <v>675</v>
      </c>
      <c r="BB540" s="16" t="s">
        <v>675</v>
      </c>
      <c r="BC540" s="64"/>
      <c r="BD540" s="64"/>
      <c r="BE540" s="64"/>
      <c r="BF540" s="64"/>
      <c r="BG540" s="64"/>
      <c r="BH540" s="64"/>
      <c r="BI540" s="64"/>
      <c r="BJ540" s="64"/>
      <c r="BK540" s="64"/>
      <c r="BL540" s="64"/>
      <c r="BM540" s="64"/>
      <c r="BN540" s="64"/>
      <c r="BO540" s="64"/>
      <c r="BP540" s="64"/>
      <c r="BQ540" s="64"/>
      <c r="BR540" s="64"/>
      <c r="BS540" s="64"/>
      <c r="BT540" s="65"/>
    </row>
    <row r="541" spans="1:72" ht="18" hidden="1" customHeight="1" x14ac:dyDescent="0.3">
      <c r="A541" s="80" t="s">
        <v>1744</v>
      </c>
      <c r="B541" s="48" t="s">
        <v>792</v>
      </c>
      <c r="C541" s="16" t="s">
        <v>1469</v>
      </c>
      <c r="D541" s="16" t="s">
        <v>1795</v>
      </c>
      <c r="E541" s="50">
        <v>60.985021579080993</v>
      </c>
      <c r="F541" s="50">
        <v>0</v>
      </c>
      <c r="G541" s="16">
        <v>3</v>
      </c>
      <c r="H541" s="16" t="s">
        <v>1410</v>
      </c>
      <c r="I541" s="70" t="s">
        <v>1474</v>
      </c>
      <c r="J541" s="16" t="s">
        <v>2386</v>
      </c>
      <c r="K541" s="49">
        <v>50</v>
      </c>
      <c r="L541" s="49">
        <v>50</v>
      </c>
      <c r="M541" s="64"/>
      <c r="N541" s="64"/>
      <c r="O541" s="63" t="str">
        <f t="shared" si="83"/>
        <v>YES</v>
      </c>
      <c r="P541" s="140"/>
      <c r="Q541" s="53">
        <f t="shared" si="76"/>
        <v>5000</v>
      </c>
      <c r="R541" s="54">
        <f t="shared" si="77"/>
        <v>3049.2</v>
      </c>
      <c r="S541" s="55" t="str">
        <f t="shared" si="78"/>
        <v xml:space="preserve"> </v>
      </c>
      <c r="T541" s="56"/>
      <c r="U541" s="57" t="str">
        <f t="shared" si="79"/>
        <v>100µg/100cm²</v>
      </c>
      <c r="V541" s="58">
        <f t="shared" si="80"/>
        <v>3049.2</v>
      </c>
      <c r="W541" s="58" t="str">
        <f t="shared" si="81"/>
        <v xml:space="preserve"> </v>
      </c>
      <c r="X541" s="59" t="str">
        <f t="shared" si="82"/>
        <v/>
      </c>
      <c r="Y541" s="60"/>
      <c r="Z541" s="16" t="s">
        <v>675</v>
      </c>
      <c r="AA541" s="16" t="s">
        <v>675</v>
      </c>
      <c r="AB541" s="16" t="s">
        <v>675</v>
      </c>
      <c r="AC541" s="64"/>
      <c r="AD541" s="64"/>
      <c r="AE541" s="16" t="s">
        <v>675</v>
      </c>
      <c r="AF541" s="16" t="s">
        <v>675</v>
      </c>
      <c r="AG541" s="16" t="s">
        <v>675</v>
      </c>
      <c r="AH541" s="64"/>
      <c r="AI541" s="16" t="s">
        <v>675</v>
      </c>
      <c r="AJ541" s="16" t="s">
        <v>675</v>
      </c>
      <c r="AK541" s="16" t="s">
        <v>675</v>
      </c>
      <c r="AL541" s="16" t="s">
        <v>675</v>
      </c>
      <c r="AM541" s="16" t="s">
        <v>675</v>
      </c>
      <c r="AN541" s="64"/>
      <c r="AO541" s="64"/>
      <c r="AP541" s="64"/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  <c r="BB541" s="64"/>
      <c r="BC541" s="64"/>
      <c r="BD541" s="64"/>
      <c r="BE541" s="64"/>
      <c r="BF541" s="64"/>
      <c r="BG541" s="64"/>
      <c r="BH541" s="64"/>
      <c r="BI541" s="64"/>
      <c r="BJ541" s="64"/>
      <c r="BK541" s="64"/>
      <c r="BL541" s="64"/>
      <c r="BM541" s="64"/>
      <c r="BN541" s="64"/>
      <c r="BO541" s="64"/>
      <c r="BP541" s="64"/>
      <c r="BQ541" s="64"/>
      <c r="BR541" s="64"/>
      <c r="BS541" s="64"/>
      <c r="BT541" s="65"/>
    </row>
    <row r="542" spans="1:72" ht="18" hidden="1" customHeight="1" x14ac:dyDescent="0.3">
      <c r="A542" s="81" t="s">
        <v>558</v>
      </c>
      <c r="B542" s="71" t="s">
        <v>559</v>
      </c>
      <c r="C542" s="16" t="s">
        <v>1604</v>
      </c>
      <c r="D542" s="16" t="s">
        <v>1491</v>
      </c>
      <c r="E542" s="50">
        <v>50</v>
      </c>
      <c r="F542" s="50">
        <v>0</v>
      </c>
      <c r="G542" s="16">
        <v>3</v>
      </c>
      <c r="H542" s="16" t="s">
        <v>1567</v>
      </c>
      <c r="I542" s="16" t="s">
        <v>1016</v>
      </c>
      <c r="J542" s="16" t="s">
        <v>2382</v>
      </c>
      <c r="K542" s="16">
        <v>50</v>
      </c>
      <c r="L542" s="16">
        <v>50</v>
      </c>
      <c r="M542" s="64"/>
      <c r="N542" s="64"/>
      <c r="O542" s="63" t="str">
        <f t="shared" si="83"/>
        <v>YES</v>
      </c>
      <c r="P542" s="140"/>
      <c r="Q542" s="53">
        <f t="shared" si="76"/>
        <v>5000</v>
      </c>
      <c r="R542" s="54">
        <f t="shared" si="77"/>
        <v>2500</v>
      </c>
      <c r="S542" s="55" t="str">
        <f t="shared" si="78"/>
        <v xml:space="preserve"> </v>
      </c>
      <c r="T542" s="56"/>
      <c r="U542" s="57" t="str">
        <f t="shared" si="79"/>
        <v>100µg/100cm²</v>
      </c>
      <c r="V542" s="58">
        <f t="shared" si="80"/>
        <v>2500</v>
      </c>
      <c r="W542" s="58" t="str">
        <f t="shared" si="81"/>
        <v xml:space="preserve"> </v>
      </c>
      <c r="X542" s="59" t="str">
        <f t="shared" si="82"/>
        <v/>
      </c>
      <c r="Y542" s="60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16" t="s">
        <v>675</v>
      </c>
      <c r="AT542" s="64"/>
      <c r="AU542" s="82"/>
      <c r="AV542" s="82"/>
      <c r="AW542" s="82"/>
      <c r="AX542" s="64"/>
      <c r="AY542" s="64"/>
      <c r="AZ542" s="64"/>
      <c r="BA542" s="64"/>
      <c r="BB542" s="64"/>
      <c r="BC542" s="64"/>
      <c r="BD542" s="64"/>
      <c r="BE542" s="64"/>
      <c r="BF542" s="64"/>
      <c r="BG542" s="64"/>
      <c r="BH542" s="64"/>
      <c r="BI542" s="64"/>
      <c r="BJ542" s="64"/>
      <c r="BK542" s="64"/>
      <c r="BL542" s="64"/>
      <c r="BM542" s="64"/>
      <c r="BN542" s="64"/>
      <c r="BO542" s="64"/>
      <c r="BP542" s="64"/>
      <c r="BQ542" s="64"/>
      <c r="BR542" s="64"/>
      <c r="BS542" s="64"/>
      <c r="BT542" s="65"/>
    </row>
    <row r="543" spans="1:72" ht="18" hidden="1" customHeight="1" x14ac:dyDescent="0.3">
      <c r="A543" s="81" t="s">
        <v>933</v>
      </c>
      <c r="B543" s="76" t="s">
        <v>459</v>
      </c>
      <c r="C543" s="16" t="s">
        <v>1500</v>
      </c>
      <c r="D543" s="16" t="s">
        <v>1485</v>
      </c>
      <c r="E543" s="50">
        <v>50</v>
      </c>
      <c r="F543" s="50">
        <v>0</v>
      </c>
      <c r="G543" s="16">
        <v>1</v>
      </c>
      <c r="H543" s="16" t="s">
        <v>1023</v>
      </c>
      <c r="I543" s="16" t="s">
        <v>1016</v>
      </c>
      <c r="J543" s="16" t="s">
        <v>2382</v>
      </c>
      <c r="K543" s="16">
        <v>50</v>
      </c>
      <c r="L543" s="16">
        <v>50</v>
      </c>
      <c r="M543" s="64"/>
      <c r="N543" s="64"/>
      <c r="O543" s="63" t="str">
        <f t="shared" si="83"/>
        <v>YES</v>
      </c>
      <c r="P543" s="140"/>
      <c r="Q543" s="53">
        <f t="shared" si="76"/>
        <v>5000</v>
      </c>
      <c r="R543" s="54">
        <f t="shared" si="77"/>
        <v>2500</v>
      </c>
      <c r="S543" s="55" t="str">
        <f t="shared" si="78"/>
        <v xml:space="preserve"> </v>
      </c>
      <c r="T543" s="56"/>
      <c r="U543" s="57" t="str">
        <f t="shared" si="79"/>
        <v>100µg/100cm²</v>
      </c>
      <c r="V543" s="58">
        <f t="shared" si="80"/>
        <v>2500</v>
      </c>
      <c r="W543" s="58" t="str">
        <f t="shared" si="81"/>
        <v xml:space="preserve"> </v>
      </c>
      <c r="X543" s="59" t="str">
        <f t="shared" si="82"/>
        <v/>
      </c>
      <c r="Y543" s="60"/>
      <c r="Z543" s="64"/>
      <c r="AA543" s="64"/>
      <c r="AB543" s="64"/>
      <c r="AC543" s="64"/>
      <c r="AD543" s="64"/>
      <c r="AE543" s="16" t="s">
        <v>675</v>
      </c>
      <c r="AF543" s="16" t="s">
        <v>675</v>
      </c>
      <c r="AG543" s="16" t="s">
        <v>675</v>
      </c>
      <c r="AH543" s="64"/>
      <c r="AI543" s="64"/>
      <c r="AJ543" s="64"/>
      <c r="AK543" s="64"/>
      <c r="AL543" s="64"/>
      <c r="AM543" s="16" t="s">
        <v>675</v>
      </c>
      <c r="AN543" s="64"/>
      <c r="AO543" s="64"/>
      <c r="AP543" s="64"/>
      <c r="AQ543" s="64"/>
      <c r="AR543" s="64"/>
      <c r="AS543" s="64"/>
      <c r="AT543" s="64"/>
      <c r="AU543" s="82"/>
      <c r="AV543" s="82"/>
      <c r="AW543" s="82"/>
      <c r="AX543" s="64"/>
      <c r="AY543" s="16" t="s">
        <v>675</v>
      </c>
      <c r="AZ543" s="16" t="s">
        <v>675</v>
      </c>
      <c r="BA543" s="16" t="s">
        <v>675</v>
      </c>
      <c r="BB543" s="16" t="s">
        <v>675</v>
      </c>
      <c r="BC543" s="64"/>
      <c r="BD543" s="64"/>
      <c r="BE543" s="64"/>
      <c r="BF543" s="64"/>
      <c r="BG543" s="64"/>
      <c r="BH543" s="64"/>
      <c r="BI543" s="64"/>
      <c r="BJ543" s="64"/>
      <c r="BK543" s="64"/>
      <c r="BL543" s="64"/>
      <c r="BM543" s="64"/>
      <c r="BN543" s="64"/>
      <c r="BO543" s="64"/>
      <c r="BP543" s="64"/>
      <c r="BQ543" s="64"/>
      <c r="BR543" s="64"/>
      <c r="BS543" s="64"/>
      <c r="BT543" s="65"/>
    </row>
    <row r="544" spans="1:72" ht="18" hidden="1" customHeight="1" x14ac:dyDescent="0.3">
      <c r="A544" s="81" t="s">
        <v>934</v>
      </c>
      <c r="B544" s="76" t="s">
        <v>459</v>
      </c>
      <c r="C544" s="16" t="s">
        <v>1500</v>
      </c>
      <c r="D544" s="16" t="s">
        <v>1485</v>
      </c>
      <c r="E544" s="50">
        <v>50</v>
      </c>
      <c r="F544" s="50">
        <v>0</v>
      </c>
      <c r="G544" s="16">
        <v>1</v>
      </c>
      <c r="H544" s="16" t="s">
        <v>1023</v>
      </c>
      <c r="I544" s="16" t="s">
        <v>1016</v>
      </c>
      <c r="J544" s="16" t="s">
        <v>2382</v>
      </c>
      <c r="K544" s="16">
        <v>50</v>
      </c>
      <c r="L544" s="16">
        <v>50</v>
      </c>
      <c r="M544" s="64"/>
      <c r="N544" s="64"/>
      <c r="O544" s="63" t="str">
        <f t="shared" si="83"/>
        <v>YES</v>
      </c>
      <c r="P544" s="140"/>
      <c r="Q544" s="53">
        <f t="shared" si="76"/>
        <v>5000</v>
      </c>
      <c r="R544" s="54">
        <f t="shared" si="77"/>
        <v>2500</v>
      </c>
      <c r="S544" s="55" t="str">
        <f t="shared" si="78"/>
        <v xml:space="preserve"> </v>
      </c>
      <c r="T544" s="56"/>
      <c r="U544" s="57" t="str">
        <f t="shared" si="79"/>
        <v>100µg/100cm²</v>
      </c>
      <c r="V544" s="58">
        <f t="shared" si="80"/>
        <v>2500</v>
      </c>
      <c r="W544" s="58" t="str">
        <f t="shared" si="81"/>
        <v xml:space="preserve"> </v>
      </c>
      <c r="X544" s="59" t="str">
        <f t="shared" si="82"/>
        <v/>
      </c>
      <c r="Y544" s="60"/>
      <c r="Z544" s="64"/>
      <c r="AA544" s="64"/>
      <c r="AB544" s="64"/>
      <c r="AC544" s="64"/>
      <c r="AD544" s="64"/>
      <c r="AE544" s="16" t="s">
        <v>675</v>
      </c>
      <c r="AF544" s="16" t="s">
        <v>675</v>
      </c>
      <c r="AG544" s="16" t="s">
        <v>675</v>
      </c>
      <c r="AH544" s="64"/>
      <c r="AI544" s="64"/>
      <c r="AJ544" s="64"/>
      <c r="AK544" s="64"/>
      <c r="AL544" s="64"/>
      <c r="AM544" s="16" t="s">
        <v>675</v>
      </c>
      <c r="AN544" s="64"/>
      <c r="AO544" s="64"/>
      <c r="AP544" s="64"/>
      <c r="AQ544" s="64"/>
      <c r="AR544" s="64"/>
      <c r="AS544" s="64"/>
      <c r="AT544" s="64"/>
      <c r="AU544" s="82"/>
      <c r="AV544" s="82"/>
      <c r="AW544" s="82"/>
      <c r="AX544" s="64"/>
      <c r="AY544" s="64"/>
      <c r="AZ544" s="64"/>
      <c r="BA544" s="64"/>
      <c r="BB544" s="64"/>
      <c r="BC544" s="64"/>
      <c r="BD544" s="64"/>
      <c r="BE544" s="64"/>
      <c r="BF544" s="64"/>
      <c r="BG544" s="64"/>
      <c r="BH544" s="64"/>
      <c r="BI544" s="64"/>
      <c r="BJ544" s="64"/>
      <c r="BK544" s="64"/>
      <c r="BL544" s="64"/>
      <c r="BM544" s="64"/>
      <c r="BN544" s="64"/>
      <c r="BO544" s="64"/>
      <c r="BP544" s="64"/>
      <c r="BQ544" s="64"/>
      <c r="BR544" s="64"/>
      <c r="BS544" s="64"/>
      <c r="BT544" s="65"/>
    </row>
    <row r="545" spans="1:72" ht="18" hidden="1" customHeight="1" x14ac:dyDescent="0.3">
      <c r="A545" s="81" t="s">
        <v>935</v>
      </c>
      <c r="B545" s="76" t="s">
        <v>459</v>
      </c>
      <c r="C545" s="16" t="s">
        <v>1500</v>
      </c>
      <c r="D545" s="16" t="s">
        <v>1485</v>
      </c>
      <c r="E545" s="50">
        <v>50</v>
      </c>
      <c r="F545" s="50">
        <v>0</v>
      </c>
      <c r="G545" s="16">
        <v>1</v>
      </c>
      <c r="H545" s="16" t="s">
        <v>1023</v>
      </c>
      <c r="I545" s="16" t="s">
        <v>1016</v>
      </c>
      <c r="J545" s="16" t="s">
        <v>2382</v>
      </c>
      <c r="K545" s="16">
        <v>50</v>
      </c>
      <c r="L545" s="16">
        <v>50</v>
      </c>
      <c r="M545" s="64"/>
      <c r="N545" s="64"/>
      <c r="O545" s="63" t="str">
        <f t="shared" si="83"/>
        <v>YES</v>
      </c>
      <c r="P545" s="140"/>
      <c r="Q545" s="53">
        <f t="shared" si="76"/>
        <v>5000</v>
      </c>
      <c r="R545" s="54">
        <f t="shared" si="77"/>
        <v>2500</v>
      </c>
      <c r="S545" s="55" t="str">
        <f t="shared" si="78"/>
        <v xml:space="preserve"> </v>
      </c>
      <c r="T545" s="56"/>
      <c r="U545" s="57" t="str">
        <f t="shared" si="79"/>
        <v>100µg/100cm²</v>
      </c>
      <c r="V545" s="58">
        <f t="shared" si="80"/>
        <v>2500</v>
      </c>
      <c r="W545" s="58" t="str">
        <f t="shared" si="81"/>
        <v xml:space="preserve"> </v>
      </c>
      <c r="X545" s="59" t="str">
        <f t="shared" si="82"/>
        <v/>
      </c>
      <c r="Y545" s="60"/>
      <c r="Z545" s="64"/>
      <c r="AA545" s="64"/>
      <c r="AB545" s="64"/>
      <c r="AC545" s="64"/>
      <c r="AD545" s="64"/>
      <c r="AE545" s="16" t="s">
        <v>675</v>
      </c>
      <c r="AF545" s="16" t="s">
        <v>675</v>
      </c>
      <c r="AG545" s="16" t="s">
        <v>675</v>
      </c>
      <c r="AH545" s="64"/>
      <c r="AI545" s="64"/>
      <c r="AJ545" s="64"/>
      <c r="AK545" s="64"/>
      <c r="AL545" s="64"/>
      <c r="AM545" s="16" t="s">
        <v>675</v>
      </c>
      <c r="AN545" s="64"/>
      <c r="AO545" s="64"/>
      <c r="AP545" s="64"/>
      <c r="AQ545" s="64"/>
      <c r="AR545" s="64"/>
      <c r="AS545" s="64"/>
      <c r="AT545" s="64"/>
      <c r="AU545" s="82"/>
      <c r="AV545" s="82"/>
      <c r="AW545" s="82"/>
      <c r="AX545" s="64"/>
      <c r="AY545" s="64"/>
      <c r="AZ545" s="64"/>
      <c r="BA545" s="64"/>
      <c r="BB545" s="64"/>
      <c r="BC545" s="64"/>
      <c r="BD545" s="64"/>
      <c r="BE545" s="64"/>
      <c r="BF545" s="64"/>
      <c r="BG545" s="64"/>
      <c r="BH545" s="64"/>
      <c r="BI545" s="64"/>
      <c r="BJ545" s="64"/>
      <c r="BK545" s="64"/>
      <c r="BL545" s="64"/>
      <c r="BM545" s="64"/>
      <c r="BN545" s="64"/>
      <c r="BO545" s="64"/>
      <c r="BP545" s="64"/>
      <c r="BQ545" s="64"/>
      <c r="BR545" s="64"/>
      <c r="BS545" s="64"/>
      <c r="BT545" s="65"/>
    </row>
    <row r="546" spans="1:72" ht="18" hidden="1" customHeight="1" x14ac:dyDescent="0.3">
      <c r="A546" s="81" t="s">
        <v>936</v>
      </c>
      <c r="B546" s="76" t="s">
        <v>459</v>
      </c>
      <c r="C546" s="16" t="s">
        <v>1500</v>
      </c>
      <c r="D546" s="16" t="s">
        <v>1485</v>
      </c>
      <c r="E546" s="50">
        <v>50</v>
      </c>
      <c r="F546" s="50">
        <v>0</v>
      </c>
      <c r="G546" s="16">
        <v>1</v>
      </c>
      <c r="H546" s="16" t="s">
        <v>1023</v>
      </c>
      <c r="I546" s="16" t="s">
        <v>1016</v>
      </c>
      <c r="J546" s="16" t="s">
        <v>2382</v>
      </c>
      <c r="K546" s="16">
        <v>50</v>
      </c>
      <c r="L546" s="16">
        <v>50</v>
      </c>
      <c r="M546" s="64"/>
      <c r="N546" s="64"/>
      <c r="O546" s="63" t="str">
        <f t="shared" si="83"/>
        <v>YES</v>
      </c>
      <c r="P546" s="140"/>
      <c r="Q546" s="53">
        <f t="shared" si="76"/>
        <v>5000</v>
      </c>
      <c r="R546" s="54">
        <f t="shared" si="77"/>
        <v>2500</v>
      </c>
      <c r="S546" s="55" t="str">
        <f t="shared" si="78"/>
        <v xml:space="preserve"> </v>
      </c>
      <c r="T546" s="56"/>
      <c r="U546" s="57" t="str">
        <f t="shared" si="79"/>
        <v>100µg/100cm²</v>
      </c>
      <c r="V546" s="58">
        <f t="shared" si="80"/>
        <v>2500</v>
      </c>
      <c r="W546" s="58" t="str">
        <f t="shared" si="81"/>
        <v xml:space="preserve"> </v>
      </c>
      <c r="X546" s="59" t="str">
        <f t="shared" si="82"/>
        <v/>
      </c>
      <c r="Y546" s="60"/>
      <c r="Z546" s="64"/>
      <c r="AA546" s="64"/>
      <c r="AB546" s="64"/>
      <c r="AC546" s="64"/>
      <c r="AD546" s="64"/>
      <c r="AE546" s="16" t="s">
        <v>675</v>
      </c>
      <c r="AF546" s="16" t="s">
        <v>675</v>
      </c>
      <c r="AG546" s="16" t="s">
        <v>675</v>
      </c>
      <c r="AH546" s="64"/>
      <c r="AI546" s="64"/>
      <c r="AJ546" s="64"/>
      <c r="AK546" s="64"/>
      <c r="AL546" s="64"/>
      <c r="AM546" s="16" t="s">
        <v>675</v>
      </c>
      <c r="AN546" s="64"/>
      <c r="AO546" s="64"/>
      <c r="AP546" s="64"/>
      <c r="AQ546" s="64"/>
      <c r="AR546" s="64"/>
      <c r="AS546" s="64"/>
      <c r="AT546" s="64"/>
      <c r="AU546" s="82"/>
      <c r="AV546" s="82"/>
      <c r="AW546" s="82"/>
      <c r="AX546" s="16" t="s">
        <v>675</v>
      </c>
      <c r="AY546" s="16" t="s">
        <v>675</v>
      </c>
      <c r="AZ546" s="16" t="s">
        <v>675</v>
      </c>
      <c r="BA546" s="16" t="s">
        <v>675</v>
      </c>
      <c r="BB546" s="16" t="s">
        <v>675</v>
      </c>
      <c r="BC546" s="64"/>
      <c r="BD546" s="64"/>
      <c r="BE546" s="64"/>
      <c r="BF546" s="64"/>
      <c r="BG546" s="64"/>
      <c r="BH546" s="64"/>
      <c r="BI546" s="64"/>
      <c r="BJ546" s="64"/>
      <c r="BK546" s="64"/>
      <c r="BL546" s="64"/>
      <c r="BM546" s="64"/>
      <c r="BN546" s="64"/>
      <c r="BO546" s="64"/>
      <c r="BP546" s="64"/>
      <c r="BQ546" s="64"/>
      <c r="BR546" s="64"/>
      <c r="BS546" s="64"/>
      <c r="BT546" s="65"/>
    </row>
    <row r="547" spans="1:72" ht="18" hidden="1" customHeight="1" x14ac:dyDescent="0.3">
      <c r="A547" s="81" t="s">
        <v>937</v>
      </c>
      <c r="B547" s="76" t="s">
        <v>459</v>
      </c>
      <c r="C547" s="16" t="s">
        <v>1500</v>
      </c>
      <c r="D547" s="16" t="s">
        <v>1485</v>
      </c>
      <c r="E547" s="50">
        <v>50</v>
      </c>
      <c r="F547" s="50">
        <v>0</v>
      </c>
      <c r="G547" s="16">
        <v>1</v>
      </c>
      <c r="H547" s="16" t="s">
        <v>1023</v>
      </c>
      <c r="I547" s="16" t="s">
        <v>1016</v>
      </c>
      <c r="J547" s="16" t="s">
        <v>2382</v>
      </c>
      <c r="K547" s="16">
        <v>50</v>
      </c>
      <c r="L547" s="16">
        <v>50</v>
      </c>
      <c r="M547" s="64"/>
      <c r="N547" s="64"/>
      <c r="O547" s="63" t="str">
        <f t="shared" si="83"/>
        <v>YES</v>
      </c>
      <c r="P547" s="140"/>
      <c r="Q547" s="53">
        <f t="shared" si="76"/>
        <v>5000</v>
      </c>
      <c r="R547" s="54">
        <f t="shared" si="77"/>
        <v>2500</v>
      </c>
      <c r="S547" s="55" t="str">
        <f t="shared" si="78"/>
        <v xml:space="preserve"> </v>
      </c>
      <c r="T547" s="56"/>
      <c r="U547" s="57" t="str">
        <f t="shared" si="79"/>
        <v>100µg/100cm²</v>
      </c>
      <c r="V547" s="58">
        <f t="shared" si="80"/>
        <v>2500</v>
      </c>
      <c r="W547" s="58" t="str">
        <f t="shared" si="81"/>
        <v xml:space="preserve"> </v>
      </c>
      <c r="X547" s="59" t="str">
        <f t="shared" si="82"/>
        <v/>
      </c>
      <c r="Y547" s="60"/>
      <c r="Z547" s="64"/>
      <c r="AA547" s="64"/>
      <c r="AB547" s="64"/>
      <c r="AC547" s="64"/>
      <c r="AD547" s="64"/>
      <c r="AE547" s="16" t="s">
        <v>675</v>
      </c>
      <c r="AF547" s="16" t="s">
        <v>675</v>
      </c>
      <c r="AG547" s="16" t="s">
        <v>675</v>
      </c>
      <c r="AH547" s="64"/>
      <c r="AI547" s="64"/>
      <c r="AJ547" s="64"/>
      <c r="AK547" s="64"/>
      <c r="AL547" s="64"/>
      <c r="AM547" s="16" t="s">
        <v>675</v>
      </c>
      <c r="AN547" s="64"/>
      <c r="AO547" s="64"/>
      <c r="AP547" s="64"/>
      <c r="AQ547" s="64"/>
      <c r="AR547" s="64"/>
      <c r="AS547" s="64"/>
      <c r="AT547" s="64"/>
      <c r="AU547" s="82"/>
      <c r="AV547" s="82"/>
      <c r="AW547" s="82"/>
      <c r="AX547" s="16" t="s">
        <v>675</v>
      </c>
      <c r="AY547" s="16" t="s">
        <v>675</v>
      </c>
      <c r="AZ547" s="16" t="s">
        <v>675</v>
      </c>
      <c r="BA547" s="16" t="s">
        <v>675</v>
      </c>
      <c r="BB547" s="16" t="s">
        <v>675</v>
      </c>
      <c r="BC547" s="64"/>
      <c r="BD547" s="64"/>
      <c r="BE547" s="64"/>
      <c r="BF547" s="64"/>
      <c r="BG547" s="64"/>
      <c r="BH547" s="64"/>
      <c r="BI547" s="64"/>
      <c r="BJ547" s="64"/>
      <c r="BK547" s="64"/>
      <c r="BL547" s="64"/>
      <c r="BM547" s="64"/>
      <c r="BN547" s="64"/>
      <c r="BO547" s="64"/>
      <c r="BP547" s="64"/>
      <c r="BQ547" s="64"/>
      <c r="BR547" s="64"/>
      <c r="BS547" s="64"/>
      <c r="BT547" s="65"/>
    </row>
    <row r="548" spans="1:72" ht="18" hidden="1" customHeight="1" x14ac:dyDescent="0.3">
      <c r="A548" s="81" t="s">
        <v>938</v>
      </c>
      <c r="B548" s="76" t="s">
        <v>459</v>
      </c>
      <c r="C548" s="16" t="s">
        <v>1500</v>
      </c>
      <c r="D548" s="16" t="s">
        <v>1485</v>
      </c>
      <c r="E548" s="50">
        <v>50</v>
      </c>
      <c r="F548" s="50">
        <v>0</v>
      </c>
      <c r="G548" s="16">
        <v>1</v>
      </c>
      <c r="H548" s="16" t="s">
        <v>1023</v>
      </c>
      <c r="I548" s="16" t="s">
        <v>1016</v>
      </c>
      <c r="J548" s="16" t="s">
        <v>2382</v>
      </c>
      <c r="K548" s="16">
        <v>50</v>
      </c>
      <c r="L548" s="16">
        <v>50</v>
      </c>
      <c r="M548" s="64"/>
      <c r="N548" s="64"/>
      <c r="O548" s="63" t="str">
        <f t="shared" si="83"/>
        <v>YES</v>
      </c>
      <c r="P548" s="140"/>
      <c r="Q548" s="53">
        <f t="shared" si="76"/>
        <v>5000</v>
      </c>
      <c r="R548" s="54">
        <f t="shared" si="77"/>
        <v>2500</v>
      </c>
      <c r="S548" s="55" t="str">
        <f t="shared" si="78"/>
        <v xml:space="preserve"> </v>
      </c>
      <c r="T548" s="56"/>
      <c r="U548" s="57" t="str">
        <f t="shared" si="79"/>
        <v>100µg/100cm²</v>
      </c>
      <c r="V548" s="58">
        <f t="shared" si="80"/>
        <v>2500</v>
      </c>
      <c r="W548" s="58" t="str">
        <f t="shared" si="81"/>
        <v xml:space="preserve"> </v>
      </c>
      <c r="X548" s="59" t="str">
        <f t="shared" si="82"/>
        <v/>
      </c>
      <c r="Y548" s="60"/>
      <c r="Z548" s="64"/>
      <c r="AA548" s="64"/>
      <c r="AB548" s="64"/>
      <c r="AC548" s="64"/>
      <c r="AD548" s="64"/>
      <c r="AE548" s="16" t="s">
        <v>675</v>
      </c>
      <c r="AF548" s="16" t="s">
        <v>675</v>
      </c>
      <c r="AG548" s="16" t="s">
        <v>675</v>
      </c>
      <c r="AH548" s="64"/>
      <c r="AI548" s="64"/>
      <c r="AJ548" s="64"/>
      <c r="AK548" s="64"/>
      <c r="AL548" s="64"/>
      <c r="AM548" s="16" t="s">
        <v>675</v>
      </c>
      <c r="AN548" s="64"/>
      <c r="AO548" s="64"/>
      <c r="AP548" s="64"/>
      <c r="AQ548" s="64"/>
      <c r="AR548" s="64"/>
      <c r="AS548" s="64"/>
      <c r="AT548" s="64"/>
      <c r="AU548" s="82"/>
      <c r="AV548" s="82"/>
      <c r="AW548" s="82"/>
      <c r="AX548" s="16" t="s">
        <v>675</v>
      </c>
      <c r="AY548" s="16" t="s">
        <v>675</v>
      </c>
      <c r="AZ548" s="16" t="s">
        <v>675</v>
      </c>
      <c r="BA548" s="16" t="s">
        <v>675</v>
      </c>
      <c r="BB548" s="16" t="s">
        <v>675</v>
      </c>
      <c r="BC548" s="64"/>
      <c r="BD548" s="64"/>
      <c r="BE548" s="64"/>
      <c r="BF548" s="64"/>
      <c r="BG548" s="64"/>
      <c r="BH548" s="64"/>
      <c r="BI548" s="64"/>
      <c r="BJ548" s="64"/>
      <c r="BK548" s="64"/>
      <c r="BL548" s="64"/>
      <c r="BM548" s="64"/>
      <c r="BN548" s="64"/>
      <c r="BO548" s="64"/>
      <c r="BP548" s="64"/>
      <c r="BQ548" s="64"/>
      <c r="BR548" s="64"/>
      <c r="BS548" s="64"/>
      <c r="BT548" s="65"/>
    </row>
    <row r="549" spans="1:72" ht="18" hidden="1" customHeight="1" x14ac:dyDescent="0.3">
      <c r="A549" s="81" t="s">
        <v>939</v>
      </c>
      <c r="B549" s="76" t="s">
        <v>459</v>
      </c>
      <c r="C549" s="16" t="s">
        <v>1500</v>
      </c>
      <c r="D549" s="16" t="s">
        <v>1485</v>
      </c>
      <c r="E549" s="50">
        <v>50</v>
      </c>
      <c r="F549" s="50">
        <v>0</v>
      </c>
      <c r="G549" s="16">
        <v>1</v>
      </c>
      <c r="H549" s="16" t="s">
        <v>1023</v>
      </c>
      <c r="I549" s="16" t="s">
        <v>1016</v>
      </c>
      <c r="J549" s="16" t="s">
        <v>2382</v>
      </c>
      <c r="K549" s="16">
        <v>50</v>
      </c>
      <c r="L549" s="16">
        <v>50</v>
      </c>
      <c r="M549" s="64"/>
      <c r="N549" s="64"/>
      <c r="O549" s="63" t="str">
        <f t="shared" si="83"/>
        <v>YES</v>
      </c>
      <c r="P549" s="140"/>
      <c r="Q549" s="53">
        <f t="shared" si="76"/>
        <v>5000</v>
      </c>
      <c r="R549" s="54">
        <f t="shared" si="77"/>
        <v>2500</v>
      </c>
      <c r="S549" s="55" t="str">
        <f t="shared" si="78"/>
        <v xml:space="preserve"> </v>
      </c>
      <c r="T549" s="56"/>
      <c r="U549" s="57" t="str">
        <f t="shared" si="79"/>
        <v>100µg/100cm²</v>
      </c>
      <c r="V549" s="58">
        <f t="shared" si="80"/>
        <v>2500</v>
      </c>
      <c r="W549" s="58" t="str">
        <f t="shared" si="81"/>
        <v xml:space="preserve"> </v>
      </c>
      <c r="X549" s="59" t="str">
        <f t="shared" si="82"/>
        <v/>
      </c>
      <c r="Y549" s="60"/>
      <c r="Z549" s="64"/>
      <c r="AA549" s="64"/>
      <c r="AB549" s="64"/>
      <c r="AC549" s="64"/>
      <c r="AD549" s="64"/>
      <c r="AE549" s="16" t="s">
        <v>675</v>
      </c>
      <c r="AF549" s="16" t="s">
        <v>675</v>
      </c>
      <c r="AG549" s="16" t="s">
        <v>675</v>
      </c>
      <c r="AH549" s="64"/>
      <c r="AI549" s="64"/>
      <c r="AJ549" s="64"/>
      <c r="AK549" s="64"/>
      <c r="AL549" s="64"/>
      <c r="AM549" s="16" t="s">
        <v>675</v>
      </c>
      <c r="AN549" s="64"/>
      <c r="AO549" s="64"/>
      <c r="AP549" s="64"/>
      <c r="AQ549" s="64"/>
      <c r="AR549" s="64"/>
      <c r="AS549" s="64"/>
      <c r="AT549" s="64"/>
      <c r="AU549" s="82"/>
      <c r="AV549" s="82"/>
      <c r="AW549" s="82"/>
      <c r="AX549" s="16" t="s">
        <v>675</v>
      </c>
      <c r="AY549" s="16" t="s">
        <v>675</v>
      </c>
      <c r="AZ549" s="16" t="s">
        <v>675</v>
      </c>
      <c r="BA549" s="16" t="s">
        <v>675</v>
      </c>
      <c r="BB549" s="16" t="s">
        <v>675</v>
      </c>
      <c r="BC549" s="64"/>
      <c r="BD549" s="64"/>
      <c r="BE549" s="64"/>
      <c r="BF549" s="64"/>
      <c r="BG549" s="64"/>
      <c r="BH549" s="64"/>
      <c r="BI549" s="64"/>
      <c r="BJ549" s="64"/>
      <c r="BK549" s="64"/>
      <c r="BL549" s="64"/>
      <c r="BM549" s="64"/>
      <c r="BN549" s="64"/>
      <c r="BO549" s="64"/>
      <c r="BP549" s="64"/>
      <c r="BQ549" s="64"/>
      <c r="BR549" s="64"/>
      <c r="BS549" s="64"/>
      <c r="BT549" s="65"/>
    </row>
    <row r="550" spans="1:72" ht="18" hidden="1" customHeight="1" x14ac:dyDescent="0.3">
      <c r="A550" s="81" t="s">
        <v>940</v>
      </c>
      <c r="B550" s="76" t="s">
        <v>459</v>
      </c>
      <c r="C550" s="16" t="s">
        <v>1500</v>
      </c>
      <c r="D550" s="16" t="s">
        <v>1485</v>
      </c>
      <c r="E550" s="50">
        <v>50</v>
      </c>
      <c r="F550" s="50">
        <v>0</v>
      </c>
      <c r="G550" s="16">
        <v>1</v>
      </c>
      <c r="H550" s="16" t="s">
        <v>1023</v>
      </c>
      <c r="I550" s="16" t="s">
        <v>1016</v>
      </c>
      <c r="J550" s="16" t="s">
        <v>2382</v>
      </c>
      <c r="K550" s="16">
        <v>50</v>
      </c>
      <c r="L550" s="16">
        <v>50</v>
      </c>
      <c r="M550" s="64"/>
      <c r="N550" s="64"/>
      <c r="O550" s="63" t="str">
        <f t="shared" si="83"/>
        <v>YES</v>
      </c>
      <c r="P550" s="140"/>
      <c r="Q550" s="53">
        <f t="shared" si="76"/>
        <v>5000</v>
      </c>
      <c r="R550" s="54">
        <f t="shared" si="77"/>
        <v>2500</v>
      </c>
      <c r="S550" s="55" t="str">
        <f t="shared" si="78"/>
        <v xml:space="preserve"> </v>
      </c>
      <c r="T550" s="56"/>
      <c r="U550" s="57" t="str">
        <f t="shared" si="79"/>
        <v>100µg/100cm²</v>
      </c>
      <c r="V550" s="58">
        <f t="shared" si="80"/>
        <v>2500</v>
      </c>
      <c r="W550" s="58" t="str">
        <f t="shared" si="81"/>
        <v xml:space="preserve"> </v>
      </c>
      <c r="X550" s="59" t="str">
        <f t="shared" si="82"/>
        <v/>
      </c>
      <c r="Y550" s="60"/>
      <c r="Z550" s="64"/>
      <c r="AA550" s="64"/>
      <c r="AB550" s="64"/>
      <c r="AC550" s="64"/>
      <c r="AD550" s="64"/>
      <c r="AE550" s="16" t="s">
        <v>675</v>
      </c>
      <c r="AF550" s="16" t="s">
        <v>675</v>
      </c>
      <c r="AG550" s="16" t="s">
        <v>675</v>
      </c>
      <c r="AH550" s="64"/>
      <c r="AI550" s="64"/>
      <c r="AJ550" s="64"/>
      <c r="AK550" s="64"/>
      <c r="AL550" s="64"/>
      <c r="AM550" s="16" t="s">
        <v>675</v>
      </c>
      <c r="AN550" s="64"/>
      <c r="AO550" s="64"/>
      <c r="AP550" s="64"/>
      <c r="AQ550" s="64"/>
      <c r="AR550" s="64"/>
      <c r="AS550" s="64"/>
      <c r="AT550" s="64"/>
      <c r="AU550" s="82"/>
      <c r="AV550" s="82"/>
      <c r="AW550" s="82"/>
      <c r="AX550" s="16" t="s">
        <v>675</v>
      </c>
      <c r="AY550" s="16" t="s">
        <v>675</v>
      </c>
      <c r="AZ550" s="16" t="s">
        <v>675</v>
      </c>
      <c r="BA550" s="16" t="s">
        <v>675</v>
      </c>
      <c r="BB550" s="16" t="s">
        <v>675</v>
      </c>
      <c r="BC550" s="64"/>
      <c r="BD550" s="64"/>
      <c r="BE550" s="64"/>
      <c r="BF550" s="64"/>
      <c r="BG550" s="64"/>
      <c r="BH550" s="64"/>
      <c r="BI550" s="64"/>
      <c r="BJ550" s="64"/>
      <c r="BK550" s="64"/>
      <c r="BL550" s="64"/>
      <c r="BM550" s="64"/>
      <c r="BN550" s="64"/>
      <c r="BO550" s="64"/>
      <c r="BP550" s="64"/>
      <c r="BQ550" s="64"/>
      <c r="BR550" s="64"/>
      <c r="BS550" s="64"/>
      <c r="BT550" s="65"/>
    </row>
    <row r="551" spans="1:72" ht="18" hidden="1" customHeight="1" x14ac:dyDescent="0.3">
      <c r="A551" s="81" t="s">
        <v>941</v>
      </c>
      <c r="B551" s="76" t="s">
        <v>459</v>
      </c>
      <c r="C551" s="16" t="s">
        <v>1500</v>
      </c>
      <c r="D551" s="16" t="s">
        <v>1485</v>
      </c>
      <c r="E551" s="50">
        <v>50</v>
      </c>
      <c r="F551" s="50">
        <v>0</v>
      </c>
      <c r="G551" s="16">
        <v>1</v>
      </c>
      <c r="H551" s="16" t="s">
        <v>1023</v>
      </c>
      <c r="I551" s="16" t="s">
        <v>1016</v>
      </c>
      <c r="J551" s="16" t="s">
        <v>2382</v>
      </c>
      <c r="K551" s="16">
        <v>50</v>
      </c>
      <c r="L551" s="16">
        <v>50</v>
      </c>
      <c r="M551" s="64"/>
      <c r="N551" s="64"/>
      <c r="O551" s="63" t="str">
        <f t="shared" si="83"/>
        <v>YES</v>
      </c>
      <c r="P551" s="140"/>
      <c r="Q551" s="53">
        <f t="shared" si="76"/>
        <v>5000</v>
      </c>
      <c r="R551" s="54">
        <f t="shared" si="77"/>
        <v>2500</v>
      </c>
      <c r="S551" s="55" t="str">
        <f t="shared" si="78"/>
        <v xml:space="preserve"> </v>
      </c>
      <c r="T551" s="56"/>
      <c r="U551" s="57" t="str">
        <f t="shared" si="79"/>
        <v>100µg/100cm²</v>
      </c>
      <c r="V551" s="58">
        <f t="shared" si="80"/>
        <v>2500</v>
      </c>
      <c r="W551" s="58" t="str">
        <f t="shared" si="81"/>
        <v xml:space="preserve"> </v>
      </c>
      <c r="X551" s="59" t="str">
        <f t="shared" si="82"/>
        <v/>
      </c>
      <c r="Y551" s="60"/>
      <c r="Z551" s="64"/>
      <c r="AA551" s="64"/>
      <c r="AB551" s="64"/>
      <c r="AC551" s="64"/>
      <c r="AD551" s="64"/>
      <c r="AE551" s="16" t="s">
        <v>675</v>
      </c>
      <c r="AF551" s="16" t="s">
        <v>675</v>
      </c>
      <c r="AG551" s="16" t="s">
        <v>675</v>
      </c>
      <c r="AH551" s="64"/>
      <c r="AI551" s="64"/>
      <c r="AJ551" s="64"/>
      <c r="AK551" s="64"/>
      <c r="AL551" s="64"/>
      <c r="AM551" s="16" t="s">
        <v>675</v>
      </c>
      <c r="AN551" s="64"/>
      <c r="AO551" s="64"/>
      <c r="AP551" s="64"/>
      <c r="AQ551" s="64"/>
      <c r="AR551" s="64"/>
      <c r="AS551" s="64"/>
      <c r="AT551" s="64"/>
      <c r="AU551" s="82"/>
      <c r="AV551" s="82"/>
      <c r="AW551" s="82"/>
      <c r="AX551" s="16" t="s">
        <v>675</v>
      </c>
      <c r="AY551" s="16" t="s">
        <v>675</v>
      </c>
      <c r="AZ551" s="16" t="s">
        <v>675</v>
      </c>
      <c r="BA551" s="16" t="s">
        <v>675</v>
      </c>
      <c r="BB551" s="16" t="s">
        <v>675</v>
      </c>
      <c r="BC551" s="64"/>
      <c r="BD551" s="64"/>
      <c r="BE551" s="64"/>
      <c r="BF551" s="64"/>
      <c r="BG551" s="64"/>
      <c r="BH551" s="64"/>
      <c r="BI551" s="64"/>
      <c r="BJ551" s="64"/>
      <c r="BK551" s="64"/>
      <c r="BL551" s="64"/>
      <c r="BM551" s="64"/>
      <c r="BN551" s="64"/>
      <c r="BO551" s="64"/>
      <c r="BP551" s="64"/>
      <c r="BQ551" s="64"/>
      <c r="BR551" s="64"/>
      <c r="BS551" s="64"/>
      <c r="BT551" s="65"/>
    </row>
    <row r="552" spans="1:72" ht="18" hidden="1" customHeight="1" x14ac:dyDescent="0.3">
      <c r="A552" s="81" t="s">
        <v>942</v>
      </c>
      <c r="B552" s="76" t="s">
        <v>459</v>
      </c>
      <c r="C552" s="16" t="s">
        <v>1500</v>
      </c>
      <c r="D552" s="16" t="s">
        <v>1485</v>
      </c>
      <c r="E552" s="50">
        <v>50</v>
      </c>
      <c r="F552" s="50">
        <v>0</v>
      </c>
      <c r="G552" s="16">
        <v>1</v>
      </c>
      <c r="H552" s="16" t="s">
        <v>1023</v>
      </c>
      <c r="I552" s="16" t="s">
        <v>1016</v>
      </c>
      <c r="J552" s="16" t="s">
        <v>2382</v>
      </c>
      <c r="K552" s="16">
        <v>50</v>
      </c>
      <c r="L552" s="16">
        <v>50</v>
      </c>
      <c r="M552" s="64"/>
      <c r="N552" s="64"/>
      <c r="O552" s="63" t="str">
        <f t="shared" si="83"/>
        <v>YES</v>
      </c>
      <c r="P552" s="140"/>
      <c r="Q552" s="53">
        <f t="shared" si="76"/>
        <v>5000</v>
      </c>
      <c r="R552" s="54">
        <f t="shared" si="77"/>
        <v>2500</v>
      </c>
      <c r="S552" s="55" t="str">
        <f t="shared" si="78"/>
        <v xml:space="preserve"> </v>
      </c>
      <c r="T552" s="56"/>
      <c r="U552" s="57" t="str">
        <f t="shared" si="79"/>
        <v>100µg/100cm²</v>
      </c>
      <c r="V552" s="58">
        <f t="shared" si="80"/>
        <v>2500</v>
      </c>
      <c r="W552" s="58" t="str">
        <f t="shared" si="81"/>
        <v xml:space="preserve"> </v>
      </c>
      <c r="X552" s="59" t="str">
        <f t="shared" si="82"/>
        <v/>
      </c>
      <c r="Y552" s="60"/>
      <c r="Z552" s="64"/>
      <c r="AA552" s="64"/>
      <c r="AB552" s="64"/>
      <c r="AC552" s="64"/>
      <c r="AD552" s="64"/>
      <c r="AE552" s="16" t="s">
        <v>675</v>
      </c>
      <c r="AF552" s="16" t="s">
        <v>675</v>
      </c>
      <c r="AG552" s="16" t="s">
        <v>675</v>
      </c>
      <c r="AH552" s="64"/>
      <c r="AI552" s="64"/>
      <c r="AJ552" s="64"/>
      <c r="AK552" s="64"/>
      <c r="AL552" s="64"/>
      <c r="AM552" s="16" t="s">
        <v>675</v>
      </c>
      <c r="AN552" s="64"/>
      <c r="AO552" s="64"/>
      <c r="AP552" s="64"/>
      <c r="AQ552" s="64"/>
      <c r="AR552" s="64"/>
      <c r="AS552" s="64"/>
      <c r="AT552" s="64"/>
      <c r="AU552" s="82"/>
      <c r="AV552" s="82"/>
      <c r="AW552" s="82"/>
      <c r="AX552" s="16" t="s">
        <v>675</v>
      </c>
      <c r="AY552" s="16" t="s">
        <v>675</v>
      </c>
      <c r="AZ552" s="16" t="s">
        <v>675</v>
      </c>
      <c r="BA552" s="16" t="s">
        <v>675</v>
      </c>
      <c r="BB552" s="16" t="s">
        <v>675</v>
      </c>
      <c r="BC552" s="64"/>
      <c r="BD552" s="64"/>
      <c r="BE552" s="64"/>
      <c r="BF552" s="64"/>
      <c r="BG552" s="64"/>
      <c r="BH552" s="64"/>
      <c r="BI552" s="64"/>
      <c r="BJ552" s="64"/>
      <c r="BK552" s="64"/>
      <c r="BL552" s="64"/>
      <c r="BM552" s="64"/>
      <c r="BN552" s="64"/>
      <c r="BO552" s="64"/>
      <c r="BP552" s="64"/>
      <c r="BQ552" s="64"/>
      <c r="BR552" s="64"/>
      <c r="BS552" s="64"/>
      <c r="BT552" s="65"/>
    </row>
    <row r="553" spans="1:72" ht="18" hidden="1" customHeight="1" x14ac:dyDescent="0.3">
      <c r="A553" s="81" t="s">
        <v>943</v>
      </c>
      <c r="B553" s="76" t="s">
        <v>459</v>
      </c>
      <c r="C553" s="16" t="s">
        <v>1500</v>
      </c>
      <c r="D553" s="16" t="s">
        <v>1485</v>
      </c>
      <c r="E553" s="50">
        <v>50</v>
      </c>
      <c r="F553" s="50">
        <v>0</v>
      </c>
      <c r="G553" s="16">
        <v>1</v>
      </c>
      <c r="H553" s="16" t="s">
        <v>1023</v>
      </c>
      <c r="I553" s="16" t="s">
        <v>1016</v>
      </c>
      <c r="J553" s="16" t="s">
        <v>2382</v>
      </c>
      <c r="K553" s="16">
        <v>50</v>
      </c>
      <c r="L553" s="16">
        <v>50</v>
      </c>
      <c r="M553" s="64"/>
      <c r="N553" s="64"/>
      <c r="O553" s="63" t="str">
        <f t="shared" si="83"/>
        <v>YES</v>
      </c>
      <c r="P553" s="140"/>
      <c r="Q553" s="53">
        <f t="shared" si="76"/>
        <v>5000</v>
      </c>
      <c r="R553" s="54">
        <f t="shared" si="77"/>
        <v>2500</v>
      </c>
      <c r="S553" s="55" t="str">
        <f t="shared" si="78"/>
        <v xml:space="preserve"> </v>
      </c>
      <c r="T553" s="56"/>
      <c r="U553" s="57" t="str">
        <f t="shared" si="79"/>
        <v>100µg/100cm²</v>
      </c>
      <c r="V553" s="58">
        <f t="shared" si="80"/>
        <v>2500</v>
      </c>
      <c r="W553" s="58" t="str">
        <f t="shared" si="81"/>
        <v xml:space="preserve"> </v>
      </c>
      <c r="X553" s="59" t="str">
        <f t="shared" si="82"/>
        <v/>
      </c>
      <c r="Y553" s="60"/>
      <c r="Z553" s="64"/>
      <c r="AA553" s="64"/>
      <c r="AB553" s="64"/>
      <c r="AC553" s="64"/>
      <c r="AD553" s="64"/>
      <c r="AE553" s="16" t="s">
        <v>675</v>
      </c>
      <c r="AF553" s="16" t="s">
        <v>675</v>
      </c>
      <c r="AG553" s="16" t="s">
        <v>675</v>
      </c>
      <c r="AH553" s="64"/>
      <c r="AI553" s="64"/>
      <c r="AJ553" s="64"/>
      <c r="AK553" s="64"/>
      <c r="AL553" s="64"/>
      <c r="AM553" s="16" t="s">
        <v>675</v>
      </c>
      <c r="AN553" s="64"/>
      <c r="AO553" s="64"/>
      <c r="AP553" s="64"/>
      <c r="AQ553" s="64"/>
      <c r="AR553" s="64"/>
      <c r="AS553" s="64"/>
      <c r="AT553" s="64"/>
      <c r="AU553" s="82"/>
      <c r="AV553" s="82"/>
      <c r="AW553" s="82"/>
      <c r="AX553" s="16" t="s">
        <v>675</v>
      </c>
      <c r="AY553" s="16" t="s">
        <v>675</v>
      </c>
      <c r="AZ553" s="16" t="s">
        <v>675</v>
      </c>
      <c r="BA553" s="16" t="s">
        <v>675</v>
      </c>
      <c r="BB553" s="16" t="s">
        <v>675</v>
      </c>
      <c r="BC553" s="64"/>
      <c r="BD553" s="64"/>
      <c r="BE553" s="64"/>
      <c r="BF553" s="64"/>
      <c r="BG553" s="64"/>
      <c r="BH553" s="64"/>
      <c r="BI553" s="64"/>
      <c r="BJ553" s="64"/>
      <c r="BK553" s="64"/>
      <c r="BL553" s="64"/>
      <c r="BM553" s="64"/>
      <c r="BN553" s="64"/>
      <c r="BO553" s="64"/>
      <c r="BP553" s="64"/>
      <c r="BQ553" s="64"/>
      <c r="BR553" s="64"/>
      <c r="BS553" s="64"/>
      <c r="BT553" s="65"/>
    </row>
    <row r="554" spans="1:72" ht="18" hidden="1" customHeight="1" x14ac:dyDescent="0.3">
      <c r="A554" s="81" t="s">
        <v>944</v>
      </c>
      <c r="B554" s="76" t="s">
        <v>459</v>
      </c>
      <c r="C554" s="16" t="s">
        <v>1500</v>
      </c>
      <c r="D554" s="16" t="s">
        <v>1485</v>
      </c>
      <c r="E554" s="50">
        <v>50</v>
      </c>
      <c r="F554" s="50">
        <v>0</v>
      </c>
      <c r="G554" s="16">
        <v>1</v>
      </c>
      <c r="H554" s="16" t="s">
        <v>1023</v>
      </c>
      <c r="I554" s="16" t="s">
        <v>1016</v>
      </c>
      <c r="J554" s="16" t="s">
        <v>2382</v>
      </c>
      <c r="K554" s="16">
        <v>50</v>
      </c>
      <c r="L554" s="16">
        <v>50</v>
      </c>
      <c r="M554" s="64"/>
      <c r="N554" s="64"/>
      <c r="O554" s="63" t="str">
        <f t="shared" si="83"/>
        <v>YES</v>
      </c>
      <c r="P554" s="140"/>
      <c r="Q554" s="53">
        <f t="shared" si="76"/>
        <v>5000</v>
      </c>
      <c r="R554" s="54">
        <f t="shared" si="77"/>
        <v>2500</v>
      </c>
      <c r="S554" s="55" t="str">
        <f t="shared" si="78"/>
        <v xml:space="preserve"> </v>
      </c>
      <c r="T554" s="56"/>
      <c r="U554" s="57" t="str">
        <f t="shared" si="79"/>
        <v>100µg/100cm²</v>
      </c>
      <c r="V554" s="58">
        <f t="shared" si="80"/>
        <v>2500</v>
      </c>
      <c r="W554" s="58" t="str">
        <f t="shared" si="81"/>
        <v xml:space="preserve"> </v>
      </c>
      <c r="X554" s="59" t="str">
        <f t="shared" si="82"/>
        <v/>
      </c>
      <c r="Y554" s="60"/>
      <c r="Z554" s="64"/>
      <c r="AA554" s="64"/>
      <c r="AB554" s="64"/>
      <c r="AC554" s="64"/>
      <c r="AD554" s="64"/>
      <c r="AE554" s="16" t="s">
        <v>675</v>
      </c>
      <c r="AF554" s="16" t="s">
        <v>675</v>
      </c>
      <c r="AG554" s="16" t="s">
        <v>675</v>
      </c>
      <c r="AH554" s="64"/>
      <c r="AI554" s="64"/>
      <c r="AJ554" s="64"/>
      <c r="AK554" s="64"/>
      <c r="AL554" s="64"/>
      <c r="AM554" s="16" t="s">
        <v>675</v>
      </c>
      <c r="AN554" s="64"/>
      <c r="AO554" s="64"/>
      <c r="AP554" s="64"/>
      <c r="AQ554" s="64"/>
      <c r="AR554" s="64"/>
      <c r="AS554" s="64"/>
      <c r="AT554" s="64"/>
      <c r="AU554" s="82"/>
      <c r="AV554" s="82"/>
      <c r="AW554" s="82"/>
      <c r="AX554" s="16" t="s">
        <v>675</v>
      </c>
      <c r="AY554" s="16" t="s">
        <v>675</v>
      </c>
      <c r="AZ554" s="16" t="s">
        <v>675</v>
      </c>
      <c r="BA554" s="16" t="s">
        <v>675</v>
      </c>
      <c r="BB554" s="16" t="s">
        <v>675</v>
      </c>
      <c r="BC554" s="64"/>
      <c r="BD554" s="64"/>
      <c r="BE554" s="64"/>
      <c r="BF554" s="64"/>
      <c r="BG554" s="64"/>
      <c r="BH554" s="64"/>
      <c r="BI554" s="64"/>
      <c r="BJ554" s="64"/>
      <c r="BK554" s="64"/>
      <c r="BL554" s="64"/>
      <c r="BM554" s="64"/>
      <c r="BN554" s="64"/>
      <c r="BO554" s="64"/>
      <c r="BP554" s="64"/>
      <c r="BQ554" s="64"/>
      <c r="BR554" s="64"/>
      <c r="BS554" s="64"/>
      <c r="BT554" s="65"/>
    </row>
    <row r="555" spans="1:72" ht="18" hidden="1" customHeight="1" x14ac:dyDescent="0.3">
      <c r="A555" s="81" t="s">
        <v>945</v>
      </c>
      <c r="B555" s="76" t="s">
        <v>459</v>
      </c>
      <c r="C555" s="16" t="s">
        <v>1500</v>
      </c>
      <c r="D555" s="16" t="s">
        <v>1485</v>
      </c>
      <c r="E555" s="50">
        <v>50</v>
      </c>
      <c r="F555" s="50">
        <v>0</v>
      </c>
      <c r="G555" s="16">
        <v>1</v>
      </c>
      <c r="H555" s="16" t="s">
        <v>1023</v>
      </c>
      <c r="I555" s="16" t="s">
        <v>1016</v>
      </c>
      <c r="J555" s="16" t="s">
        <v>2382</v>
      </c>
      <c r="K555" s="16">
        <v>50</v>
      </c>
      <c r="L555" s="16">
        <v>50</v>
      </c>
      <c r="M555" s="64"/>
      <c r="N555" s="64"/>
      <c r="O555" s="63" t="str">
        <f t="shared" si="83"/>
        <v>YES</v>
      </c>
      <c r="P555" s="140"/>
      <c r="Q555" s="53">
        <f t="shared" si="76"/>
        <v>5000</v>
      </c>
      <c r="R555" s="54">
        <f t="shared" si="77"/>
        <v>2500</v>
      </c>
      <c r="S555" s="55" t="str">
        <f t="shared" si="78"/>
        <v xml:space="preserve"> </v>
      </c>
      <c r="T555" s="56"/>
      <c r="U555" s="57" t="str">
        <f t="shared" si="79"/>
        <v>100µg/100cm²</v>
      </c>
      <c r="V555" s="58">
        <f t="shared" si="80"/>
        <v>2500</v>
      </c>
      <c r="W555" s="58" t="str">
        <f t="shared" si="81"/>
        <v xml:space="preserve"> </v>
      </c>
      <c r="X555" s="59" t="str">
        <f t="shared" si="82"/>
        <v/>
      </c>
      <c r="Y555" s="60"/>
      <c r="Z555" s="64"/>
      <c r="AA555" s="64"/>
      <c r="AB555" s="64"/>
      <c r="AC555" s="64"/>
      <c r="AD555" s="64"/>
      <c r="AE555" s="16" t="s">
        <v>675</v>
      </c>
      <c r="AF555" s="16" t="s">
        <v>675</v>
      </c>
      <c r="AG555" s="16" t="s">
        <v>675</v>
      </c>
      <c r="AH555" s="64"/>
      <c r="AI555" s="64"/>
      <c r="AJ555" s="64"/>
      <c r="AK555" s="64"/>
      <c r="AL555" s="64"/>
      <c r="AM555" s="16" t="s">
        <v>675</v>
      </c>
      <c r="AN555" s="64"/>
      <c r="AO555" s="64"/>
      <c r="AP555" s="64"/>
      <c r="AQ555" s="64"/>
      <c r="AR555" s="64"/>
      <c r="AS555" s="64"/>
      <c r="AT555" s="64"/>
      <c r="AU555" s="82"/>
      <c r="AV555" s="82"/>
      <c r="AW555" s="82"/>
      <c r="AX555" s="16" t="s">
        <v>675</v>
      </c>
      <c r="AY555" s="16" t="s">
        <v>675</v>
      </c>
      <c r="AZ555" s="16" t="s">
        <v>675</v>
      </c>
      <c r="BA555" s="16" t="s">
        <v>675</v>
      </c>
      <c r="BB555" s="16" t="s">
        <v>675</v>
      </c>
      <c r="BC555" s="64"/>
      <c r="BD555" s="64"/>
      <c r="BE555" s="64"/>
      <c r="BF555" s="64"/>
      <c r="BG555" s="64"/>
      <c r="BH555" s="64"/>
      <c r="BI555" s="64"/>
      <c r="BJ555" s="64"/>
      <c r="BK555" s="64"/>
      <c r="BL555" s="64"/>
      <c r="BM555" s="64"/>
      <c r="BN555" s="64"/>
      <c r="BO555" s="64"/>
      <c r="BP555" s="64"/>
      <c r="BQ555" s="64"/>
      <c r="BR555" s="64"/>
      <c r="BS555" s="64"/>
      <c r="BT555" s="65"/>
    </row>
    <row r="556" spans="1:72" ht="18" hidden="1" customHeight="1" x14ac:dyDescent="0.3">
      <c r="A556" s="81" t="s">
        <v>946</v>
      </c>
      <c r="B556" s="76" t="s">
        <v>459</v>
      </c>
      <c r="C556" s="16" t="s">
        <v>1500</v>
      </c>
      <c r="D556" s="16" t="s">
        <v>1485</v>
      </c>
      <c r="E556" s="50">
        <v>50</v>
      </c>
      <c r="F556" s="50">
        <v>0</v>
      </c>
      <c r="G556" s="16">
        <v>1</v>
      </c>
      <c r="H556" s="16" t="s">
        <v>1023</v>
      </c>
      <c r="I556" s="16" t="s">
        <v>1016</v>
      </c>
      <c r="J556" s="16" t="s">
        <v>2382</v>
      </c>
      <c r="K556" s="16">
        <v>50</v>
      </c>
      <c r="L556" s="16">
        <v>50</v>
      </c>
      <c r="M556" s="64"/>
      <c r="N556" s="64"/>
      <c r="O556" s="63" t="str">
        <f t="shared" si="83"/>
        <v>YES</v>
      </c>
      <c r="P556" s="140"/>
      <c r="Q556" s="53">
        <f t="shared" si="76"/>
        <v>5000</v>
      </c>
      <c r="R556" s="54">
        <f t="shared" si="77"/>
        <v>2500</v>
      </c>
      <c r="S556" s="55" t="str">
        <f t="shared" si="78"/>
        <v xml:space="preserve"> </v>
      </c>
      <c r="T556" s="56"/>
      <c r="U556" s="57" t="str">
        <f t="shared" si="79"/>
        <v>100µg/100cm²</v>
      </c>
      <c r="V556" s="58">
        <f t="shared" si="80"/>
        <v>2500</v>
      </c>
      <c r="W556" s="58" t="str">
        <f t="shared" si="81"/>
        <v xml:space="preserve"> </v>
      </c>
      <c r="X556" s="59" t="str">
        <f t="shared" si="82"/>
        <v/>
      </c>
      <c r="Y556" s="60"/>
      <c r="Z556" s="64"/>
      <c r="AA556" s="64"/>
      <c r="AB556" s="64"/>
      <c r="AC556" s="64"/>
      <c r="AD556" s="64"/>
      <c r="AE556" s="16" t="s">
        <v>675</v>
      </c>
      <c r="AF556" s="16" t="s">
        <v>675</v>
      </c>
      <c r="AG556" s="16" t="s">
        <v>675</v>
      </c>
      <c r="AH556" s="64"/>
      <c r="AI556" s="64"/>
      <c r="AJ556" s="64"/>
      <c r="AK556" s="64"/>
      <c r="AL556" s="64"/>
      <c r="AM556" s="16" t="s">
        <v>675</v>
      </c>
      <c r="AN556" s="64"/>
      <c r="AO556" s="64"/>
      <c r="AP556" s="64"/>
      <c r="AQ556" s="64"/>
      <c r="AR556" s="64"/>
      <c r="AS556" s="64"/>
      <c r="AT556" s="64"/>
      <c r="AU556" s="82"/>
      <c r="AV556" s="82"/>
      <c r="AW556" s="82"/>
      <c r="AX556" s="64"/>
      <c r="AY556" s="64"/>
      <c r="AZ556" s="64"/>
      <c r="BA556" s="64"/>
      <c r="BB556" s="64"/>
      <c r="BC556" s="64"/>
      <c r="BD556" s="64"/>
      <c r="BE556" s="64"/>
      <c r="BF556" s="64"/>
      <c r="BG556" s="64"/>
      <c r="BH556" s="64"/>
      <c r="BI556" s="64"/>
      <c r="BJ556" s="64"/>
      <c r="BK556" s="64"/>
      <c r="BL556" s="64"/>
      <c r="BM556" s="64"/>
      <c r="BN556" s="64"/>
      <c r="BO556" s="64"/>
      <c r="BP556" s="64"/>
      <c r="BQ556" s="64"/>
      <c r="BR556" s="64"/>
      <c r="BS556" s="64"/>
      <c r="BT556" s="65"/>
    </row>
    <row r="557" spans="1:72" ht="18" hidden="1" customHeight="1" x14ac:dyDescent="0.3">
      <c r="A557" s="81" t="s">
        <v>947</v>
      </c>
      <c r="B557" s="76" t="s">
        <v>459</v>
      </c>
      <c r="C557" s="16" t="s">
        <v>1500</v>
      </c>
      <c r="D557" s="16" t="s">
        <v>1485</v>
      </c>
      <c r="E557" s="50">
        <v>50</v>
      </c>
      <c r="F557" s="50">
        <v>0</v>
      </c>
      <c r="G557" s="16">
        <v>1</v>
      </c>
      <c r="H557" s="16" t="s">
        <v>1023</v>
      </c>
      <c r="I557" s="16" t="s">
        <v>1016</v>
      </c>
      <c r="J557" s="16" t="s">
        <v>2382</v>
      </c>
      <c r="K557" s="16">
        <v>50</v>
      </c>
      <c r="L557" s="16">
        <v>50</v>
      </c>
      <c r="M557" s="64"/>
      <c r="N557" s="64"/>
      <c r="O557" s="63" t="str">
        <f t="shared" si="83"/>
        <v>YES</v>
      </c>
      <c r="P557" s="140"/>
      <c r="Q557" s="53">
        <f t="shared" si="76"/>
        <v>5000</v>
      </c>
      <c r="R557" s="54">
        <f t="shared" si="77"/>
        <v>2500</v>
      </c>
      <c r="S557" s="55" t="str">
        <f t="shared" si="78"/>
        <v xml:space="preserve"> </v>
      </c>
      <c r="T557" s="56"/>
      <c r="U557" s="57" t="str">
        <f t="shared" si="79"/>
        <v>100µg/100cm²</v>
      </c>
      <c r="V557" s="58">
        <f t="shared" si="80"/>
        <v>2500</v>
      </c>
      <c r="W557" s="58" t="str">
        <f t="shared" si="81"/>
        <v xml:space="preserve"> </v>
      </c>
      <c r="X557" s="59" t="str">
        <f t="shared" si="82"/>
        <v/>
      </c>
      <c r="Y557" s="60"/>
      <c r="Z557" s="64"/>
      <c r="AA557" s="64"/>
      <c r="AB557" s="64"/>
      <c r="AC557" s="64"/>
      <c r="AD557" s="64"/>
      <c r="AE557" s="16" t="s">
        <v>675</v>
      </c>
      <c r="AF557" s="16" t="s">
        <v>675</v>
      </c>
      <c r="AG557" s="16" t="s">
        <v>675</v>
      </c>
      <c r="AH557" s="64"/>
      <c r="AI557" s="64"/>
      <c r="AJ557" s="64"/>
      <c r="AK557" s="64"/>
      <c r="AL557" s="64"/>
      <c r="AM557" s="16" t="s">
        <v>675</v>
      </c>
      <c r="AN557" s="64"/>
      <c r="AO557" s="64"/>
      <c r="AP557" s="64"/>
      <c r="AQ557" s="64"/>
      <c r="AR557" s="64"/>
      <c r="AS557" s="64"/>
      <c r="AT557" s="64"/>
      <c r="AU557" s="82"/>
      <c r="AV557" s="82"/>
      <c r="AW557" s="82"/>
      <c r="AX557" s="64"/>
      <c r="AY557" s="64"/>
      <c r="AZ557" s="64"/>
      <c r="BA557" s="64"/>
      <c r="BB557" s="64"/>
      <c r="BC557" s="64"/>
      <c r="BD557" s="64"/>
      <c r="BE557" s="64"/>
      <c r="BF557" s="64"/>
      <c r="BG557" s="64"/>
      <c r="BH557" s="64"/>
      <c r="BI557" s="64"/>
      <c r="BJ557" s="64"/>
      <c r="BK557" s="64"/>
      <c r="BL557" s="64"/>
      <c r="BM557" s="64"/>
      <c r="BN557" s="64"/>
      <c r="BO557" s="64"/>
      <c r="BP557" s="64"/>
      <c r="BQ557" s="64"/>
      <c r="BR557" s="64"/>
      <c r="BS557" s="64"/>
      <c r="BT557" s="65"/>
    </row>
    <row r="558" spans="1:72" ht="18" hidden="1" customHeight="1" x14ac:dyDescent="0.3">
      <c r="A558" s="81" t="s">
        <v>948</v>
      </c>
      <c r="B558" s="76" t="s">
        <v>459</v>
      </c>
      <c r="C558" s="16" t="s">
        <v>1500</v>
      </c>
      <c r="D558" s="16" t="s">
        <v>1485</v>
      </c>
      <c r="E558" s="50">
        <v>50</v>
      </c>
      <c r="F558" s="50">
        <v>0</v>
      </c>
      <c r="G558" s="16">
        <v>1</v>
      </c>
      <c r="H558" s="16" t="s">
        <v>1023</v>
      </c>
      <c r="I558" s="16" t="s">
        <v>1016</v>
      </c>
      <c r="J558" s="16" t="s">
        <v>2382</v>
      </c>
      <c r="K558" s="16">
        <v>50</v>
      </c>
      <c r="L558" s="16">
        <v>50</v>
      </c>
      <c r="M558" s="64"/>
      <c r="N558" s="64"/>
      <c r="O558" s="63" t="str">
        <f t="shared" si="83"/>
        <v>YES</v>
      </c>
      <c r="P558" s="140"/>
      <c r="Q558" s="53">
        <f t="shared" si="76"/>
        <v>5000</v>
      </c>
      <c r="R558" s="54">
        <f t="shared" si="77"/>
        <v>2500</v>
      </c>
      <c r="S558" s="55" t="str">
        <f t="shared" si="78"/>
        <v xml:space="preserve"> </v>
      </c>
      <c r="T558" s="56"/>
      <c r="U558" s="57" t="str">
        <f t="shared" si="79"/>
        <v>100µg/100cm²</v>
      </c>
      <c r="V558" s="58">
        <f t="shared" si="80"/>
        <v>2500</v>
      </c>
      <c r="W558" s="58" t="str">
        <f t="shared" si="81"/>
        <v xml:space="preserve"> </v>
      </c>
      <c r="X558" s="59" t="str">
        <f t="shared" si="82"/>
        <v/>
      </c>
      <c r="Y558" s="60"/>
      <c r="Z558" s="64"/>
      <c r="AA558" s="64"/>
      <c r="AB558" s="64"/>
      <c r="AC558" s="64"/>
      <c r="AD558" s="64"/>
      <c r="AE558" s="16" t="s">
        <v>675</v>
      </c>
      <c r="AF558" s="16" t="s">
        <v>675</v>
      </c>
      <c r="AG558" s="16" t="s">
        <v>675</v>
      </c>
      <c r="AH558" s="64"/>
      <c r="AI558" s="64"/>
      <c r="AJ558" s="64"/>
      <c r="AK558" s="64"/>
      <c r="AL558" s="64"/>
      <c r="AM558" s="16" t="s">
        <v>675</v>
      </c>
      <c r="AN558" s="64"/>
      <c r="AO558" s="64"/>
      <c r="AP558" s="64"/>
      <c r="AQ558" s="64"/>
      <c r="AR558" s="64"/>
      <c r="AS558" s="64"/>
      <c r="AT558" s="64"/>
      <c r="AU558" s="82"/>
      <c r="AV558" s="82"/>
      <c r="AW558" s="82"/>
      <c r="AX558" s="64"/>
      <c r="AY558" s="64"/>
      <c r="AZ558" s="64"/>
      <c r="BA558" s="64"/>
      <c r="BB558" s="64"/>
      <c r="BC558" s="64"/>
      <c r="BD558" s="64"/>
      <c r="BE558" s="64"/>
      <c r="BF558" s="64"/>
      <c r="BG558" s="64"/>
      <c r="BH558" s="64"/>
      <c r="BI558" s="64"/>
      <c r="BJ558" s="64"/>
      <c r="BK558" s="64"/>
      <c r="BL558" s="64"/>
      <c r="BM558" s="64"/>
      <c r="BN558" s="64"/>
      <c r="BO558" s="64"/>
      <c r="BP558" s="64"/>
      <c r="BQ558" s="64"/>
      <c r="BR558" s="64"/>
      <c r="BS558" s="64"/>
      <c r="BT558" s="65"/>
    </row>
    <row r="559" spans="1:72" ht="18" hidden="1" customHeight="1" x14ac:dyDescent="0.3">
      <c r="A559" s="81" t="s">
        <v>949</v>
      </c>
      <c r="B559" s="76" t="s">
        <v>459</v>
      </c>
      <c r="C559" s="16" t="s">
        <v>1500</v>
      </c>
      <c r="D559" s="16" t="s">
        <v>1485</v>
      </c>
      <c r="E559" s="50">
        <v>50</v>
      </c>
      <c r="F559" s="50">
        <v>0</v>
      </c>
      <c r="G559" s="16">
        <v>1</v>
      </c>
      <c r="H559" s="16" t="s">
        <v>1023</v>
      </c>
      <c r="I559" s="16" t="s">
        <v>1016</v>
      </c>
      <c r="J559" s="16" t="s">
        <v>2382</v>
      </c>
      <c r="K559" s="16">
        <v>50</v>
      </c>
      <c r="L559" s="16">
        <v>50</v>
      </c>
      <c r="M559" s="64"/>
      <c r="N559" s="64"/>
      <c r="O559" s="63" t="str">
        <f t="shared" si="83"/>
        <v>YES</v>
      </c>
      <c r="P559" s="140"/>
      <c r="Q559" s="53">
        <f t="shared" si="76"/>
        <v>5000</v>
      </c>
      <c r="R559" s="54">
        <f t="shared" si="77"/>
        <v>2500</v>
      </c>
      <c r="S559" s="55" t="str">
        <f t="shared" si="78"/>
        <v xml:space="preserve"> </v>
      </c>
      <c r="T559" s="56"/>
      <c r="U559" s="57" t="str">
        <f t="shared" si="79"/>
        <v>100µg/100cm²</v>
      </c>
      <c r="V559" s="58">
        <f t="shared" si="80"/>
        <v>2500</v>
      </c>
      <c r="W559" s="58" t="str">
        <f t="shared" si="81"/>
        <v xml:space="preserve"> </v>
      </c>
      <c r="X559" s="59" t="str">
        <f t="shared" si="82"/>
        <v/>
      </c>
      <c r="Y559" s="60"/>
      <c r="Z559" s="64"/>
      <c r="AA559" s="64"/>
      <c r="AB559" s="64"/>
      <c r="AC559" s="64"/>
      <c r="AD559" s="64"/>
      <c r="AE559" s="16" t="s">
        <v>675</v>
      </c>
      <c r="AF559" s="16" t="s">
        <v>675</v>
      </c>
      <c r="AG559" s="16" t="s">
        <v>675</v>
      </c>
      <c r="AH559" s="64"/>
      <c r="AI559" s="64"/>
      <c r="AJ559" s="64"/>
      <c r="AK559" s="64"/>
      <c r="AL559" s="64"/>
      <c r="AM559" s="16" t="s">
        <v>675</v>
      </c>
      <c r="AN559" s="64"/>
      <c r="AO559" s="64"/>
      <c r="AP559" s="64"/>
      <c r="AQ559" s="64"/>
      <c r="AR559" s="64"/>
      <c r="AS559" s="64"/>
      <c r="AT559" s="64"/>
      <c r="AU559" s="82"/>
      <c r="AV559" s="82"/>
      <c r="AW559" s="82"/>
      <c r="AX559" s="16" t="s">
        <v>675</v>
      </c>
      <c r="AY559" s="64"/>
      <c r="AZ559" s="64"/>
      <c r="BA559" s="64"/>
      <c r="BB559" s="64"/>
      <c r="BC559" s="64"/>
      <c r="BD559" s="64"/>
      <c r="BE559" s="64"/>
      <c r="BF559" s="64"/>
      <c r="BG559" s="64"/>
      <c r="BH559" s="64"/>
      <c r="BI559" s="64"/>
      <c r="BJ559" s="64"/>
      <c r="BK559" s="64"/>
      <c r="BL559" s="64"/>
      <c r="BM559" s="64"/>
      <c r="BN559" s="64"/>
      <c r="BO559" s="64"/>
      <c r="BP559" s="64"/>
      <c r="BQ559" s="64"/>
      <c r="BR559" s="64"/>
      <c r="BS559" s="64"/>
      <c r="BT559" s="65"/>
    </row>
    <row r="560" spans="1:72" ht="18" hidden="1" customHeight="1" x14ac:dyDescent="0.3">
      <c r="A560" s="81" t="s">
        <v>950</v>
      </c>
      <c r="B560" s="76" t="s">
        <v>459</v>
      </c>
      <c r="C560" s="16" t="s">
        <v>1500</v>
      </c>
      <c r="D560" s="16" t="s">
        <v>1485</v>
      </c>
      <c r="E560" s="50">
        <v>50</v>
      </c>
      <c r="F560" s="50">
        <v>0</v>
      </c>
      <c r="G560" s="16">
        <v>1</v>
      </c>
      <c r="H560" s="16" t="s">
        <v>1023</v>
      </c>
      <c r="I560" s="16" t="s">
        <v>1016</v>
      </c>
      <c r="J560" s="16" t="s">
        <v>2382</v>
      </c>
      <c r="K560" s="16">
        <v>50</v>
      </c>
      <c r="L560" s="16">
        <v>50</v>
      </c>
      <c r="M560" s="64"/>
      <c r="N560" s="64"/>
      <c r="O560" s="63" t="str">
        <f t="shared" si="83"/>
        <v>YES</v>
      </c>
      <c r="P560" s="140"/>
      <c r="Q560" s="53">
        <f t="shared" si="76"/>
        <v>5000</v>
      </c>
      <c r="R560" s="54">
        <f t="shared" si="77"/>
        <v>2500</v>
      </c>
      <c r="S560" s="55" t="str">
        <f t="shared" si="78"/>
        <v xml:space="preserve"> </v>
      </c>
      <c r="T560" s="56"/>
      <c r="U560" s="57" t="str">
        <f t="shared" si="79"/>
        <v>100µg/100cm²</v>
      </c>
      <c r="V560" s="58">
        <f t="shared" si="80"/>
        <v>2500</v>
      </c>
      <c r="W560" s="58" t="str">
        <f t="shared" si="81"/>
        <v xml:space="preserve"> </v>
      </c>
      <c r="X560" s="59" t="str">
        <f t="shared" si="82"/>
        <v/>
      </c>
      <c r="Y560" s="60"/>
      <c r="Z560" s="64"/>
      <c r="AA560" s="64"/>
      <c r="AB560" s="64"/>
      <c r="AC560" s="64"/>
      <c r="AD560" s="64"/>
      <c r="AE560" s="16" t="s">
        <v>675</v>
      </c>
      <c r="AF560" s="64"/>
      <c r="AG560" s="64"/>
      <c r="AH560" s="64"/>
      <c r="AI560" s="64"/>
      <c r="AJ560" s="64"/>
      <c r="AK560" s="64"/>
      <c r="AL560" s="64"/>
      <c r="AM560" s="16" t="s">
        <v>675</v>
      </c>
      <c r="AN560" s="64"/>
      <c r="AO560" s="64"/>
      <c r="AP560" s="64"/>
      <c r="AQ560" s="64"/>
      <c r="AR560" s="64"/>
      <c r="AS560" s="64"/>
      <c r="AT560" s="64"/>
      <c r="AU560" s="82"/>
      <c r="AV560" s="82"/>
      <c r="AW560" s="82"/>
      <c r="AX560" s="64"/>
      <c r="AY560" s="64"/>
      <c r="AZ560" s="64"/>
      <c r="BA560" s="64"/>
      <c r="BB560" s="64"/>
      <c r="BC560" s="64"/>
      <c r="BD560" s="64"/>
      <c r="BE560" s="64"/>
      <c r="BF560" s="64"/>
      <c r="BG560" s="64"/>
      <c r="BH560" s="64"/>
      <c r="BI560" s="64"/>
      <c r="BJ560" s="64"/>
      <c r="BK560" s="64"/>
      <c r="BL560" s="64"/>
      <c r="BM560" s="64"/>
      <c r="BN560" s="64"/>
      <c r="BO560" s="64"/>
      <c r="BP560" s="64"/>
      <c r="BQ560" s="64"/>
      <c r="BR560" s="64"/>
      <c r="BS560" s="64"/>
      <c r="BT560" s="65"/>
    </row>
    <row r="561" spans="1:72" ht="18" hidden="1" customHeight="1" x14ac:dyDescent="0.3">
      <c r="A561" s="81" t="s">
        <v>951</v>
      </c>
      <c r="B561" s="76" t="s">
        <v>459</v>
      </c>
      <c r="C561" s="16" t="s">
        <v>1500</v>
      </c>
      <c r="D561" s="16" t="s">
        <v>1485</v>
      </c>
      <c r="E561" s="50">
        <v>50</v>
      </c>
      <c r="F561" s="50">
        <v>0</v>
      </c>
      <c r="G561" s="16">
        <v>1</v>
      </c>
      <c r="H561" s="16" t="s">
        <v>1023</v>
      </c>
      <c r="I561" s="16" t="s">
        <v>1016</v>
      </c>
      <c r="J561" s="16" t="s">
        <v>2382</v>
      </c>
      <c r="K561" s="16">
        <v>50</v>
      </c>
      <c r="L561" s="16">
        <v>50</v>
      </c>
      <c r="M561" s="64"/>
      <c r="N561" s="64"/>
      <c r="O561" s="63" t="str">
        <f t="shared" si="83"/>
        <v>YES</v>
      </c>
      <c r="P561" s="140"/>
      <c r="Q561" s="53">
        <f t="shared" si="76"/>
        <v>5000</v>
      </c>
      <c r="R561" s="54">
        <f t="shared" si="77"/>
        <v>2500</v>
      </c>
      <c r="S561" s="55" t="str">
        <f t="shared" si="78"/>
        <v xml:space="preserve"> </v>
      </c>
      <c r="T561" s="56"/>
      <c r="U561" s="57" t="str">
        <f t="shared" si="79"/>
        <v>100µg/100cm²</v>
      </c>
      <c r="V561" s="58">
        <f t="shared" si="80"/>
        <v>2500</v>
      </c>
      <c r="W561" s="58" t="str">
        <f t="shared" si="81"/>
        <v xml:space="preserve"> </v>
      </c>
      <c r="X561" s="59" t="str">
        <f t="shared" si="82"/>
        <v/>
      </c>
      <c r="Y561" s="60"/>
      <c r="Z561" s="64"/>
      <c r="AA561" s="64"/>
      <c r="AB561" s="64"/>
      <c r="AC561" s="64"/>
      <c r="AD561" s="64"/>
      <c r="AE561" s="16" t="s">
        <v>675</v>
      </c>
      <c r="AF561" s="16" t="s">
        <v>675</v>
      </c>
      <c r="AG561" s="16" t="s">
        <v>675</v>
      </c>
      <c r="AH561" s="64"/>
      <c r="AI561" s="64"/>
      <c r="AJ561" s="64"/>
      <c r="AK561" s="64"/>
      <c r="AL561" s="64"/>
      <c r="AM561" s="16" t="s">
        <v>675</v>
      </c>
      <c r="AN561" s="64"/>
      <c r="AO561" s="64"/>
      <c r="AP561" s="64"/>
      <c r="AQ561" s="64"/>
      <c r="AR561" s="64"/>
      <c r="AS561" s="64"/>
      <c r="AT561" s="64"/>
      <c r="AU561" s="82"/>
      <c r="AV561" s="82"/>
      <c r="AW561" s="82"/>
      <c r="AX561" s="64"/>
      <c r="AY561" s="64"/>
      <c r="AZ561" s="64"/>
      <c r="BA561" s="64"/>
      <c r="BB561" s="64"/>
      <c r="BC561" s="64"/>
      <c r="BD561" s="64"/>
      <c r="BE561" s="64"/>
      <c r="BF561" s="64"/>
      <c r="BG561" s="64"/>
      <c r="BH561" s="64"/>
      <c r="BI561" s="64"/>
      <c r="BJ561" s="64"/>
      <c r="BK561" s="64"/>
      <c r="BL561" s="64"/>
      <c r="BM561" s="64"/>
      <c r="BN561" s="64"/>
      <c r="BO561" s="64"/>
      <c r="BP561" s="64"/>
      <c r="BQ561" s="64"/>
      <c r="BR561" s="64"/>
      <c r="BS561" s="64"/>
      <c r="BT561" s="65"/>
    </row>
    <row r="562" spans="1:72" ht="18" hidden="1" customHeight="1" x14ac:dyDescent="0.3">
      <c r="A562" s="81" t="s">
        <v>952</v>
      </c>
      <c r="B562" s="76" t="s">
        <v>459</v>
      </c>
      <c r="C562" s="16" t="s">
        <v>1502</v>
      </c>
      <c r="D562" s="16" t="s">
        <v>1484</v>
      </c>
      <c r="E562" s="50">
        <v>50</v>
      </c>
      <c r="F562" s="50">
        <v>0</v>
      </c>
      <c r="G562" s="16">
        <v>1</v>
      </c>
      <c r="H562" s="16" t="s">
        <v>1023</v>
      </c>
      <c r="I562" s="16" t="s">
        <v>1016</v>
      </c>
      <c r="J562" s="16" t="s">
        <v>2382</v>
      </c>
      <c r="K562" s="16">
        <v>50</v>
      </c>
      <c r="L562" s="16">
        <v>50</v>
      </c>
      <c r="M562" s="64"/>
      <c r="N562" s="64"/>
      <c r="O562" s="63" t="str">
        <f t="shared" si="83"/>
        <v>YES</v>
      </c>
      <c r="P562" s="140"/>
      <c r="Q562" s="53">
        <f t="shared" si="76"/>
        <v>5000</v>
      </c>
      <c r="R562" s="54">
        <f t="shared" si="77"/>
        <v>2500</v>
      </c>
      <c r="S562" s="55" t="str">
        <f t="shared" si="78"/>
        <v xml:space="preserve"> </v>
      </c>
      <c r="T562" s="56"/>
      <c r="U562" s="57" t="str">
        <f t="shared" si="79"/>
        <v>100µg/100cm²</v>
      </c>
      <c r="V562" s="58">
        <f t="shared" si="80"/>
        <v>2500</v>
      </c>
      <c r="W562" s="58" t="str">
        <f t="shared" si="81"/>
        <v xml:space="preserve"> </v>
      </c>
      <c r="X562" s="59" t="str">
        <f t="shared" si="82"/>
        <v/>
      </c>
      <c r="Y562" s="60"/>
      <c r="Z562" s="64"/>
      <c r="AA562" s="64"/>
      <c r="AB562" s="64"/>
      <c r="AC562" s="64"/>
      <c r="AD562" s="64"/>
      <c r="AE562" s="16" t="s">
        <v>675</v>
      </c>
      <c r="AF562" s="16" t="s">
        <v>675</v>
      </c>
      <c r="AG562" s="16" t="s">
        <v>675</v>
      </c>
      <c r="AH562" s="64"/>
      <c r="AI562" s="64"/>
      <c r="AJ562" s="16" t="s">
        <v>675</v>
      </c>
      <c r="AK562" s="64"/>
      <c r="AL562" s="64"/>
      <c r="AM562" s="16" t="s">
        <v>675</v>
      </c>
      <c r="AN562" s="16" t="s">
        <v>675</v>
      </c>
      <c r="AO562" s="16" t="s">
        <v>675</v>
      </c>
      <c r="AP562" s="16" t="s">
        <v>675</v>
      </c>
      <c r="AQ562" s="64"/>
      <c r="AR562" s="64"/>
      <c r="AS562" s="64"/>
      <c r="AT562" s="64"/>
      <c r="AU562" s="82"/>
      <c r="AV562" s="82"/>
      <c r="AW562" s="82"/>
      <c r="AX562" s="64"/>
      <c r="AY562" s="64"/>
      <c r="AZ562" s="64"/>
      <c r="BA562" s="64"/>
      <c r="BB562" s="64"/>
      <c r="BC562" s="64"/>
      <c r="BD562" s="64"/>
      <c r="BE562" s="64"/>
      <c r="BF562" s="64"/>
      <c r="BG562" s="64"/>
      <c r="BH562" s="64"/>
      <c r="BI562" s="64"/>
      <c r="BJ562" s="64"/>
      <c r="BK562" s="64"/>
      <c r="BL562" s="64"/>
      <c r="BM562" s="64"/>
      <c r="BN562" s="64"/>
      <c r="BO562" s="64"/>
      <c r="BP562" s="64"/>
      <c r="BQ562" s="64"/>
      <c r="BR562" s="64"/>
      <c r="BS562" s="64"/>
      <c r="BT562" s="65"/>
    </row>
    <row r="563" spans="1:72" ht="18" hidden="1" customHeight="1" x14ac:dyDescent="0.3">
      <c r="A563" s="47" t="s">
        <v>390</v>
      </c>
      <c r="B563" s="48" t="s">
        <v>391</v>
      </c>
      <c r="C563" s="49" t="s">
        <v>1206</v>
      </c>
      <c r="D563" s="49" t="s">
        <v>1028</v>
      </c>
      <c r="E563" s="50">
        <v>80.400000000000006</v>
      </c>
      <c r="F563" s="50">
        <v>0</v>
      </c>
      <c r="G563" s="61">
        <v>7</v>
      </c>
      <c r="H563" s="16">
        <v>3.6999999999999998E-2</v>
      </c>
      <c r="I563" s="48" t="s">
        <v>1196</v>
      </c>
      <c r="J563" s="16" t="s">
        <v>1207</v>
      </c>
      <c r="K563" s="62">
        <v>24</v>
      </c>
      <c r="L563" s="62">
        <v>216</v>
      </c>
      <c r="M563" s="62" t="s">
        <v>1014</v>
      </c>
      <c r="N563" s="51"/>
      <c r="O563" s="63" t="str">
        <f t="shared" si="83"/>
        <v>YES</v>
      </c>
      <c r="P563" s="140"/>
      <c r="Q563" s="53">
        <f t="shared" si="76"/>
        <v>4380</v>
      </c>
      <c r="R563" s="54">
        <f t="shared" si="77"/>
        <v>3521.5</v>
      </c>
      <c r="S563" s="55" t="str">
        <f t="shared" si="78"/>
        <v xml:space="preserve"> </v>
      </c>
      <c r="T563" s="56"/>
      <c r="U563" s="57" t="str">
        <f t="shared" si="79"/>
        <v>100µg/100cm²</v>
      </c>
      <c r="V563" s="58">
        <f t="shared" si="80"/>
        <v>3521.5</v>
      </c>
      <c r="W563" s="58" t="str">
        <f t="shared" si="81"/>
        <v xml:space="preserve"> </v>
      </c>
      <c r="X563" s="59" t="str">
        <f t="shared" si="82"/>
        <v/>
      </c>
      <c r="Y563" s="60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16" t="s">
        <v>675</v>
      </c>
      <c r="AK563" s="64"/>
      <c r="AL563" s="64"/>
      <c r="AM563" s="16" t="s">
        <v>675</v>
      </c>
      <c r="AN563" s="64"/>
      <c r="AO563" s="64"/>
      <c r="AP563" s="64"/>
      <c r="AQ563" s="64"/>
      <c r="AR563" s="16" t="s">
        <v>675</v>
      </c>
      <c r="AS563" s="64"/>
      <c r="AT563" s="16" t="s">
        <v>675</v>
      </c>
      <c r="AU563" s="64"/>
      <c r="AV563" s="64"/>
      <c r="AW563" s="64"/>
      <c r="AX563" s="64"/>
      <c r="AY563" s="64"/>
      <c r="AZ563" s="64"/>
      <c r="BA563" s="64"/>
      <c r="BB563" s="64"/>
      <c r="BC563" s="64"/>
      <c r="BD563" s="64"/>
      <c r="BE563" s="64"/>
      <c r="BF563" s="64"/>
      <c r="BG563" s="64"/>
      <c r="BH563" s="64"/>
      <c r="BI563" s="64"/>
      <c r="BJ563" s="64"/>
      <c r="BK563" s="64"/>
      <c r="BL563" s="64"/>
      <c r="BM563" s="64"/>
      <c r="BN563" s="64"/>
      <c r="BO563" s="64"/>
      <c r="BP563" s="64"/>
      <c r="BQ563" s="64"/>
      <c r="BR563" s="64"/>
      <c r="BS563" s="64"/>
      <c r="BT563" s="65"/>
    </row>
    <row r="564" spans="1:72" ht="18" hidden="1" customHeight="1" x14ac:dyDescent="0.3">
      <c r="A564" s="81" t="s">
        <v>276</v>
      </c>
      <c r="B564" s="76" t="s">
        <v>459</v>
      </c>
      <c r="C564" s="16" t="s">
        <v>1975</v>
      </c>
      <c r="D564" s="16" t="s">
        <v>1981</v>
      </c>
      <c r="E564" s="50">
        <v>50</v>
      </c>
      <c r="F564" s="50">
        <v>0</v>
      </c>
      <c r="G564" s="16">
        <v>1</v>
      </c>
      <c r="H564" s="16" t="s">
        <v>1023</v>
      </c>
      <c r="I564" s="16" t="s">
        <v>1016</v>
      </c>
      <c r="J564" s="16" t="s">
        <v>2382</v>
      </c>
      <c r="K564" s="16">
        <v>50</v>
      </c>
      <c r="L564" s="16">
        <v>50</v>
      </c>
      <c r="M564" s="64"/>
      <c r="N564" s="64"/>
      <c r="O564" s="63" t="str">
        <f t="shared" si="83"/>
        <v>YES</v>
      </c>
      <c r="P564" s="140"/>
      <c r="Q564" s="53">
        <f t="shared" si="76"/>
        <v>5000</v>
      </c>
      <c r="R564" s="54">
        <f t="shared" si="77"/>
        <v>2500</v>
      </c>
      <c r="S564" s="55" t="str">
        <f t="shared" si="78"/>
        <v xml:space="preserve"> </v>
      </c>
      <c r="T564" s="56"/>
      <c r="U564" s="57" t="str">
        <f t="shared" si="79"/>
        <v>100µg/100cm²</v>
      </c>
      <c r="V564" s="58">
        <f t="shared" si="80"/>
        <v>2500</v>
      </c>
      <c r="W564" s="58" t="str">
        <f t="shared" si="81"/>
        <v xml:space="preserve"> </v>
      </c>
      <c r="X564" s="59" t="str">
        <f t="shared" si="82"/>
        <v/>
      </c>
      <c r="Y564" s="60"/>
      <c r="Z564" s="64"/>
      <c r="AA564" s="64"/>
      <c r="AB564" s="64"/>
      <c r="AC564" s="64"/>
      <c r="AD564" s="64"/>
      <c r="AE564" s="16" t="s">
        <v>675</v>
      </c>
      <c r="AF564" s="16" t="s">
        <v>675</v>
      </c>
      <c r="AG564" s="16" t="s">
        <v>675</v>
      </c>
      <c r="AH564" s="64"/>
      <c r="AI564" s="64"/>
      <c r="AJ564" s="64"/>
      <c r="AK564" s="64"/>
      <c r="AL564" s="64"/>
      <c r="AM564" s="16" t="s">
        <v>675</v>
      </c>
      <c r="AN564" s="64"/>
      <c r="AO564" s="64"/>
      <c r="AP564" s="64"/>
      <c r="AQ564" s="16" t="s">
        <v>675</v>
      </c>
      <c r="AR564" s="64"/>
      <c r="AS564" s="64"/>
      <c r="AT564" s="64"/>
      <c r="AU564" s="83" t="s">
        <v>675</v>
      </c>
      <c r="AV564" s="83" t="s">
        <v>675</v>
      </c>
      <c r="AW564" s="16" t="s">
        <v>675</v>
      </c>
      <c r="AX564" s="64"/>
      <c r="AY564" s="64"/>
      <c r="AZ564" s="64"/>
      <c r="BA564" s="64"/>
      <c r="BB564" s="64"/>
      <c r="BC564" s="64"/>
      <c r="BD564" s="64"/>
      <c r="BE564" s="64"/>
      <c r="BF564" s="64"/>
      <c r="BG564" s="64"/>
      <c r="BH564" s="64"/>
      <c r="BI564" s="64"/>
      <c r="BJ564" s="64"/>
      <c r="BK564" s="64"/>
      <c r="BL564" s="64"/>
      <c r="BM564" s="64"/>
      <c r="BN564" s="64"/>
      <c r="BO564" s="64"/>
      <c r="BP564" s="64"/>
      <c r="BQ564" s="64"/>
      <c r="BR564" s="64"/>
      <c r="BS564" s="64"/>
      <c r="BT564" s="65"/>
    </row>
    <row r="565" spans="1:72" ht="18" hidden="1" customHeight="1" x14ac:dyDescent="0.3">
      <c r="A565" s="81" t="s">
        <v>277</v>
      </c>
      <c r="B565" s="76" t="s">
        <v>459</v>
      </c>
      <c r="C565" s="16" t="s">
        <v>1975</v>
      </c>
      <c r="D565" s="16" t="s">
        <v>1981</v>
      </c>
      <c r="E565" s="50">
        <v>50</v>
      </c>
      <c r="F565" s="50">
        <v>0</v>
      </c>
      <c r="G565" s="16">
        <v>1</v>
      </c>
      <c r="H565" s="16" t="s">
        <v>1023</v>
      </c>
      <c r="I565" s="16" t="s">
        <v>1016</v>
      </c>
      <c r="J565" s="16" t="s">
        <v>2382</v>
      </c>
      <c r="K565" s="16">
        <v>50</v>
      </c>
      <c r="L565" s="16">
        <v>50</v>
      </c>
      <c r="M565" s="64"/>
      <c r="N565" s="64"/>
      <c r="O565" s="63" t="str">
        <f t="shared" si="83"/>
        <v>YES</v>
      </c>
      <c r="P565" s="140"/>
      <c r="Q565" s="53">
        <f t="shared" si="76"/>
        <v>5000</v>
      </c>
      <c r="R565" s="54">
        <f t="shared" si="77"/>
        <v>2500</v>
      </c>
      <c r="S565" s="55" t="str">
        <f t="shared" si="78"/>
        <v xml:space="preserve"> </v>
      </c>
      <c r="T565" s="56"/>
      <c r="U565" s="57" t="str">
        <f t="shared" si="79"/>
        <v>100µg/100cm²</v>
      </c>
      <c r="V565" s="58">
        <f t="shared" si="80"/>
        <v>2500</v>
      </c>
      <c r="W565" s="58" t="str">
        <f t="shared" si="81"/>
        <v xml:space="preserve"> </v>
      </c>
      <c r="X565" s="59" t="str">
        <f t="shared" si="82"/>
        <v/>
      </c>
      <c r="Y565" s="60"/>
      <c r="Z565" s="64"/>
      <c r="AA565" s="64"/>
      <c r="AB565" s="64"/>
      <c r="AC565" s="64"/>
      <c r="AD565" s="64"/>
      <c r="AE565" s="16" t="s">
        <v>675</v>
      </c>
      <c r="AF565" s="16" t="s">
        <v>675</v>
      </c>
      <c r="AG565" s="16" t="s">
        <v>675</v>
      </c>
      <c r="AH565" s="64"/>
      <c r="AI565" s="64"/>
      <c r="AJ565" s="64"/>
      <c r="AK565" s="64"/>
      <c r="AL565" s="64"/>
      <c r="AM565" s="16" t="s">
        <v>675</v>
      </c>
      <c r="AN565" s="64"/>
      <c r="AO565" s="64"/>
      <c r="AP565" s="64"/>
      <c r="AQ565" s="16" t="s">
        <v>675</v>
      </c>
      <c r="AR565" s="64"/>
      <c r="AS565" s="16" t="s">
        <v>675</v>
      </c>
      <c r="AT565" s="64"/>
      <c r="AU565" s="83" t="s">
        <v>675</v>
      </c>
      <c r="AV565" s="83" t="s">
        <v>675</v>
      </c>
      <c r="AW565" s="16" t="s">
        <v>675</v>
      </c>
      <c r="AX565" s="16" t="s">
        <v>675</v>
      </c>
      <c r="AY565" s="64"/>
      <c r="AZ565" s="64"/>
      <c r="BA565" s="64"/>
      <c r="BB565" s="64"/>
      <c r="BC565" s="64"/>
      <c r="BD565" s="64"/>
      <c r="BE565" s="64"/>
      <c r="BF565" s="64"/>
      <c r="BG565" s="64"/>
      <c r="BH565" s="64"/>
      <c r="BI565" s="64"/>
      <c r="BJ565" s="64"/>
      <c r="BK565" s="64"/>
      <c r="BL565" s="64"/>
      <c r="BM565" s="64"/>
      <c r="BN565" s="64"/>
      <c r="BO565" s="64"/>
      <c r="BP565" s="64"/>
      <c r="BQ565" s="64"/>
      <c r="BR565" s="64"/>
      <c r="BS565" s="64"/>
      <c r="BT565" s="65"/>
    </row>
    <row r="566" spans="1:72" ht="18" hidden="1" customHeight="1" x14ac:dyDescent="0.3">
      <c r="A566" s="47" t="s">
        <v>678</v>
      </c>
      <c r="B566" s="48" t="s">
        <v>1481</v>
      </c>
      <c r="C566" s="16" t="s">
        <v>2198</v>
      </c>
      <c r="D566" s="49" t="s">
        <v>1055</v>
      </c>
      <c r="E566" s="50">
        <v>29.8</v>
      </c>
      <c r="F566" s="50">
        <v>0</v>
      </c>
      <c r="G566" s="61">
        <v>3</v>
      </c>
      <c r="H566" s="16">
        <v>100</v>
      </c>
      <c r="I566" s="48" t="s">
        <v>1016</v>
      </c>
      <c r="J566" s="16" t="s">
        <v>1057</v>
      </c>
      <c r="K566" s="62">
        <v>152</v>
      </c>
      <c r="L566" s="62">
        <v>1368</v>
      </c>
      <c r="M566" s="62" t="s">
        <v>1021</v>
      </c>
      <c r="N566" s="62" t="s">
        <v>1058</v>
      </c>
      <c r="O566" s="63" t="str">
        <f t="shared" si="83"/>
        <v>NO</v>
      </c>
      <c r="P566" s="140"/>
      <c r="Q566" s="53">
        <f t="shared" si="76"/>
        <v>152</v>
      </c>
      <c r="R566" s="54">
        <f t="shared" si="77"/>
        <v>45.2</v>
      </c>
      <c r="S566" s="55" t="str">
        <f t="shared" si="78"/>
        <v xml:space="preserve"> </v>
      </c>
      <c r="T566" s="56"/>
      <c r="U566" s="57" t="str">
        <f t="shared" si="79"/>
        <v>100µg/100cm²</v>
      </c>
      <c r="V566" s="58">
        <f t="shared" si="80"/>
        <v>45.2</v>
      </c>
      <c r="W566" s="58" t="str">
        <f t="shared" si="81"/>
        <v xml:space="preserve"> </v>
      </c>
      <c r="X566" s="59" t="str">
        <f t="shared" si="82"/>
        <v/>
      </c>
      <c r="Y566" s="60"/>
      <c r="Z566" s="64"/>
      <c r="AA566" s="64"/>
      <c r="AB566" s="64"/>
      <c r="AC566" s="64"/>
      <c r="AD566" s="16" t="s">
        <v>675</v>
      </c>
      <c r="AE566" s="64"/>
      <c r="AF566" s="64"/>
      <c r="AG566" s="64"/>
      <c r="AH566" s="64"/>
      <c r="AI566" s="64"/>
      <c r="AJ566" s="64"/>
      <c r="AK566" s="64"/>
      <c r="AL566" s="64"/>
      <c r="AM566" s="16" t="s">
        <v>675</v>
      </c>
      <c r="AN566" s="64"/>
      <c r="AO566" s="64"/>
      <c r="AP566" s="64"/>
      <c r="AQ566" s="64"/>
      <c r="AR566" s="64"/>
      <c r="AS566" s="16" t="s">
        <v>675</v>
      </c>
      <c r="AT566" s="64"/>
      <c r="AU566" s="64"/>
      <c r="AV566" s="64"/>
      <c r="AW566" s="64"/>
      <c r="AX566" s="64"/>
      <c r="AY566" s="64"/>
      <c r="AZ566" s="64"/>
      <c r="BA566" s="64"/>
      <c r="BB566" s="64"/>
      <c r="BC566" s="64"/>
      <c r="BD566" s="64"/>
      <c r="BE566" s="64"/>
      <c r="BF566" s="64"/>
      <c r="BG566" s="64"/>
      <c r="BH566" s="64"/>
      <c r="BI566" s="64"/>
      <c r="BJ566" s="64"/>
      <c r="BK566" s="64"/>
      <c r="BL566" s="64"/>
      <c r="BM566" s="64"/>
      <c r="BN566" s="64"/>
      <c r="BO566" s="64"/>
      <c r="BP566" s="64"/>
      <c r="BQ566" s="64"/>
      <c r="BR566" s="64"/>
      <c r="BS566" s="64"/>
      <c r="BT566" s="65"/>
    </row>
    <row r="567" spans="1:72" ht="18" hidden="1" customHeight="1" x14ac:dyDescent="0.3">
      <c r="A567" s="81" t="s">
        <v>953</v>
      </c>
      <c r="B567" s="76" t="s">
        <v>459</v>
      </c>
      <c r="C567" s="16" t="s">
        <v>1502</v>
      </c>
      <c r="D567" s="16" t="s">
        <v>1484</v>
      </c>
      <c r="E567" s="50">
        <v>50</v>
      </c>
      <c r="F567" s="50">
        <v>0</v>
      </c>
      <c r="G567" s="16">
        <v>1</v>
      </c>
      <c r="H567" s="16" t="s">
        <v>1023</v>
      </c>
      <c r="I567" s="16" t="s">
        <v>1016</v>
      </c>
      <c r="J567" s="16" t="s">
        <v>2382</v>
      </c>
      <c r="K567" s="16">
        <v>50</v>
      </c>
      <c r="L567" s="16">
        <v>50</v>
      </c>
      <c r="M567" s="64"/>
      <c r="N567" s="64"/>
      <c r="O567" s="63" t="str">
        <f t="shared" si="83"/>
        <v>YES</v>
      </c>
      <c r="P567" s="140"/>
      <c r="Q567" s="53">
        <f t="shared" si="76"/>
        <v>5000</v>
      </c>
      <c r="R567" s="54">
        <f t="shared" si="77"/>
        <v>2500</v>
      </c>
      <c r="S567" s="55" t="str">
        <f t="shared" si="78"/>
        <v xml:space="preserve"> </v>
      </c>
      <c r="T567" s="56"/>
      <c r="U567" s="57" t="str">
        <f t="shared" si="79"/>
        <v>100µg/100cm²</v>
      </c>
      <c r="V567" s="58">
        <f t="shared" si="80"/>
        <v>2500</v>
      </c>
      <c r="W567" s="58" t="str">
        <f t="shared" si="81"/>
        <v xml:space="preserve"> </v>
      </c>
      <c r="X567" s="59" t="str">
        <f t="shared" si="82"/>
        <v/>
      </c>
      <c r="Y567" s="60"/>
      <c r="Z567" s="64"/>
      <c r="AA567" s="64"/>
      <c r="AB567" s="64"/>
      <c r="AC567" s="64"/>
      <c r="AD567" s="64"/>
      <c r="AE567" s="16" t="s">
        <v>675</v>
      </c>
      <c r="AF567" s="64"/>
      <c r="AG567" s="64"/>
      <c r="AH567" s="64"/>
      <c r="AI567" s="64"/>
      <c r="AJ567" s="64"/>
      <c r="AK567" s="64"/>
      <c r="AL567" s="64"/>
      <c r="AM567" s="16" t="s">
        <v>675</v>
      </c>
      <c r="AN567" s="64"/>
      <c r="AO567" s="64"/>
      <c r="AP567" s="64"/>
      <c r="AQ567" s="64"/>
      <c r="AR567" s="64"/>
      <c r="AS567" s="64"/>
      <c r="AT567" s="64"/>
      <c r="AU567" s="82"/>
      <c r="AV567" s="82"/>
      <c r="AW567" s="82"/>
      <c r="AX567" s="64"/>
      <c r="AY567" s="64"/>
      <c r="AZ567" s="64"/>
      <c r="BA567" s="64"/>
      <c r="BB567" s="64"/>
      <c r="BC567" s="64"/>
      <c r="BD567" s="64"/>
      <c r="BE567" s="64"/>
      <c r="BF567" s="64"/>
      <c r="BG567" s="64"/>
      <c r="BH567" s="64"/>
      <c r="BI567" s="64"/>
      <c r="BJ567" s="64"/>
      <c r="BK567" s="64"/>
      <c r="BL567" s="64"/>
      <c r="BM567" s="64"/>
      <c r="BN567" s="64"/>
      <c r="BO567" s="64"/>
      <c r="BP567" s="64"/>
      <c r="BQ567" s="64"/>
      <c r="BR567" s="64"/>
      <c r="BS567" s="64"/>
      <c r="BT567" s="65"/>
    </row>
    <row r="568" spans="1:72" ht="18" hidden="1" customHeight="1" x14ac:dyDescent="0.3">
      <c r="A568" s="47" t="s">
        <v>220</v>
      </c>
      <c r="B568" s="48" t="s">
        <v>221</v>
      </c>
      <c r="C568" s="16" t="s">
        <v>2199</v>
      </c>
      <c r="D568" s="49" t="s">
        <v>1174</v>
      </c>
      <c r="E568" s="50">
        <v>47.19</v>
      </c>
      <c r="F568" s="50">
        <v>0</v>
      </c>
      <c r="G568" s="61">
        <v>2</v>
      </c>
      <c r="H568" s="16">
        <v>500</v>
      </c>
      <c r="I568" s="48" t="s">
        <v>1016</v>
      </c>
      <c r="J568" s="16" t="s">
        <v>2386</v>
      </c>
      <c r="K568" s="49">
        <v>50</v>
      </c>
      <c r="L568" s="49">
        <v>50</v>
      </c>
      <c r="M568" s="64"/>
      <c r="N568" s="64"/>
      <c r="O568" s="63" t="str">
        <f t="shared" si="83"/>
        <v>YES</v>
      </c>
      <c r="P568" s="140"/>
      <c r="Q568" s="53">
        <f t="shared" si="76"/>
        <v>5000</v>
      </c>
      <c r="R568" s="54">
        <f t="shared" si="77"/>
        <v>2359.5</v>
      </c>
      <c r="S568" s="55" t="str">
        <f t="shared" si="78"/>
        <v xml:space="preserve"> </v>
      </c>
      <c r="T568" s="56"/>
      <c r="U568" s="57" t="str">
        <f t="shared" si="79"/>
        <v>100µg/100cm²</v>
      </c>
      <c r="V568" s="58">
        <f t="shared" si="80"/>
        <v>2359.5</v>
      </c>
      <c r="W568" s="58" t="str">
        <f t="shared" si="81"/>
        <v xml:space="preserve"> </v>
      </c>
      <c r="X568" s="59" t="str">
        <f t="shared" si="82"/>
        <v/>
      </c>
      <c r="Y568" s="60"/>
      <c r="Z568" s="64"/>
      <c r="AA568" s="64"/>
      <c r="AB568" s="64"/>
      <c r="AC568" s="64"/>
      <c r="AD568" s="64"/>
      <c r="AE568" s="16" t="s">
        <v>675</v>
      </c>
      <c r="AF568" s="16" t="s">
        <v>675</v>
      </c>
      <c r="AG568" s="64"/>
      <c r="AH568" s="64"/>
      <c r="AI568" s="16" t="s">
        <v>675</v>
      </c>
      <c r="AJ568" s="64"/>
      <c r="AK568" s="64"/>
      <c r="AL568" s="64"/>
      <c r="AM568" s="16" t="s">
        <v>675</v>
      </c>
      <c r="AN568" s="16" t="s">
        <v>675</v>
      </c>
      <c r="AO568" s="64"/>
      <c r="AP568" s="16" t="s">
        <v>675</v>
      </c>
      <c r="AQ568" s="64"/>
      <c r="AR568" s="64"/>
      <c r="AS568" s="16" t="s">
        <v>675</v>
      </c>
      <c r="AT568" s="16" t="s">
        <v>675</v>
      </c>
      <c r="AU568" s="64"/>
      <c r="AV568" s="64"/>
      <c r="AW568" s="64"/>
      <c r="AX568" s="16" t="s">
        <v>675</v>
      </c>
      <c r="AY568" s="64"/>
      <c r="AZ568" s="64"/>
      <c r="BA568" s="64"/>
      <c r="BB568" s="64"/>
      <c r="BC568" s="64"/>
      <c r="BD568" s="64"/>
      <c r="BE568" s="64"/>
      <c r="BF568" s="64"/>
      <c r="BG568" s="16" t="s">
        <v>675</v>
      </c>
      <c r="BH568" s="64"/>
      <c r="BI568" s="64"/>
      <c r="BJ568" s="64"/>
      <c r="BK568" s="64"/>
      <c r="BL568" s="64"/>
      <c r="BM568" s="64"/>
      <c r="BN568" s="64"/>
      <c r="BO568" s="64"/>
      <c r="BP568" s="64"/>
      <c r="BQ568" s="64"/>
      <c r="BR568" s="64"/>
      <c r="BS568" s="16" t="s">
        <v>675</v>
      </c>
      <c r="BT568" s="65"/>
    </row>
    <row r="569" spans="1:72" ht="18" hidden="1" customHeight="1" x14ac:dyDescent="0.3">
      <c r="A569" s="117" t="s">
        <v>451</v>
      </c>
      <c r="B569" s="110" t="s">
        <v>452</v>
      </c>
      <c r="C569" s="16" t="s">
        <v>1636</v>
      </c>
      <c r="D569" s="16" t="s">
        <v>1174</v>
      </c>
      <c r="E569" s="50">
        <v>56.74</v>
      </c>
      <c r="F569" s="50">
        <v>0</v>
      </c>
      <c r="G569" s="16">
        <v>2</v>
      </c>
      <c r="H569" s="16">
        <v>100</v>
      </c>
      <c r="I569" s="16" t="s">
        <v>1016</v>
      </c>
      <c r="J569" s="16" t="s">
        <v>2386</v>
      </c>
      <c r="K569" s="16">
        <v>50</v>
      </c>
      <c r="L569" s="16">
        <v>50</v>
      </c>
      <c r="M569" s="64"/>
      <c r="N569" s="64"/>
      <c r="O569" s="63" t="str">
        <f t="shared" si="83"/>
        <v>YES</v>
      </c>
      <c r="P569" s="140"/>
      <c r="Q569" s="53">
        <f t="shared" si="76"/>
        <v>5000</v>
      </c>
      <c r="R569" s="54">
        <f t="shared" si="77"/>
        <v>2837</v>
      </c>
      <c r="S569" s="55" t="str">
        <f t="shared" si="78"/>
        <v xml:space="preserve"> </v>
      </c>
      <c r="T569" s="56"/>
      <c r="U569" s="57" t="str">
        <f t="shared" si="79"/>
        <v>100µg/100cm²</v>
      </c>
      <c r="V569" s="58">
        <f t="shared" si="80"/>
        <v>2837</v>
      </c>
      <c r="W569" s="58" t="str">
        <f t="shared" si="81"/>
        <v xml:space="preserve"> </v>
      </c>
      <c r="X569" s="59" t="str">
        <f t="shared" si="82"/>
        <v/>
      </c>
      <c r="Y569" s="60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16" t="s">
        <v>675</v>
      </c>
      <c r="AT569" s="64"/>
      <c r="AU569" s="64"/>
      <c r="AV569" s="64"/>
      <c r="AW569" s="64"/>
      <c r="AX569" s="64"/>
      <c r="AY569" s="64"/>
      <c r="AZ569" s="64"/>
      <c r="BA569" s="64"/>
      <c r="BB569" s="64"/>
      <c r="BC569" s="64"/>
      <c r="BD569" s="64"/>
      <c r="BE569" s="64"/>
      <c r="BF569" s="64"/>
      <c r="BG569" s="64"/>
      <c r="BH569" s="64"/>
      <c r="BI569" s="64"/>
      <c r="BJ569" s="64"/>
      <c r="BK569" s="64"/>
      <c r="BL569" s="64"/>
      <c r="BM569" s="64"/>
      <c r="BN569" s="64"/>
      <c r="BO569" s="64"/>
      <c r="BP569" s="64"/>
      <c r="BQ569" s="64"/>
      <c r="BR569" s="64"/>
      <c r="BS569" s="64"/>
      <c r="BT569" s="65"/>
    </row>
    <row r="570" spans="1:72" ht="18" hidden="1" customHeight="1" x14ac:dyDescent="0.3">
      <c r="A570" s="84" t="s">
        <v>76</v>
      </c>
      <c r="B570" s="120" t="s">
        <v>77</v>
      </c>
      <c r="C570" s="16" t="s">
        <v>2200</v>
      </c>
      <c r="D570" s="49" t="s">
        <v>1174</v>
      </c>
      <c r="E570" s="50">
        <v>46.73</v>
      </c>
      <c r="F570" s="50">
        <v>0</v>
      </c>
      <c r="G570" s="61">
        <v>2</v>
      </c>
      <c r="H570" s="16">
        <v>222</v>
      </c>
      <c r="I570" s="48" t="s">
        <v>1016</v>
      </c>
      <c r="J570" s="16" t="s">
        <v>2386</v>
      </c>
      <c r="K570" s="49">
        <v>50</v>
      </c>
      <c r="L570" s="49">
        <v>50</v>
      </c>
      <c r="M570" s="64"/>
      <c r="N570" s="64"/>
      <c r="O570" s="63" t="str">
        <f t="shared" si="83"/>
        <v>YES</v>
      </c>
      <c r="P570" s="140"/>
      <c r="Q570" s="53">
        <f t="shared" si="76"/>
        <v>5000</v>
      </c>
      <c r="R570" s="54">
        <f t="shared" si="77"/>
        <v>2336.5</v>
      </c>
      <c r="S570" s="55" t="str">
        <f t="shared" si="78"/>
        <v xml:space="preserve"> </v>
      </c>
      <c r="T570" s="56"/>
      <c r="U570" s="57" t="str">
        <f t="shared" si="79"/>
        <v>100µg/100cm²</v>
      </c>
      <c r="V570" s="58">
        <f t="shared" si="80"/>
        <v>2336.5</v>
      </c>
      <c r="W570" s="58" t="str">
        <f t="shared" si="81"/>
        <v xml:space="preserve"> </v>
      </c>
      <c r="X570" s="59" t="str">
        <f t="shared" si="82"/>
        <v/>
      </c>
      <c r="Y570" s="60"/>
      <c r="Z570" s="16" t="s">
        <v>675</v>
      </c>
      <c r="AA570" s="16" t="s">
        <v>675</v>
      </c>
      <c r="AB570" s="16" t="s">
        <v>675</v>
      </c>
      <c r="AC570" s="64"/>
      <c r="AD570" s="16" t="s">
        <v>675</v>
      </c>
      <c r="AE570" s="16" t="s">
        <v>675</v>
      </c>
      <c r="AF570" s="16" t="s">
        <v>675</v>
      </c>
      <c r="AG570" s="64"/>
      <c r="AH570" s="16" t="s">
        <v>675</v>
      </c>
      <c r="AI570" s="16" t="s">
        <v>675</v>
      </c>
      <c r="AJ570" s="64"/>
      <c r="AK570" s="16" t="s">
        <v>675</v>
      </c>
      <c r="AL570" s="16" t="s">
        <v>675</v>
      </c>
      <c r="AM570" s="16" t="s">
        <v>675</v>
      </c>
      <c r="AN570" s="16" t="s">
        <v>675</v>
      </c>
      <c r="AO570" s="64"/>
      <c r="AP570" s="16" t="s">
        <v>675</v>
      </c>
      <c r="AQ570" s="16" t="s">
        <v>675</v>
      </c>
      <c r="AR570" s="64"/>
      <c r="AS570" s="16" t="s">
        <v>675</v>
      </c>
      <c r="AT570" s="16" t="s">
        <v>675</v>
      </c>
      <c r="AU570" s="64"/>
      <c r="AV570" s="64"/>
      <c r="AW570" s="64"/>
      <c r="AX570" s="16" t="s">
        <v>675</v>
      </c>
      <c r="AY570" s="64"/>
      <c r="AZ570" s="64"/>
      <c r="BA570" s="16" t="s">
        <v>675</v>
      </c>
      <c r="BB570" s="16" t="s">
        <v>675</v>
      </c>
      <c r="BC570" s="64"/>
      <c r="BD570" s="64"/>
      <c r="BE570" s="16" t="s">
        <v>675</v>
      </c>
      <c r="BF570" s="64"/>
      <c r="BG570" s="16" t="s">
        <v>675</v>
      </c>
      <c r="BH570" s="64"/>
      <c r="BI570" s="64"/>
      <c r="BJ570" s="64"/>
      <c r="BK570" s="64"/>
      <c r="BL570" s="64"/>
      <c r="BM570" s="64"/>
      <c r="BN570" s="64"/>
      <c r="BO570" s="64"/>
      <c r="BP570" s="64"/>
      <c r="BQ570" s="64"/>
      <c r="BR570" s="64"/>
      <c r="BS570" s="16" t="s">
        <v>675</v>
      </c>
      <c r="BT570" s="65"/>
    </row>
    <row r="571" spans="1:72" ht="18" hidden="1" customHeight="1" x14ac:dyDescent="0.3">
      <c r="A571" s="80" t="s">
        <v>1885</v>
      </c>
      <c r="B571" s="76" t="s">
        <v>1886</v>
      </c>
      <c r="C571" s="87" t="s">
        <v>1604</v>
      </c>
      <c r="D571" s="16" t="s">
        <v>1491</v>
      </c>
      <c r="E571" s="50">
        <v>50</v>
      </c>
      <c r="F571" s="50">
        <v>0</v>
      </c>
      <c r="G571" s="16">
        <v>3</v>
      </c>
      <c r="H571" s="16" t="s">
        <v>1887</v>
      </c>
      <c r="I571" s="16" t="s">
        <v>1016</v>
      </c>
      <c r="J571" s="16" t="s">
        <v>2382</v>
      </c>
      <c r="K571" s="16">
        <v>50</v>
      </c>
      <c r="L571" s="16">
        <v>50</v>
      </c>
      <c r="M571" s="64"/>
      <c r="N571" s="64"/>
      <c r="O571" s="63" t="str">
        <f t="shared" si="83"/>
        <v>YES</v>
      </c>
      <c r="P571" s="140"/>
      <c r="Q571" s="53">
        <f t="shared" si="76"/>
        <v>5000</v>
      </c>
      <c r="R571" s="54">
        <f t="shared" si="77"/>
        <v>2500</v>
      </c>
      <c r="S571" s="55" t="str">
        <f t="shared" si="78"/>
        <v xml:space="preserve"> </v>
      </c>
      <c r="T571" s="56"/>
      <c r="U571" s="57" t="str">
        <f t="shared" si="79"/>
        <v>100µg/100cm²</v>
      </c>
      <c r="V571" s="58">
        <f t="shared" si="80"/>
        <v>2500</v>
      </c>
      <c r="W571" s="58" t="str">
        <f t="shared" si="81"/>
        <v xml:space="preserve"> </v>
      </c>
      <c r="X571" s="59" t="str">
        <f t="shared" si="82"/>
        <v/>
      </c>
      <c r="Y571" s="60"/>
      <c r="Z571" s="16" t="s">
        <v>1987</v>
      </c>
      <c r="AA571" s="16" t="s">
        <v>1987</v>
      </c>
      <c r="AB571" s="16" t="s">
        <v>1987</v>
      </c>
      <c r="AC571" s="16" t="s">
        <v>1987</v>
      </c>
      <c r="AD571" s="16" t="s">
        <v>1987</v>
      </c>
      <c r="AE571" s="16" t="s">
        <v>1987</v>
      </c>
      <c r="AF571" s="16" t="s">
        <v>1987</v>
      </c>
      <c r="AG571" s="16" t="s">
        <v>1987</v>
      </c>
      <c r="AH571" s="16" t="s">
        <v>1987</v>
      </c>
      <c r="AI571" s="16" t="s">
        <v>1987</v>
      </c>
      <c r="AJ571" s="16" t="s">
        <v>1987</v>
      </c>
      <c r="AK571" s="16" t="s">
        <v>1987</v>
      </c>
      <c r="AL571" s="16" t="s">
        <v>1987</v>
      </c>
      <c r="AM571" s="16" t="s">
        <v>1987</v>
      </c>
      <c r="AN571" s="16" t="s">
        <v>1987</v>
      </c>
      <c r="AO571" s="16" t="s">
        <v>1987</v>
      </c>
      <c r="AP571" s="16" t="s">
        <v>1987</v>
      </c>
      <c r="AQ571" s="16" t="s">
        <v>1987</v>
      </c>
      <c r="AR571" s="16" t="s">
        <v>1987</v>
      </c>
      <c r="AS571" s="16" t="s">
        <v>1987</v>
      </c>
      <c r="AT571" s="16" t="s">
        <v>1987</v>
      </c>
      <c r="AU571" s="16" t="s">
        <v>1987</v>
      </c>
      <c r="AV571" s="16" t="s">
        <v>1987</v>
      </c>
      <c r="AW571" s="16" t="s">
        <v>1987</v>
      </c>
      <c r="AX571" s="16" t="s">
        <v>1987</v>
      </c>
      <c r="AY571" s="16" t="s">
        <v>1987</v>
      </c>
      <c r="AZ571" s="16" t="s">
        <v>1987</v>
      </c>
      <c r="BA571" s="16" t="s">
        <v>1987</v>
      </c>
      <c r="BB571" s="16" t="s">
        <v>1987</v>
      </c>
      <c r="BC571" s="16" t="s">
        <v>1987</v>
      </c>
      <c r="BD571" s="16" t="s">
        <v>1987</v>
      </c>
      <c r="BE571" s="16" t="s">
        <v>1987</v>
      </c>
      <c r="BF571" s="16" t="s">
        <v>1987</v>
      </c>
      <c r="BG571" s="16" t="s">
        <v>1987</v>
      </c>
      <c r="BH571" s="16" t="s">
        <v>1987</v>
      </c>
      <c r="BI571" s="16" t="s">
        <v>1987</v>
      </c>
      <c r="BJ571" s="16" t="s">
        <v>1987</v>
      </c>
      <c r="BK571" s="16" t="s">
        <v>1987</v>
      </c>
      <c r="BL571" s="16" t="s">
        <v>1987</v>
      </c>
      <c r="BM571" s="16" t="s">
        <v>1987</v>
      </c>
      <c r="BN571" s="16" t="s">
        <v>1987</v>
      </c>
      <c r="BO571" s="16" t="s">
        <v>1987</v>
      </c>
      <c r="BP571" s="16" t="s">
        <v>1987</v>
      </c>
      <c r="BQ571" s="16" t="s">
        <v>1987</v>
      </c>
      <c r="BR571" s="16" t="s">
        <v>1987</v>
      </c>
      <c r="BS571" s="16" t="s">
        <v>1987</v>
      </c>
      <c r="BT571" s="16" t="s">
        <v>1987</v>
      </c>
    </row>
    <row r="572" spans="1:72" ht="18" hidden="1" customHeight="1" x14ac:dyDescent="0.3">
      <c r="A572" s="47" t="s">
        <v>155</v>
      </c>
      <c r="B572" s="49" t="s">
        <v>118</v>
      </c>
      <c r="C572" s="16" t="s">
        <v>1595</v>
      </c>
      <c r="D572" s="83" t="s">
        <v>1305</v>
      </c>
      <c r="E572" s="50">
        <v>53.3</v>
      </c>
      <c r="F572" s="50">
        <v>0</v>
      </c>
      <c r="G572" s="61">
        <v>7</v>
      </c>
      <c r="H572" s="16" t="s">
        <v>1105</v>
      </c>
      <c r="I572" s="48" t="s">
        <v>1016</v>
      </c>
      <c r="J572" s="16" t="s">
        <v>2386</v>
      </c>
      <c r="K572" s="49">
        <v>50</v>
      </c>
      <c r="L572" s="49">
        <v>50</v>
      </c>
      <c r="M572" s="64"/>
      <c r="N572" s="64"/>
      <c r="O572" s="63" t="str">
        <f t="shared" si="83"/>
        <v>YES</v>
      </c>
      <c r="P572" s="140"/>
      <c r="Q572" s="53">
        <f t="shared" si="76"/>
        <v>5000</v>
      </c>
      <c r="R572" s="54">
        <f t="shared" si="77"/>
        <v>2665</v>
      </c>
      <c r="S572" s="55" t="str">
        <f t="shared" si="78"/>
        <v xml:space="preserve"> </v>
      </c>
      <c r="T572" s="56"/>
      <c r="U572" s="57" t="str">
        <f t="shared" si="79"/>
        <v>100µg/100cm²</v>
      </c>
      <c r="V572" s="58">
        <f t="shared" si="80"/>
        <v>2665</v>
      </c>
      <c r="W572" s="58" t="str">
        <f t="shared" si="81"/>
        <v xml:space="preserve"> </v>
      </c>
      <c r="X572" s="59" t="str">
        <f t="shared" si="82"/>
        <v/>
      </c>
      <c r="Y572" s="60"/>
      <c r="Z572" s="64"/>
      <c r="AA572" s="64"/>
      <c r="AB572" s="64"/>
      <c r="AC572" s="64"/>
      <c r="AD572" s="16" t="s">
        <v>675</v>
      </c>
      <c r="AE572" s="64"/>
      <c r="AF572" s="64"/>
      <c r="AG572" s="64"/>
      <c r="AH572" s="64"/>
      <c r="AI572" s="64"/>
      <c r="AJ572" s="16" t="s">
        <v>675</v>
      </c>
      <c r="AK572" s="64"/>
      <c r="AL572" s="64"/>
      <c r="AM572" s="16" t="s">
        <v>675</v>
      </c>
      <c r="AN572" s="64"/>
      <c r="AO572" s="64"/>
      <c r="AP572" s="64"/>
      <c r="AQ572" s="64"/>
      <c r="AR572" s="64"/>
      <c r="AS572" s="64"/>
      <c r="AT572" s="64"/>
      <c r="AU572" s="16" t="s">
        <v>675</v>
      </c>
      <c r="AV572" s="64"/>
      <c r="AW572" s="16" t="s">
        <v>675</v>
      </c>
      <c r="AX572" s="64"/>
      <c r="AY572" s="64"/>
      <c r="AZ572" s="64"/>
      <c r="BA572" s="16" t="s">
        <v>675</v>
      </c>
      <c r="BB572" s="16" t="s">
        <v>675</v>
      </c>
      <c r="BC572" s="64"/>
      <c r="BD572" s="64"/>
      <c r="BE572" s="64"/>
      <c r="BF572" s="64"/>
      <c r="BG572" s="64"/>
      <c r="BH572" s="64"/>
      <c r="BI572" s="64"/>
      <c r="BJ572" s="64"/>
      <c r="BK572" s="64"/>
      <c r="BL572" s="64"/>
      <c r="BM572" s="64"/>
      <c r="BN572" s="64"/>
      <c r="BO572" s="64"/>
      <c r="BP572" s="64"/>
      <c r="BQ572" s="64"/>
      <c r="BR572" s="64"/>
      <c r="BS572" s="64"/>
      <c r="BT572" s="65"/>
    </row>
    <row r="573" spans="1:72" ht="18" hidden="1" customHeight="1" x14ac:dyDescent="0.3">
      <c r="A573" s="66" t="s">
        <v>1563</v>
      </c>
      <c r="B573" s="70" t="s">
        <v>1564</v>
      </c>
      <c r="C573" s="16" t="s">
        <v>1594</v>
      </c>
      <c r="D573" s="70" t="s">
        <v>1451</v>
      </c>
      <c r="E573" s="50">
        <v>53</v>
      </c>
      <c r="F573" s="50">
        <v>0</v>
      </c>
      <c r="G573" s="16">
        <v>2</v>
      </c>
      <c r="H573" s="16" t="s">
        <v>1815</v>
      </c>
      <c r="I573" s="70" t="s">
        <v>1016</v>
      </c>
      <c r="J573" s="16" t="s">
        <v>2021</v>
      </c>
      <c r="K573" s="16" t="s">
        <v>2027</v>
      </c>
      <c r="L573" s="16" t="s">
        <v>2027</v>
      </c>
      <c r="M573" s="64"/>
      <c r="N573" s="64"/>
      <c r="O573" s="16" t="s">
        <v>2027</v>
      </c>
      <c r="P573" s="140"/>
      <c r="Q573" s="53" t="str">
        <f t="shared" si="76"/>
        <v>Pending</v>
      </c>
      <c r="R573" s="54" t="str">
        <f t="shared" si="77"/>
        <v>Pending</v>
      </c>
      <c r="S573" s="55" t="str">
        <f t="shared" si="78"/>
        <v>Pending</v>
      </c>
      <c r="T573" s="56"/>
      <c r="U573" s="57" t="str">
        <f t="shared" si="79"/>
        <v>Pending</v>
      </c>
      <c r="V573" s="58" t="str">
        <f t="shared" si="80"/>
        <v>Pending</v>
      </c>
      <c r="W573" s="57" t="str">
        <f t="shared" si="81"/>
        <v>Pending</v>
      </c>
      <c r="X573" s="59" t="str">
        <f t="shared" si="82"/>
        <v/>
      </c>
      <c r="Y573" s="60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16" t="s">
        <v>675</v>
      </c>
      <c r="AS573" s="64"/>
      <c r="AT573" s="64"/>
      <c r="AU573" s="64"/>
      <c r="AV573" s="64"/>
      <c r="AW573" s="64"/>
      <c r="AX573" s="64"/>
      <c r="AY573" s="64"/>
      <c r="AZ573" s="64"/>
      <c r="BA573" s="64"/>
      <c r="BB573" s="64"/>
      <c r="BC573" s="64"/>
      <c r="BD573" s="64"/>
      <c r="BE573" s="64"/>
      <c r="BF573" s="64"/>
      <c r="BG573" s="64"/>
      <c r="BH573" s="64"/>
      <c r="BI573" s="64"/>
      <c r="BJ573" s="64"/>
      <c r="BK573" s="64"/>
      <c r="BL573" s="64"/>
      <c r="BM573" s="64"/>
      <c r="BN573" s="64"/>
      <c r="BO573" s="64"/>
      <c r="BP573" s="64"/>
      <c r="BQ573" s="64"/>
      <c r="BR573" s="64"/>
      <c r="BS573" s="64"/>
      <c r="BT573" s="65"/>
    </row>
    <row r="574" spans="1:72" ht="18" hidden="1" customHeight="1" x14ac:dyDescent="0.3">
      <c r="A574" s="66" t="s">
        <v>1562</v>
      </c>
      <c r="B574" s="70" t="s">
        <v>1564</v>
      </c>
      <c r="C574" s="16" t="s">
        <v>1594</v>
      </c>
      <c r="D574" s="70" t="s">
        <v>1451</v>
      </c>
      <c r="E574" s="50">
        <v>53</v>
      </c>
      <c r="F574" s="50">
        <v>0</v>
      </c>
      <c r="G574" s="16">
        <v>2</v>
      </c>
      <c r="H574" s="16" t="s">
        <v>1815</v>
      </c>
      <c r="I574" s="70" t="s">
        <v>1016</v>
      </c>
      <c r="J574" s="16" t="s">
        <v>2021</v>
      </c>
      <c r="K574" s="16" t="s">
        <v>2027</v>
      </c>
      <c r="L574" s="16" t="s">
        <v>2027</v>
      </c>
      <c r="M574" s="64"/>
      <c r="N574" s="64"/>
      <c r="O574" s="16" t="s">
        <v>2027</v>
      </c>
      <c r="P574" s="140"/>
      <c r="Q574" s="53" t="str">
        <f t="shared" si="76"/>
        <v>Pending</v>
      </c>
      <c r="R574" s="54" t="str">
        <f t="shared" si="77"/>
        <v>Pending</v>
      </c>
      <c r="S574" s="55" t="str">
        <f t="shared" si="78"/>
        <v>Pending</v>
      </c>
      <c r="T574" s="56"/>
      <c r="U574" s="57" t="str">
        <f t="shared" si="79"/>
        <v>Pending</v>
      </c>
      <c r="V574" s="58" t="str">
        <f t="shared" si="80"/>
        <v>Pending</v>
      </c>
      <c r="W574" s="57" t="str">
        <f t="shared" si="81"/>
        <v>Pending</v>
      </c>
      <c r="X574" s="59" t="str">
        <f t="shared" si="82"/>
        <v/>
      </c>
      <c r="Y574" s="60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16" t="s">
        <v>675</v>
      </c>
      <c r="AS574" s="64"/>
      <c r="AT574" s="64"/>
      <c r="AU574" s="64"/>
      <c r="AV574" s="64"/>
      <c r="AW574" s="64"/>
      <c r="AX574" s="64"/>
      <c r="AY574" s="64"/>
      <c r="AZ574" s="64"/>
      <c r="BA574" s="64"/>
      <c r="BB574" s="64"/>
      <c r="BC574" s="64"/>
      <c r="BD574" s="64"/>
      <c r="BE574" s="64"/>
      <c r="BF574" s="64"/>
      <c r="BG574" s="64"/>
      <c r="BH574" s="64"/>
      <c r="BI574" s="64"/>
      <c r="BJ574" s="64"/>
      <c r="BK574" s="64"/>
      <c r="BL574" s="64"/>
      <c r="BM574" s="64"/>
      <c r="BN574" s="64"/>
      <c r="BO574" s="64"/>
      <c r="BP574" s="64"/>
      <c r="BQ574" s="64"/>
      <c r="BR574" s="64"/>
      <c r="BS574" s="64"/>
      <c r="BT574" s="65"/>
    </row>
    <row r="575" spans="1:72" ht="18" hidden="1" customHeight="1" x14ac:dyDescent="0.3">
      <c r="A575" s="47" t="s">
        <v>227</v>
      </c>
      <c r="B575" s="70" t="s">
        <v>228</v>
      </c>
      <c r="C575" s="70" t="s">
        <v>1450</v>
      </c>
      <c r="D575" s="70" t="s">
        <v>1451</v>
      </c>
      <c r="E575" s="50">
        <v>55.53</v>
      </c>
      <c r="F575" s="50">
        <v>0</v>
      </c>
      <c r="G575" s="61">
        <v>2</v>
      </c>
      <c r="H575" s="16">
        <v>350</v>
      </c>
      <c r="I575" s="70" t="s">
        <v>1016</v>
      </c>
      <c r="J575" s="16" t="s">
        <v>1452</v>
      </c>
      <c r="K575" s="49">
        <v>0.1</v>
      </c>
      <c r="L575" s="49">
        <v>1</v>
      </c>
      <c r="M575" s="62" t="s">
        <v>1014</v>
      </c>
      <c r="N575" s="49" t="s">
        <v>2358</v>
      </c>
      <c r="O575" s="63" t="str">
        <f>IF(AND(ISBLANK(K575),ISBLANK(N575))," ",IF(ISBLANK(N575),"YES","NO"))</f>
        <v>NO</v>
      </c>
      <c r="P575" s="140"/>
      <c r="Q575" s="53">
        <f t="shared" si="76"/>
        <v>0.1</v>
      </c>
      <c r="R575" s="54">
        <f t="shared" si="77"/>
        <v>0</v>
      </c>
      <c r="S575" s="55" t="str">
        <f t="shared" si="78"/>
        <v xml:space="preserve"> </v>
      </c>
      <c r="T575" s="56"/>
      <c r="U575" s="57" t="str">
        <f t="shared" si="79"/>
        <v>Mitigation</v>
      </c>
      <c r="V575" s="58" t="str">
        <f t="shared" si="80"/>
        <v xml:space="preserve"> </v>
      </c>
      <c r="W575" s="58" t="str">
        <f t="shared" si="81"/>
        <v xml:space="preserve"> </v>
      </c>
      <c r="X575" s="59" t="str">
        <f t="shared" si="82"/>
        <v/>
      </c>
      <c r="Y575" s="60"/>
      <c r="Z575" s="64"/>
      <c r="AA575" s="64"/>
      <c r="AB575" s="64"/>
      <c r="AC575" s="64"/>
      <c r="AD575" s="64"/>
      <c r="AE575" s="16" t="s">
        <v>675</v>
      </c>
      <c r="AF575" s="16" t="s">
        <v>675</v>
      </c>
      <c r="AG575" s="64"/>
      <c r="AH575" s="64"/>
      <c r="AI575" s="64"/>
      <c r="AJ575" s="64"/>
      <c r="AK575" s="64"/>
      <c r="AL575" s="64"/>
      <c r="AM575" s="16" t="s">
        <v>675</v>
      </c>
      <c r="AN575" s="64"/>
      <c r="AO575" s="64"/>
      <c r="AP575" s="64"/>
      <c r="AQ575" s="64"/>
      <c r="AR575" s="16" t="s">
        <v>675</v>
      </c>
      <c r="AS575" s="64"/>
      <c r="AT575" s="64"/>
      <c r="AU575" s="64"/>
      <c r="AV575" s="16" t="s">
        <v>675</v>
      </c>
      <c r="AW575" s="16" t="s">
        <v>675</v>
      </c>
      <c r="AX575" s="16" t="s">
        <v>675</v>
      </c>
      <c r="AY575" s="64"/>
      <c r="AZ575" s="64"/>
      <c r="BA575" s="64"/>
      <c r="BB575" s="64"/>
      <c r="BC575" s="64"/>
      <c r="BD575" s="16" t="s">
        <v>675</v>
      </c>
      <c r="BE575" s="64"/>
      <c r="BF575" s="64"/>
      <c r="BG575" s="64"/>
      <c r="BH575" s="64"/>
      <c r="BI575" s="64"/>
      <c r="BJ575" s="64"/>
      <c r="BK575" s="64"/>
      <c r="BL575" s="64"/>
      <c r="BM575" s="16" t="s">
        <v>675</v>
      </c>
      <c r="BN575" s="64"/>
      <c r="BO575" s="64"/>
      <c r="BP575" s="64"/>
      <c r="BQ575" s="64"/>
      <c r="BR575" s="64"/>
      <c r="BS575" s="16" t="s">
        <v>675</v>
      </c>
      <c r="BT575" s="65"/>
    </row>
    <row r="576" spans="1:72" ht="18" hidden="1" customHeight="1" x14ac:dyDescent="0.3">
      <c r="A576" s="66" t="s">
        <v>1561</v>
      </c>
      <c r="B576" s="70" t="s">
        <v>1564</v>
      </c>
      <c r="C576" s="70" t="s">
        <v>1982</v>
      </c>
      <c r="D576" s="70" t="s">
        <v>1451</v>
      </c>
      <c r="E576" s="50">
        <v>53.44</v>
      </c>
      <c r="F576" s="50">
        <v>0</v>
      </c>
      <c r="G576" s="16">
        <v>2</v>
      </c>
      <c r="H576" s="16" t="s">
        <v>1815</v>
      </c>
      <c r="I576" s="70" t="s">
        <v>1016</v>
      </c>
      <c r="J576" s="16" t="s">
        <v>2021</v>
      </c>
      <c r="K576" s="16" t="s">
        <v>2027</v>
      </c>
      <c r="L576" s="16" t="s">
        <v>2027</v>
      </c>
      <c r="M576" s="64"/>
      <c r="N576" s="64"/>
      <c r="O576" s="16" t="s">
        <v>2027</v>
      </c>
      <c r="P576" s="140"/>
      <c r="Q576" s="53" t="str">
        <f t="shared" si="76"/>
        <v>Pending</v>
      </c>
      <c r="R576" s="54" t="str">
        <f t="shared" si="77"/>
        <v>Pending</v>
      </c>
      <c r="S576" s="55" t="str">
        <f t="shared" si="78"/>
        <v>Pending</v>
      </c>
      <c r="T576" s="56"/>
      <c r="U576" s="57" t="str">
        <f t="shared" si="79"/>
        <v>Pending</v>
      </c>
      <c r="V576" s="58" t="str">
        <f t="shared" si="80"/>
        <v>Pending</v>
      </c>
      <c r="W576" s="57" t="str">
        <f t="shared" si="81"/>
        <v>Pending</v>
      </c>
      <c r="X576" s="59" t="str">
        <f t="shared" si="82"/>
        <v/>
      </c>
      <c r="Y576" s="60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16" t="s">
        <v>675</v>
      </c>
      <c r="AS576" s="64"/>
      <c r="AT576" s="64"/>
      <c r="AU576" s="64"/>
      <c r="AV576" s="64"/>
      <c r="AW576" s="64"/>
      <c r="AX576" s="64"/>
      <c r="AY576" s="64"/>
      <c r="AZ576" s="64"/>
      <c r="BA576" s="64"/>
      <c r="BB576" s="64"/>
      <c r="BC576" s="64"/>
      <c r="BD576" s="64"/>
      <c r="BE576" s="64"/>
      <c r="BF576" s="64"/>
      <c r="BG576" s="64"/>
      <c r="BH576" s="64"/>
      <c r="BI576" s="64"/>
      <c r="BJ576" s="64"/>
      <c r="BK576" s="64"/>
      <c r="BL576" s="64"/>
      <c r="BM576" s="64"/>
      <c r="BN576" s="64"/>
      <c r="BO576" s="64"/>
      <c r="BP576" s="64"/>
      <c r="BQ576" s="64"/>
      <c r="BR576" s="64"/>
      <c r="BS576" s="64"/>
      <c r="BT576" s="65"/>
    </row>
    <row r="577" spans="1:72" ht="18" hidden="1" customHeight="1" x14ac:dyDescent="0.3">
      <c r="A577" s="47" t="s">
        <v>142</v>
      </c>
      <c r="B577" s="76" t="s">
        <v>1583</v>
      </c>
      <c r="C577" s="16" t="s">
        <v>1595</v>
      </c>
      <c r="D577" s="83" t="s">
        <v>1305</v>
      </c>
      <c r="E577" s="50">
        <v>53.3</v>
      </c>
      <c r="F577" s="50">
        <v>0</v>
      </c>
      <c r="G577" s="61">
        <v>7</v>
      </c>
      <c r="H577" s="16" t="s">
        <v>1105</v>
      </c>
      <c r="I577" s="48" t="s">
        <v>1016</v>
      </c>
      <c r="J577" s="16" t="s">
        <v>2386</v>
      </c>
      <c r="K577" s="49">
        <v>50</v>
      </c>
      <c r="L577" s="49">
        <v>50</v>
      </c>
      <c r="M577" s="64"/>
      <c r="N577" s="64"/>
      <c r="O577" s="49" t="str">
        <f>IF(AND(ISBLANK(K577),ISBLANK(N577))," ",IF(ISBLANK(N577),"YES","NO"))</f>
        <v>YES</v>
      </c>
      <c r="P577" s="140"/>
      <c r="Q577" s="53">
        <f t="shared" si="76"/>
        <v>5000</v>
      </c>
      <c r="R577" s="54">
        <f t="shared" si="77"/>
        <v>2665</v>
      </c>
      <c r="S577" s="55" t="str">
        <f t="shared" si="78"/>
        <v xml:space="preserve"> </v>
      </c>
      <c r="T577" s="56"/>
      <c r="U577" s="57" t="str">
        <f t="shared" si="79"/>
        <v>100µg/100cm²</v>
      </c>
      <c r="V577" s="58">
        <f t="shared" si="80"/>
        <v>2665</v>
      </c>
      <c r="W577" s="58" t="str">
        <f t="shared" si="81"/>
        <v xml:space="preserve"> </v>
      </c>
      <c r="X577" s="59" t="str">
        <f t="shared" si="82"/>
        <v/>
      </c>
      <c r="Y577" s="60"/>
      <c r="Z577" s="64"/>
      <c r="AA577" s="64"/>
      <c r="AB577" s="64"/>
      <c r="AC577" s="16" t="s">
        <v>675</v>
      </c>
      <c r="AD577" s="64"/>
      <c r="AE577" s="64"/>
      <c r="AF577" s="64"/>
      <c r="AG577" s="64"/>
      <c r="AH577" s="64"/>
      <c r="AI577" s="64"/>
      <c r="AJ577" s="64"/>
      <c r="AK577" s="64"/>
      <c r="AL577" s="64"/>
      <c r="AM577" s="16" t="s">
        <v>675</v>
      </c>
      <c r="AN577" s="64"/>
      <c r="AO577" s="64"/>
      <c r="AP577" s="64"/>
      <c r="AQ577" s="64"/>
      <c r="AR577" s="64"/>
      <c r="AS577" s="64"/>
      <c r="AT577" s="64"/>
      <c r="AU577" s="16" t="s">
        <v>675</v>
      </c>
      <c r="AV577" s="64"/>
      <c r="AW577" s="16" t="s">
        <v>675</v>
      </c>
      <c r="AX577" s="64"/>
      <c r="AY577" s="64"/>
      <c r="AZ577" s="64"/>
      <c r="BA577" s="64"/>
      <c r="BB577" s="64"/>
      <c r="BC577" s="64"/>
      <c r="BD577" s="64"/>
      <c r="BE577" s="64"/>
      <c r="BF577" s="64"/>
      <c r="BG577" s="64"/>
      <c r="BH577" s="64"/>
      <c r="BI577" s="64"/>
      <c r="BJ577" s="64"/>
      <c r="BK577" s="64"/>
      <c r="BL577" s="64"/>
      <c r="BM577" s="64"/>
      <c r="BN577" s="64"/>
      <c r="BO577" s="64"/>
      <c r="BP577" s="64"/>
      <c r="BQ577" s="64"/>
      <c r="BR577" s="64"/>
      <c r="BS577" s="64"/>
      <c r="BT577" s="65"/>
    </row>
    <row r="578" spans="1:72" ht="18" hidden="1" customHeight="1" x14ac:dyDescent="0.3">
      <c r="A578" s="66" t="s">
        <v>1565</v>
      </c>
      <c r="B578" s="76" t="s">
        <v>1566</v>
      </c>
      <c r="C578" s="16" t="s">
        <v>2201</v>
      </c>
      <c r="D578" s="16" t="s">
        <v>1195</v>
      </c>
      <c r="E578" s="50">
        <v>73.97</v>
      </c>
      <c r="F578" s="50">
        <v>0</v>
      </c>
      <c r="G578" s="16">
        <v>3</v>
      </c>
      <c r="H578" s="16" t="s">
        <v>1567</v>
      </c>
      <c r="I578" s="16" t="s">
        <v>1016</v>
      </c>
      <c r="J578" s="16" t="s">
        <v>2021</v>
      </c>
      <c r="K578" s="16" t="s">
        <v>2027</v>
      </c>
      <c r="L578" s="16" t="s">
        <v>2027</v>
      </c>
      <c r="M578" s="64"/>
      <c r="N578" s="64"/>
      <c r="O578" s="16" t="s">
        <v>2027</v>
      </c>
      <c r="P578" s="140"/>
      <c r="Q578" s="53" t="str">
        <f t="shared" si="76"/>
        <v>Pending</v>
      </c>
      <c r="R578" s="54" t="str">
        <f t="shared" si="77"/>
        <v>Pending</v>
      </c>
      <c r="S578" s="55" t="str">
        <f t="shared" si="78"/>
        <v>Pending</v>
      </c>
      <c r="T578" s="56"/>
      <c r="U578" s="57" t="str">
        <f t="shared" si="79"/>
        <v>Pending</v>
      </c>
      <c r="V578" s="58" t="str">
        <f t="shared" si="80"/>
        <v>Pending</v>
      </c>
      <c r="W578" s="57" t="str">
        <f t="shared" si="81"/>
        <v>Pending</v>
      </c>
      <c r="X578" s="59" t="str">
        <f t="shared" si="82"/>
        <v/>
      </c>
      <c r="Y578" s="60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16" t="s">
        <v>675</v>
      </c>
      <c r="AS578" s="64"/>
      <c r="AT578" s="64"/>
      <c r="AU578" s="64"/>
      <c r="AV578" s="64"/>
      <c r="AW578" s="64"/>
      <c r="AX578" s="64"/>
      <c r="AY578" s="64"/>
      <c r="AZ578" s="64"/>
      <c r="BA578" s="64"/>
      <c r="BB578" s="64"/>
      <c r="BC578" s="64"/>
      <c r="BD578" s="64"/>
      <c r="BE578" s="64"/>
      <c r="BF578" s="64"/>
      <c r="BG578" s="64"/>
      <c r="BH578" s="64"/>
      <c r="BI578" s="64"/>
      <c r="BJ578" s="64"/>
      <c r="BK578" s="64"/>
      <c r="BL578" s="64"/>
      <c r="BM578" s="64"/>
      <c r="BN578" s="64"/>
      <c r="BO578" s="64"/>
      <c r="BP578" s="64"/>
      <c r="BQ578" s="64"/>
      <c r="BR578" s="64"/>
      <c r="BS578" s="64"/>
      <c r="BT578" s="65"/>
    </row>
    <row r="579" spans="1:72" ht="18" hidden="1" customHeight="1" x14ac:dyDescent="0.3">
      <c r="A579" s="81" t="s">
        <v>278</v>
      </c>
      <c r="B579" s="76" t="s">
        <v>459</v>
      </c>
      <c r="C579" s="16" t="s">
        <v>1977</v>
      </c>
      <c r="D579" s="16" t="s">
        <v>1493</v>
      </c>
      <c r="E579" s="50">
        <v>50</v>
      </c>
      <c r="F579" s="50">
        <v>0</v>
      </c>
      <c r="G579" s="16">
        <v>1</v>
      </c>
      <c r="H579" s="16" t="s">
        <v>1023</v>
      </c>
      <c r="I579" s="16" t="s">
        <v>1016</v>
      </c>
      <c r="J579" s="16" t="s">
        <v>2382</v>
      </c>
      <c r="K579" s="16">
        <v>50</v>
      </c>
      <c r="L579" s="16">
        <v>50</v>
      </c>
      <c r="M579" s="64"/>
      <c r="N579" s="64"/>
      <c r="O579" s="63" t="str">
        <f t="shared" ref="O579:O610" si="84">IF(AND(ISBLANK(K579),ISBLANK(N579))," ",IF(ISBLANK(N579),"YES","NO"))</f>
        <v>YES</v>
      </c>
      <c r="P579" s="140"/>
      <c r="Q579" s="53">
        <f t="shared" si="76"/>
        <v>5000</v>
      </c>
      <c r="R579" s="54">
        <f t="shared" si="77"/>
        <v>2500</v>
      </c>
      <c r="S579" s="55" t="str">
        <f t="shared" si="78"/>
        <v xml:space="preserve"> </v>
      </c>
      <c r="T579" s="56"/>
      <c r="U579" s="57" t="str">
        <f t="shared" si="79"/>
        <v>100µg/100cm²</v>
      </c>
      <c r="V579" s="58">
        <f t="shared" si="80"/>
        <v>2500</v>
      </c>
      <c r="W579" s="58" t="str">
        <f t="shared" si="81"/>
        <v xml:space="preserve"> </v>
      </c>
      <c r="X579" s="59" t="str">
        <f t="shared" si="82"/>
        <v/>
      </c>
      <c r="Y579" s="60"/>
      <c r="Z579" s="64"/>
      <c r="AA579" s="64"/>
      <c r="AB579" s="64"/>
      <c r="AC579" s="64"/>
      <c r="AD579" s="64"/>
      <c r="AE579" s="16" t="s">
        <v>675</v>
      </c>
      <c r="AF579" s="16" t="s">
        <v>675</v>
      </c>
      <c r="AG579" s="16" t="s">
        <v>675</v>
      </c>
      <c r="AH579" s="64"/>
      <c r="AI579" s="64"/>
      <c r="AJ579" s="64"/>
      <c r="AK579" s="64"/>
      <c r="AL579" s="64"/>
      <c r="AM579" s="16" t="s">
        <v>675</v>
      </c>
      <c r="AN579" s="64"/>
      <c r="AO579" s="64"/>
      <c r="AP579" s="64"/>
      <c r="AQ579" s="64"/>
      <c r="AR579" s="64"/>
      <c r="AS579" s="64"/>
      <c r="AT579" s="64"/>
      <c r="AU579" s="82"/>
      <c r="AV579" s="82"/>
      <c r="AW579" s="82"/>
      <c r="AX579" s="64"/>
      <c r="AY579" s="64"/>
      <c r="AZ579" s="64"/>
      <c r="BA579" s="64"/>
      <c r="BB579" s="64"/>
      <c r="BC579" s="64"/>
      <c r="BD579" s="16" t="s">
        <v>675</v>
      </c>
      <c r="BE579" s="64"/>
      <c r="BF579" s="64"/>
      <c r="BG579" s="64"/>
      <c r="BH579" s="64"/>
      <c r="BI579" s="64"/>
      <c r="BJ579" s="64"/>
      <c r="BK579" s="64"/>
      <c r="BL579" s="64"/>
      <c r="BM579" s="64"/>
      <c r="BN579" s="64"/>
      <c r="BO579" s="64"/>
      <c r="BP579" s="64"/>
      <c r="BQ579" s="64"/>
      <c r="BR579" s="64"/>
      <c r="BS579" s="64"/>
      <c r="BT579" s="65"/>
    </row>
    <row r="580" spans="1:72" ht="18" hidden="1" customHeight="1" x14ac:dyDescent="0.3">
      <c r="A580" s="47" t="s">
        <v>2296</v>
      </c>
      <c r="B580" s="49" t="s">
        <v>2297</v>
      </c>
      <c r="C580" s="49" t="s">
        <v>2340</v>
      </c>
      <c r="D580" s="67" t="s">
        <v>1114</v>
      </c>
      <c r="E580" s="50">
        <v>62.9</v>
      </c>
      <c r="F580" s="50">
        <v>0</v>
      </c>
      <c r="G580" s="16">
        <v>7</v>
      </c>
      <c r="H580" s="68" t="s">
        <v>1250</v>
      </c>
      <c r="I580" s="48" t="s">
        <v>1016</v>
      </c>
      <c r="J580" s="16" t="s">
        <v>2298</v>
      </c>
      <c r="K580" s="49">
        <v>1.5</v>
      </c>
      <c r="L580" s="49">
        <v>1.5</v>
      </c>
      <c r="M580" s="49" t="s">
        <v>1036</v>
      </c>
      <c r="N580" s="64"/>
      <c r="O580" s="63" t="str">
        <f t="shared" si="84"/>
        <v>YES</v>
      </c>
      <c r="P580" s="141"/>
      <c r="Q580" s="53">
        <f t="shared" si="76"/>
        <v>273.7</v>
      </c>
      <c r="R580" s="54">
        <f t="shared" si="77"/>
        <v>172.1</v>
      </c>
      <c r="S580" s="55" t="str">
        <f t="shared" si="78"/>
        <v xml:space="preserve"> </v>
      </c>
      <c r="T580" s="105"/>
      <c r="U580" s="57" t="str">
        <f t="shared" si="79"/>
        <v>100µg/100cm²</v>
      </c>
      <c r="V580" s="58">
        <f t="shared" si="80"/>
        <v>172.1</v>
      </c>
      <c r="W580" s="57" t="str">
        <f t="shared" si="81"/>
        <v xml:space="preserve"> </v>
      </c>
      <c r="X580" s="59" t="str">
        <f t="shared" si="82"/>
        <v/>
      </c>
      <c r="Y580" s="106"/>
      <c r="Z580" s="16" t="s">
        <v>1987</v>
      </c>
      <c r="AA580" s="16" t="s">
        <v>1987</v>
      </c>
      <c r="AB580" s="16" t="s">
        <v>1987</v>
      </c>
      <c r="AC580" s="16" t="s">
        <v>1987</v>
      </c>
      <c r="AD580" s="16" t="s">
        <v>1987</v>
      </c>
      <c r="AE580" s="16" t="s">
        <v>1987</v>
      </c>
      <c r="AF580" s="16" t="s">
        <v>1987</v>
      </c>
      <c r="AG580" s="16" t="s">
        <v>1987</v>
      </c>
      <c r="AH580" s="16" t="s">
        <v>1987</v>
      </c>
      <c r="AI580" s="16" t="s">
        <v>1987</v>
      </c>
      <c r="AJ580" s="16" t="s">
        <v>1987</v>
      </c>
      <c r="AK580" s="16" t="s">
        <v>1987</v>
      </c>
      <c r="AL580" s="16" t="s">
        <v>1987</v>
      </c>
      <c r="AM580" s="16" t="s">
        <v>1987</v>
      </c>
      <c r="AN580" s="16" t="s">
        <v>1987</v>
      </c>
      <c r="AO580" s="16" t="s">
        <v>1987</v>
      </c>
      <c r="AP580" s="16" t="s">
        <v>1987</v>
      </c>
      <c r="AQ580" s="16" t="s">
        <v>1987</v>
      </c>
      <c r="AR580" s="16" t="s">
        <v>1987</v>
      </c>
      <c r="AS580" s="16" t="s">
        <v>1987</v>
      </c>
      <c r="AT580" s="16" t="s">
        <v>1987</v>
      </c>
      <c r="AU580" s="16" t="s">
        <v>1987</v>
      </c>
      <c r="AV580" s="16" t="s">
        <v>1987</v>
      </c>
      <c r="AW580" s="16" t="s">
        <v>1987</v>
      </c>
      <c r="AX580" s="16" t="s">
        <v>1987</v>
      </c>
      <c r="AY580" s="16" t="s">
        <v>1987</v>
      </c>
      <c r="AZ580" s="16" t="s">
        <v>1987</v>
      </c>
      <c r="BA580" s="16" t="s">
        <v>1987</v>
      </c>
      <c r="BB580" s="16" t="s">
        <v>1987</v>
      </c>
      <c r="BC580" s="16" t="s">
        <v>1987</v>
      </c>
      <c r="BD580" s="16" t="s">
        <v>1987</v>
      </c>
      <c r="BE580" s="16" t="s">
        <v>1987</v>
      </c>
      <c r="BF580" s="16" t="s">
        <v>1987</v>
      </c>
      <c r="BG580" s="16" t="s">
        <v>1987</v>
      </c>
      <c r="BH580" s="16" t="s">
        <v>1987</v>
      </c>
      <c r="BI580" s="16" t="s">
        <v>1987</v>
      </c>
      <c r="BJ580" s="16" t="s">
        <v>1987</v>
      </c>
      <c r="BK580" s="16" t="s">
        <v>1987</v>
      </c>
      <c r="BL580" s="16" t="s">
        <v>1987</v>
      </c>
      <c r="BM580" s="16" t="s">
        <v>1987</v>
      </c>
      <c r="BN580" s="16" t="s">
        <v>1987</v>
      </c>
      <c r="BO580" s="16" t="s">
        <v>1987</v>
      </c>
      <c r="BP580" s="16" t="s">
        <v>1987</v>
      </c>
      <c r="BQ580" s="16" t="s">
        <v>1987</v>
      </c>
      <c r="BR580" s="16" t="s">
        <v>1987</v>
      </c>
      <c r="BS580" s="16" t="s">
        <v>1987</v>
      </c>
      <c r="BT580" s="16" t="s">
        <v>1987</v>
      </c>
    </row>
    <row r="581" spans="1:72" ht="18" hidden="1" customHeight="1" x14ac:dyDescent="0.3">
      <c r="A581" s="66" t="s">
        <v>2366</v>
      </c>
      <c r="B581" s="69" t="s">
        <v>731</v>
      </c>
      <c r="C581" s="67" t="s">
        <v>1280</v>
      </c>
      <c r="D581" s="67" t="s">
        <v>1114</v>
      </c>
      <c r="E581" s="50">
        <v>57.37</v>
      </c>
      <c r="F581" s="50">
        <v>0</v>
      </c>
      <c r="G581" s="61">
        <v>3</v>
      </c>
      <c r="H581" s="16" t="s">
        <v>1263</v>
      </c>
      <c r="I581" s="48" t="s">
        <v>1016</v>
      </c>
      <c r="J581" s="16" t="s">
        <v>1281</v>
      </c>
      <c r="K581" s="62">
        <v>1.5</v>
      </c>
      <c r="L581" s="62">
        <v>1.5</v>
      </c>
      <c r="M581" s="62" t="s">
        <v>1036</v>
      </c>
      <c r="N581" s="62" t="s">
        <v>1058</v>
      </c>
      <c r="O581" s="63" t="str">
        <f t="shared" si="84"/>
        <v>NO</v>
      </c>
      <c r="P581" s="140"/>
      <c r="Q581" s="53">
        <f t="shared" si="76"/>
        <v>1.5</v>
      </c>
      <c r="R581" s="54">
        <f t="shared" si="77"/>
        <v>0.8</v>
      </c>
      <c r="S581" s="55" t="str">
        <f t="shared" si="78"/>
        <v xml:space="preserve"> </v>
      </c>
      <c r="T581" s="56"/>
      <c r="U581" s="57" t="str">
        <f t="shared" si="79"/>
        <v>Mitigation</v>
      </c>
      <c r="V581" s="58">
        <f t="shared" si="80"/>
        <v>0.8</v>
      </c>
      <c r="W581" s="58" t="str">
        <f t="shared" si="81"/>
        <v xml:space="preserve"> </v>
      </c>
      <c r="X581" s="59" t="str">
        <f t="shared" si="82"/>
        <v/>
      </c>
      <c r="Y581" s="60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16" t="s">
        <v>675</v>
      </c>
      <c r="AT581" s="64"/>
      <c r="AU581" s="64"/>
      <c r="AV581" s="64"/>
      <c r="AW581" s="64"/>
      <c r="AX581" s="64"/>
      <c r="AY581" s="64"/>
      <c r="AZ581" s="64"/>
      <c r="BA581" s="64"/>
      <c r="BB581" s="64"/>
      <c r="BC581" s="64"/>
      <c r="BD581" s="64"/>
      <c r="BE581" s="64"/>
      <c r="BF581" s="64"/>
      <c r="BG581" s="64"/>
      <c r="BH581" s="64"/>
      <c r="BI581" s="64"/>
      <c r="BJ581" s="64"/>
      <c r="BK581" s="64"/>
      <c r="BL581" s="64"/>
      <c r="BM581" s="64"/>
      <c r="BN581" s="64"/>
      <c r="BO581" s="64"/>
      <c r="BP581" s="64"/>
      <c r="BQ581" s="64"/>
      <c r="BR581" s="64"/>
      <c r="BS581" s="64"/>
      <c r="BT581" s="65"/>
    </row>
    <row r="582" spans="1:72" ht="18" hidden="1" customHeight="1" x14ac:dyDescent="0.3">
      <c r="A582" s="47" t="s">
        <v>2299</v>
      </c>
      <c r="B582" s="49" t="s">
        <v>2300</v>
      </c>
      <c r="C582" s="17" t="s">
        <v>2301</v>
      </c>
      <c r="D582" s="16" t="s">
        <v>1618</v>
      </c>
      <c r="E582" s="50">
        <v>65.5</v>
      </c>
      <c r="F582" s="50">
        <v>0</v>
      </c>
      <c r="G582" s="16">
        <v>2</v>
      </c>
      <c r="H582" s="68">
        <v>140</v>
      </c>
      <c r="I582" s="70" t="s">
        <v>2341</v>
      </c>
      <c r="J582" s="16" t="s">
        <v>2302</v>
      </c>
      <c r="K582" s="17">
        <v>60</v>
      </c>
      <c r="L582" s="17">
        <v>540</v>
      </c>
      <c r="M582" s="17" t="s">
        <v>1081</v>
      </c>
      <c r="N582" s="64"/>
      <c r="O582" s="63" t="str">
        <f t="shared" si="84"/>
        <v>YES</v>
      </c>
      <c r="P582" s="141"/>
      <c r="Q582" s="180">
        <f t="shared" si="76"/>
        <v>5000</v>
      </c>
      <c r="R582" s="54">
        <f t="shared" si="77"/>
        <v>3275</v>
      </c>
      <c r="S582" s="55" t="str">
        <f t="shared" si="78"/>
        <v xml:space="preserve"> </v>
      </c>
      <c r="T582" s="105"/>
      <c r="U582" s="57" t="str">
        <f t="shared" si="79"/>
        <v>100µg/100cm²</v>
      </c>
      <c r="V582" s="58">
        <f t="shared" si="80"/>
        <v>3275</v>
      </c>
      <c r="W582" s="57" t="str">
        <f t="shared" si="81"/>
        <v xml:space="preserve"> </v>
      </c>
      <c r="X582" s="59" t="str">
        <f t="shared" si="82"/>
        <v/>
      </c>
      <c r="Y582" s="106"/>
      <c r="Z582" s="16" t="s">
        <v>1987</v>
      </c>
      <c r="AA582" s="16" t="s">
        <v>1987</v>
      </c>
      <c r="AB582" s="16" t="s">
        <v>1987</v>
      </c>
      <c r="AC582" s="16" t="s">
        <v>1987</v>
      </c>
      <c r="AD582" s="16" t="s">
        <v>1987</v>
      </c>
      <c r="AE582" s="16" t="s">
        <v>1987</v>
      </c>
      <c r="AF582" s="16" t="s">
        <v>1987</v>
      </c>
      <c r="AG582" s="16" t="s">
        <v>1987</v>
      </c>
      <c r="AH582" s="16" t="s">
        <v>1987</v>
      </c>
      <c r="AI582" s="16" t="s">
        <v>1987</v>
      </c>
      <c r="AJ582" s="16" t="s">
        <v>1987</v>
      </c>
      <c r="AK582" s="16" t="s">
        <v>1987</v>
      </c>
      <c r="AL582" s="16" t="s">
        <v>1987</v>
      </c>
      <c r="AM582" s="16" t="s">
        <v>1987</v>
      </c>
      <c r="AN582" s="16" t="s">
        <v>1987</v>
      </c>
      <c r="AO582" s="16" t="s">
        <v>1987</v>
      </c>
      <c r="AP582" s="16" t="s">
        <v>1987</v>
      </c>
      <c r="AQ582" s="16" t="s">
        <v>1987</v>
      </c>
      <c r="AR582" s="16" t="s">
        <v>1987</v>
      </c>
      <c r="AS582" s="16" t="s">
        <v>1987</v>
      </c>
      <c r="AT582" s="16" t="s">
        <v>1987</v>
      </c>
      <c r="AU582" s="16" t="s">
        <v>1987</v>
      </c>
      <c r="AV582" s="16" t="s">
        <v>1987</v>
      </c>
      <c r="AW582" s="16" t="s">
        <v>1987</v>
      </c>
      <c r="AX582" s="16" t="s">
        <v>1987</v>
      </c>
      <c r="AY582" s="16" t="s">
        <v>1987</v>
      </c>
      <c r="AZ582" s="16" t="s">
        <v>1987</v>
      </c>
      <c r="BA582" s="16" t="s">
        <v>1987</v>
      </c>
      <c r="BB582" s="16" t="s">
        <v>1987</v>
      </c>
      <c r="BC582" s="16" t="s">
        <v>1987</v>
      </c>
      <c r="BD582" s="16" t="s">
        <v>1987</v>
      </c>
      <c r="BE582" s="16" t="s">
        <v>1987</v>
      </c>
      <c r="BF582" s="16" t="s">
        <v>1987</v>
      </c>
      <c r="BG582" s="16" t="s">
        <v>1987</v>
      </c>
      <c r="BH582" s="16" t="s">
        <v>1987</v>
      </c>
      <c r="BI582" s="16" t="s">
        <v>1987</v>
      </c>
      <c r="BJ582" s="16" t="s">
        <v>1987</v>
      </c>
      <c r="BK582" s="16" t="s">
        <v>1987</v>
      </c>
      <c r="BL582" s="16" t="s">
        <v>1987</v>
      </c>
      <c r="BM582" s="16" t="s">
        <v>1987</v>
      </c>
      <c r="BN582" s="16" t="s">
        <v>1987</v>
      </c>
      <c r="BO582" s="16" t="s">
        <v>1987</v>
      </c>
      <c r="BP582" s="16" t="s">
        <v>1987</v>
      </c>
      <c r="BQ582" s="16" t="s">
        <v>1987</v>
      </c>
      <c r="BR582" s="16" t="s">
        <v>1987</v>
      </c>
      <c r="BS582" s="16" t="s">
        <v>1987</v>
      </c>
      <c r="BT582" s="16" t="s">
        <v>1987</v>
      </c>
    </row>
    <row r="583" spans="1:72" ht="18" hidden="1" customHeight="1" x14ac:dyDescent="0.3">
      <c r="A583" s="81" t="s">
        <v>477</v>
      </c>
      <c r="B583" s="76" t="s">
        <v>459</v>
      </c>
      <c r="C583" s="16" t="s">
        <v>1499</v>
      </c>
      <c r="D583" s="16" t="s">
        <v>1496</v>
      </c>
      <c r="E583" s="50">
        <v>15</v>
      </c>
      <c r="F583" s="50">
        <v>0</v>
      </c>
      <c r="G583" s="16">
        <v>7</v>
      </c>
      <c r="H583" s="16" t="s">
        <v>1428</v>
      </c>
      <c r="I583" s="48" t="s">
        <v>1016</v>
      </c>
      <c r="J583" s="16" t="s">
        <v>2382</v>
      </c>
      <c r="K583" s="16">
        <v>50</v>
      </c>
      <c r="L583" s="16">
        <v>50</v>
      </c>
      <c r="M583" s="64"/>
      <c r="N583" s="64"/>
      <c r="O583" s="63" t="str">
        <f t="shared" si="84"/>
        <v>YES</v>
      </c>
      <c r="P583" s="140"/>
      <c r="Q583" s="53">
        <f t="shared" si="76"/>
        <v>5000</v>
      </c>
      <c r="R583" s="54">
        <f t="shared" si="77"/>
        <v>750</v>
      </c>
      <c r="S583" s="55" t="str">
        <f t="shared" si="78"/>
        <v xml:space="preserve"> </v>
      </c>
      <c r="T583" s="56"/>
      <c r="U583" s="57" t="str">
        <f t="shared" si="79"/>
        <v>100µg/100cm²</v>
      </c>
      <c r="V583" s="58">
        <f t="shared" si="80"/>
        <v>750</v>
      </c>
      <c r="W583" s="58" t="str">
        <f t="shared" si="81"/>
        <v xml:space="preserve"> </v>
      </c>
      <c r="X583" s="59" t="str">
        <f t="shared" si="82"/>
        <v/>
      </c>
      <c r="Y583" s="60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16" t="s">
        <v>675</v>
      </c>
      <c r="AT583" s="64"/>
      <c r="AU583" s="82"/>
      <c r="AV583" s="82"/>
      <c r="AW583" s="82"/>
      <c r="AX583" s="64"/>
      <c r="AY583" s="64"/>
      <c r="AZ583" s="64"/>
      <c r="BA583" s="64"/>
      <c r="BB583" s="64"/>
      <c r="BC583" s="64"/>
      <c r="BD583" s="64"/>
      <c r="BE583" s="64"/>
      <c r="BF583" s="64"/>
      <c r="BG583" s="64"/>
      <c r="BH583" s="64"/>
      <c r="BI583" s="64"/>
      <c r="BJ583" s="64"/>
      <c r="BK583" s="64"/>
      <c r="BL583" s="64"/>
      <c r="BM583" s="64"/>
      <c r="BN583" s="64"/>
      <c r="BO583" s="64"/>
      <c r="BP583" s="64"/>
      <c r="BQ583" s="64"/>
      <c r="BR583" s="64"/>
      <c r="BS583" s="64"/>
      <c r="BT583" s="65"/>
    </row>
    <row r="584" spans="1:72" ht="18" hidden="1" customHeight="1" x14ac:dyDescent="0.3">
      <c r="A584" s="66" t="s">
        <v>1569</v>
      </c>
      <c r="B584" s="69" t="s">
        <v>1568</v>
      </c>
      <c r="C584" s="16" t="s">
        <v>2202</v>
      </c>
      <c r="D584" s="16" t="s">
        <v>1243</v>
      </c>
      <c r="E584" s="50">
        <v>43.86</v>
      </c>
      <c r="F584" s="50">
        <v>0</v>
      </c>
      <c r="G584" s="16">
        <v>2</v>
      </c>
      <c r="H584" s="16">
        <v>300</v>
      </c>
      <c r="I584" s="16" t="s">
        <v>1016</v>
      </c>
      <c r="J584" s="16" t="s">
        <v>2386</v>
      </c>
      <c r="K584" s="16">
        <v>50</v>
      </c>
      <c r="L584" s="16">
        <v>50</v>
      </c>
      <c r="M584" s="64"/>
      <c r="N584" s="64"/>
      <c r="O584" s="63" t="str">
        <f t="shared" si="84"/>
        <v>YES</v>
      </c>
      <c r="P584" s="140"/>
      <c r="Q584" s="53">
        <f t="shared" ref="Q584:Q647" si="85">IF(K584="Pending","Pending",IF(AND(K584&lt;5000,O584="YES"),MIN(ROUNDDOWN(K584*25550/140,1),5000),IF(AND(K584&lt;5000,O584="NO"),K584,IF(K584&gt;=5000,5000))))</f>
        <v>5000</v>
      </c>
      <c r="R584" s="54">
        <f t="shared" ref="R584:R647" si="86">IF(Q584="Pending","Pending",IF(E584=0," ",ROUNDDOWN(Q584*E584/100,1)))</f>
        <v>2193</v>
      </c>
      <c r="S584" s="55" t="str">
        <f t="shared" ref="S584:S647" si="87">IF(Q584="Pending","Pending",IF(F584=0, " ",ROUNDDOWN(Q584*F584/100,1)))</f>
        <v xml:space="preserve"> </v>
      </c>
      <c r="T584" s="56"/>
      <c r="U584" s="57" t="str">
        <f t="shared" ref="U584:U647" si="88">IF(Q584="Pending","Pending",IF(R584= " ", " ", IF(R584&lt;20, "Mitigation", "100µg/100cm²")))</f>
        <v>100µg/100cm²</v>
      </c>
      <c r="V584" s="58">
        <f t="shared" ref="V584:V647" si="89">IF(R584=0, " ", R584)</f>
        <v>2193</v>
      </c>
      <c r="W584" s="58" t="str">
        <f t="shared" ref="W584:W647" si="90">IF(Q584="Pending","Pending",IF(S584= " ", " ", IF(S584&lt;20, "Mitigation", "100µg/100cm²")))</f>
        <v xml:space="preserve"> </v>
      </c>
      <c r="X584" s="59" t="str">
        <f t="shared" ref="X584:X647" si="91">IF(K584="","Pending",IF(AND(Q584=5000,G584&lt;4,SUM(E584,F584)=0),"Water criteria (conductivity)",IF(AND(Q584=5000,G584&gt;3,SUM(E584,F584)=0),"Mitigation",IF(AND(Q584&lt;5000,G584&gt;0,SUM(E584,F584)=0),"Mitigation",""))))</f>
        <v/>
      </c>
      <c r="Y584" s="60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16" t="s">
        <v>675</v>
      </c>
      <c r="AS584" s="64"/>
      <c r="AT584" s="64"/>
      <c r="AU584" s="64"/>
      <c r="AV584" s="64"/>
      <c r="AW584" s="64"/>
      <c r="AX584" s="64"/>
      <c r="AY584" s="64"/>
      <c r="AZ584" s="64"/>
      <c r="BA584" s="64"/>
      <c r="BB584" s="64"/>
      <c r="BC584" s="64"/>
      <c r="BD584" s="64"/>
      <c r="BE584" s="64"/>
      <c r="BF584" s="64"/>
      <c r="BG584" s="64"/>
      <c r="BH584" s="64"/>
      <c r="BI584" s="64"/>
      <c r="BJ584" s="64"/>
      <c r="BK584" s="64"/>
      <c r="BL584" s="64"/>
      <c r="BM584" s="64"/>
      <c r="BN584" s="64"/>
      <c r="BO584" s="64"/>
      <c r="BP584" s="64"/>
      <c r="BQ584" s="64"/>
      <c r="BR584" s="64"/>
      <c r="BS584" s="64"/>
      <c r="BT584" s="65"/>
    </row>
    <row r="585" spans="1:72" ht="18" hidden="1" customHeight="1" x14ac:dyDescent="0.3">
      <c r="A585" s="47" t="s">
        <v>78</v>
      </c>
      <c r="B585" s="48" t="s">
        <v>79</v>
      </c>
      <c r="C585" s="16" t="s">
        <v>2203</v>
      </c>
      <c r="D585" s="49" t="s">
        <v>1174</v>
      </c>
      <c r="E585" s="50">
        <v>54.26</v>
      </c>
      <c r="F585" s="50">
        <v>0</v>
      </c>
      <c r="G585" s="61">
        <v>7</v>
      </c>
      <c r="H585" s="16">
        <v>6.5000000000000002E-2</v>
      </c>
      <c r="I585" s="48" t="s">
        <v>1016</v>
      </c>
      <c r="J585" s="16" t="s">
        <v>2386</v>
      </c>
      <c r="K585" s="49">
        <v>50</v>
      </c>
      <c r="L585" s="49">
        <v>50</v>
      </c>
      <c r="M585" s="64"/>
      <c r="N585" s="64"/>
      <c r="O585" s="63" t="str">
        <f t="shared" si="84"/>
        <v>YES</v>
      </c>
      <c r="P585" s="140"/>
      <c r="Q585" s="53">
        <f t="shared" si="85"/>
        <v>5000</v>
      </c>
      <c r="R585" s="54">
        <f t="shared" si="86"/>
        <v>2713</v>
      </c>
      <c r="S585" s="55" t="str">
        <f t="shared" si="87"/>
        <v xml:space="preserve"> </v>
      </c>
      <c r="T585" s="56"/>
      <c r="U585" s="57" t="str">
        <f t="shared" si="88"/>
        <v>100µg/100cm²</v>
      </c>
      <c r="V585" s="58">
        <f t="shared" si="89"/>
        <v>2713</v>
      </c>
      <c r="W585" s="58" t="str">
        <f t="shared" si="90"/>
        <v xml:space="preserve"> </v>
      </c>
      <c r="X585" s="59" t="str">
        <f t="shared" si="91"/>
        <v/>
      </c>
      <c r="Y585" s="60"/>
      <c r="Z585" s="16" t="s">
        <v>675</v>
      </c>
      <c r="AA585" s="16" t="s">
        <v>675</v>
      </c>
      <c r="AB585" s="16" t="s">
        <v>675</v>
      </c>
      <c r="AC585" s="64"/>
      <c r="AD585" s="16" t="s">
        <v>675</v>
      </c>
      <c r="AE585" s="16" t="s">
        <v>675</v>
      </c>
      <c r="AF585" s="16" t="s">
        <v>675</v>
      </c>
      <c r="AG585" s="64"/>
      <c r="AH585" s="16" t="s">
        <v>675</v>
      </c>
      <c r="AI585" s="16" t="s">
        <v>675</v>
      </c>
      <c r="AJ585" s="64"/>
      <c r="AK585" s="16" t="s">
        <v>675</v>
      </c>
      <c r="AL585" s="16" t="s">
        <v>675</v>
      </c>
      <c r="AM585" s="16" t="s">
        <v>675</v>
      </c>
      <c r="AN585" s="16" t="s">
        <v>675</v>
      </c>
      <c r="AO585" s="64"/>
      <c r="AP585" s="16" t="s">
        <v>675</v>
      </c>
      <c r="AQ585" s="16" t="s">
        <v>675</v>
      </c>
      <c r="AR585" s="16" t="s">
        <v>675</v>
      </c>
      <c r="AS585" s="16" t="s">
        <v>675</v>
      </c>
      <c r="AT585" s="16" t="s">
        <v>675</v>
      </c>
      <c r="AU585" s="64"/>
      <c r="AV585" s="64"/>
      <c r="AW585" s="64"/>
      <c r="AX585" s="16" t="s">
        <v>675</v>
      </c>
      <c r="AY585" s="16" t="s">
        <v>675</v>
      </c>
      <c r="AZ585" s="16" t="s">
        <v>675</v>
      </c>
      <c r="BA585" s="16" t="s">
        <v>675</v>
      </c>
      <c r="BB585" s="16" t="s">
        <v>675</v>
      </c>
      <c r="BC585" s="16" t="s">
        <v>675</v>
      </c>
      <c r="BD585" s="64"/>
      <c r="BE585" s="16" t="s">
        <v>675</v>
      </c>
      <c r="BF585" s="64"/>
      <c r="BG585" s="16" t="s">
        <v>675</v>
      </c>
      <c r="BH585" s="64"/>
      <c r="BI585" s="64"/>
      <c r="BJ585" s="64"/>
      <c r="BK585" s="64"/>
      <c r="BL585" s="64"/>
      <c r="BM585" s="64"/>
      <c r="BN585" s="64"/>
      <c r="BO585" s="64"/>
      <c r="BP585" s="64"/>
      <c r="BQ585" s="64"/>
      <c r="BR585" s="64"/>
      <c r="BS585" s="16" t="s">
        <v>675</v>
      </c>
      <c r="BT585" s="65"/>
    </row>
    <row r="586" spans="1:72" ht="18" hidden="1" customHeight="1" x14ac:dyDescent="0.3">
      <c r="A586" s="66" t="s">
        <v>431</v>
      </c>
      <c r="B586" s="69" t="s">
        <v>432</v>
      </c>
      <c r="C586" s="49" t="s">
        <v>1459</v>
      </c>
      <c r="D586" s="49" t="s">
        <v>1397</v>
      </c>
      <c r="E586" s="50">
        <v>33.6</v>
      </c>
      <c r="F586" s="50">
        <v>0</v>
      </c>
      <c r="G586" s="16">
        <v>5</v>
      </c>
      <c r="H586" s="16">
        <v>10</v>
      </c>
      <c r="I586" s="48" t="s">
        <v>1016</v>
      </c>
      <c r="J586" s="17" t="s">
        <v>1988</v>
      </c>
      <c r="K586" s="16">
        <v>10</v>
      </c>
      <c r="L586" s="16" t="s">
        <v>1987</v>
      </c>
      <c r="M586" s="64"/>
      <c r="N586" s="16" t="s">
        <v>2321</v>
      </c>
      <c r="O586" s="63" t="str">
        <f t="shared" si="84"/>
        <v>NO</v>
      </c>
      <c r="P586" s="140"/>
      <c r="Q586" s="53">
        <f t="shared" si="85"/>
        <v>10</v>
      </c>
      <c r="R586" s="54">
        <f t="shared" si="86"/>
        <v>3.3</v>
      </c>
      <c r="S586" s="55" t="str">
        <f t="shared" si="87"/>
        <v xml:space="preserve"> </v>
      </c>
      <c r="T586" s="56"/>
      <c r="U586" s="57" t="str">
        <f t="shared" si="88"/>
        <v>Mitigation</v>
      </c>
      <c r="V586" s="58">
        <f t="shared" si="89"/>
        <v>3.3</v>
      </c>
      <c r="W586" s="58" t="str">
        <f t="shared" si="90"/>
        <v xml:space="preserve"> </v>
      </c>
      <c r="X586" s="59" t="str">
        <f t="shared" si="91"/>
        <v/>
      </c>
      <c r="Y586" s="60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16" t="s">
        <v>675</v>
      </c>
      <c r="AS586" s="64"/>
      <c r="AT586" s="64"/>
      <c r="AU586" s="64"/>
      <c r="AV586" s="64"/>
      <c r="AW586" s="64"/>
      <c r="AX586" s="64"/>
      <c r="AY586" s="64"/>
      <c r="AZ586" s="64"/>
      <c r="BA586" s="64"/>
      <c r="BB586" s="64"/>
      <c r="BC586" s="64"/>
      <c r="BD586" s="64"/>
      <c r="BE586" s="64"/>
      <c r="BF586" s="64"/>
      <c r="BG586" s="64"/>
      <c r="BH586" s="64"/>
      <c r="BI586" s="64"/>
      <c r="BJ586" s="64"/>
      <c r="BK586" s="64"/>
      <c r="BL586" s="64"/>
      <c r="BM586" s="64"/>
      <c r="BN586" s="64"/>
      <c r="BO586" s="64"/>
      <c r="BP586" s="64"/>
      <c r="BQ586" s="64"/>
      <c r="BR586" s="64"/>
      <c r="BS586" s="64"/>
      <c r="BT586" s="65"/>
    </row>
    <row r="587" spans="1:72" ht="18" hidden="1" customHeight="1" x14ac:dyDescent="0.3">
      <c r="A587" s="47" t="s">
        <v>208</v>
      </c>
      <c r="B587" s="48" t="s">
        <v>209</v>
      </c>
      <c r="C587" s="16" t="s">
        <v>2102</v>
      </c>
      <c r="D587" s="49" t="s">
        <v>1243</v>
      </c>
      <c r="E587" s="50">
        <v>40</v>
      </c>
      <c r="F587" s="50">
        <v>0</v>
      </c>
      <c r="G587" s="61">
        <v>2</v>
      </c>
      <c r="H587" s="16">
        <v>700</v>
      </c>
      <c r="I587" s="48" t="s">
        <v>1016</v>
      </c>
      <c r="J587" s="16" t="s">
        <v>2386</v>
      </c>
      <c r="K587" s="49">
        <v>50</v>
      </c>
      <c r="L587" s="49">
        <v>50</v>
      </c>
      <c r="M587" s="64"/>
      <c r="N587" s="64"/>
      <c r="O587" s="49" t="str">
        <f t="shared" si="84"/>
        <v>YES</v>
      </c>
      <c r="P587" s="140"/>
      <c r="Q587" s="53">
        <f t="shared" si="85"/>
        <v>5000</v>
      </c>
      <c r="R587" s="54">
        <f t="shared" si="86"/>
        <v>2000</v>
      </c>
      <c r="S587" s="55" t="str">
        <f t="shared" si="87"/>
        <v xml:space="preserve"> </v>
      </c>
      <c r="T587" s="56"/>
      <c r="U587" s="57" t="str">
        <f t="shared" si="88"/>
        <v>100µg/100cm²</v>
      </c>
      <c r="V587" s="58">
        <f t="shared" si="89"/>
        <v>2000</v>
      </c>
      <c r="W587" s="58" t="str">
        <f t="shared" si="90"/>
        <v xml:space="preserve"> </v>
      </c>
      <c r="X587" s="59" t="str">
        <f t="shared" si="91"/>
        <v/>
      </c>
      <c r="Y587" s="60"/>
      <c r="Z587" s="64"/>
      <c r="AA587" s="64"/>
      <c r="AB587" s="64"/>
      <c r="AC587" s="64"/>
      <c r="AD587" s="64"/>
      <c r="AE587" s="16" t="s">
        <v>675</v>
      </c>
      <c r="AF587" s="16" t="s">
        <v>675</v>
      </c>
      <c r="AG587" s="64"/>
      <c r="AH587" s="64"/>
      <c r="AI587" s="16" t="s">
        <v>675</v>
      </c>
      <c r="AJ587" s="64"/>
      <c r="AK587" s="64"/>
      <c r="AL587" s="64"/>
      <c r="AM587" s="16" t="s">
        <v>675</v>
      </c>
      <c r="AN587" s="16" t="s">
        <v>675</v>
      </c>
      <c r="AO587" s="64"/>
      <c r="AP587" s="16" t="s">
        <v>675</v>
      </c>
      <c r="AQ587" s="64"/>
      <c r="AR587" s="64"/>
      <c r="AS587" s="16" t="s">
        <v>675</v>
      </c>
      <c r="AT587" s="16" t="s">
        <v>675</v>
      </c>
      <c r="AU587" s="64"/>
      <c r="AV587" s="64"/>
      <c r="AW587" s="64"/>
      <c r="AX587" s="16" t="s">
        <v>675</v>
      </c>
      <c r="AY587" s="64"/>
      <c r="AZ587" s="64"/>
      <c r="BA587" s="64"/>
      <c r="BB587" s="64"/>
      <c r="BC587" s="64"/>
      <c r="BD587" s="64"/>
      <c r="BE587" s="64"/>
      <c r="BF587" s="64"/>
      <c r="BG587" s="16" t="s">
        <v>675</v>
      </c>
      <c r="BH587" s="64"/>
      <c r="BI587" s="64"/>
      <c r="BJ587" s="64"/>
      <c r="BK587" s="64"/>
      <c r="BL587" s="64"/>
      <c r="BM587" s="64"/>
      <c r="BN587" s="64"/>
      <c r="BO587" s="64"/>
      <c r="BP587" s="64"/>
      <c r="BQ587" s="64"/>
      <c r="BR587" s="64"/>
      <c r="BS587" s="16" t="s">
        <v>675</v>
      </c>
      <c r="BT587" s="65"/>
    </row>
    <row r="588" spans="1:72" ht="18" hidden="1" customHeight="1" x14ac:dyDescent="0.3">
      <c r="A588" s="107" t="s">
        <v>1939</v>
      </c>
      <c r="B588" s="87" t="s">
        <v>1938</v>
      </c>
      <c r="C588" s="87" t="s">
        <v>1978</v>
      </c>
      <c r="D588" s="16" t="s">
        <v>1491</v>
      </c>
      <c r="E588" s="50">
        <v>50</v>
      </c>
      <c r="F588" s="50">
        <v>0</v>
      </c>
      <c r="G588" s="16">
        <v>3</v>
      </c>
      <c r="H588" s="16" t="s">
        <v>1887</v>
      </c>
      <c r="I588" s="16" t="s">
        <v>1016</v>
      </c>
      <c r="J588" s="16" t="s">
        <v>2382</v>
      </c>
      <c r="K588" s="16">
        <v>50</v>
      </c>
      <c r="L588" s="16">
        <v>50</v>
      </c>
      <c r="M588" s="64"/>
      <c r="N588" s="64"/>
      <c r="O588" s="49" t="str">
        <f t="shared" si="84"/>
        <v>YES</v>
      </c>
      <c r="P588" s="141"/>
      <c r="Q588" s="53">
        <f t="shared" si="85"/>
        <v>5000</v>
      </c>
      <c r="R588" s="54">
        <f t="shared" si="86"/>
        <v>2500</v>
      </c>
      <c r="S588" s="55" t="str">
        <f t="shared" si="87"/>
        <v xml:space="preserve"> </v>
      </c>
      <c r="T588" s="105"/>
      <c r="U588" s="57" t="str">
        <f t="shared" si="88"/>
        <v>100µg/100cm²</v>
      </c>
      <c r="V588" s="58">
        <f t="shared" si="89"/>
        <v>2500</v>
      </c>
      <c r="W588" s="58" t="str">
        <f t="shared" si="90"/>
        <v xml:space="preserve"> </v>
      </c>
      <c r="X588" s="59" t="str">
        <f t="shared" si="91"/>
        <v/>
      </c>
      <c r="Y588" s="106"/>
      <c r="Z588" s="16" t="s">
        <v>1987</v>
      </c>
      <c r="AA588" s="16" t="s">
        <v>1987</v>
      </c>
      <c r="AB588" s="16" t="s">
        <v>1987</v>
      </c>
      <c r="AC588" s="16" t="s">
        <v>1987</v>
      </c>
      <c r="AD588" s="16" t="s">
        <v>1987</v>
      </c>
      <c r="AE588" s="16" t="s">
        <v>1987</v>
      </c>
      <c r="AF588" s="16" t="s">
        <v>1987</v>
      </c>
      <c r="AG588" s="16" t="s">
        <v>1987</v>
      </c>
      <c r="AH588" s="16" t="s">
        <v>1987</v>
      </c>
      <c r="AI588" s="16" t="s">
        <v>1987</v>
      </c>
      <c r="AJ588" s="16" t="s">
        <v>1987</v>
      </c>
      <c r="AK588" s="16" t="s">
        <v>1987</v>
      </c>
      <c r="AL588" s="16" t="s">
        <v>1987</v>
      </c>
      <c r="AM588" s="16" t="s">
        <v>1987</v>
      </c>
      <c r="AN588" s="16" t="s">
        <v>1987</v>
      </c>
      <c r="AO588" s="16" t="s">
        <v>1987</v>
      </c>
      <c r="AP588" s="16" t="s">
        <v>1987</v>
      </c>
      <c r="AQ588" s="16" t="s">
        <v>1987</v>
      </c>
      <c r="AR588" s="16" t="s">
        <v>1987</v>
      </c>
      <c r="AS588" s="16" t="s">
        <v>1987</v>
      </c>
      <c r="AT588" s="16" t="s">
        <v>1987</v>
      </c>
      <c r="AU588" s="16" t="s">
        <v>1987</v>
      </c>
      <c r="AV588" s="16" t="s">
        <v>1987</v>
      </c>
      <c r="AW588" s="16" t="s">
        <v>1987</v>
      </c>
      <c r="AX588" s="16" t="s">
        <v>1987</v>
      </c>
      <c r="AY588" s="16" t="s">
        <v>1987</v>
      </c>
      <c r="AZ588" s="16" t="s">
        <v>1987</v>
      </c>
      <c r="BA588" s="16" t="s">
        <v>1987</v>
      </c>
      <c r="BB588" s="16" t="s">
        <v>1987</v>
      </c>
      <c r="BC588" s="16" t="s">
        <v>1987</v>
      </c>
      <c r="BD588" s="16" t="s">
        <v>1987</v>
      </c>
      <c r="BE588" s="16" t="s">
        <v>1987</v>
      </c>
      <c r="BF588" s="16" t="s">
        <v>1987</v>
      </c>
      <c r="BG588" s="16" t="s">
        <v>1987</v>
      </c>
      <c r="BH588" s="16" t="s">
        <v>1987</v>
      </c>
      <c r="BI588" s="16" t="s">
        <v>1987</v>
      </c>
      <c r="BJ588" s="16" t="s">
        <v>1987</v>
      </c>
      <c r="BK588" s="16" t="s">
        <v>1987</v>
      </c>
      <c r="BL588" s="16" t="s">
        <v>1987</v>
      </c>
      <c r="BM588" s="16" t="s">
        <v>1987</v>
      </c>
      <c r="BN588" s="16" t="s">
        <v>1987</v>
      </c>
      <c r="BO588" s="16" t="s">
        <v>1987</v>
      </c>
      <c r="BP588" s="16" t="s">
        <v>1987</v>
      </c>
      <c r="BQ588" s="16" t="s">
        <v>1987</v>
      </c>
      <c r="BR588" s="16" t="s">
        <v>1987</v>
      </c>
      <c r="BS588" s="16" t="s">
        <v>1987</v>
      </c>
      <c r="BT588" s="16" t="s">
        <v>1987</v>
      </c>
    </row>
    <row r="589" spans="1:72" ht="18" hidden="1" customHeight="1" x14ac:dyDescent="0.3">
      <c r="A589" s="107" t="s">
        <v>1890</v>
      </c>
      <c r="B589" s="87" t="s">
        <v>1937</v>
      </c>
      <c r="C589" s="87" t="s">
        <v>1604</v>
      </c>
      <c r="D589" s="16" t="s">
        <v>438</v>
      </c>
      <c r="E589" s="50">
        <v>50</v>
      </c>
      <c r="F589" s="50">
        <v>0</v>
      </c>
      <c r="G589" s="16">
        <v>3</v>
      </c>
      <c r="H589" s="16" t="s">
        <v>1887</v>
      </c>
      <c r="I589" s="16" t="s">
        <v>1016</v>
      </c>
      <c r="J589" s="16" t="s">
        <v>2382</v>
      </c>
      <c r="K589" s="16">
        <v>50</v>
      </c>
      <c r="L589" s="16">
        <v>50</v>
      </c>
      <c r="M589" s="64"/>
      <c r="N589" s="64"/>
      <c r="O589" s="49" t="str">
        <f t="shared" si="84"/>
        <v>YES</v>
      </c>
      <c r="P589" s="141"/>
      <c r="Q589" s="53">
        <f t="shared" si="85"/>
        <v>5000</v>
      </c>
      <c r="R589" s="54">
        <f t="shared" si="86"/>
        <v>2500</v>
      </c>
      <c r="S589" s="55" t="str">
        <f t="shared" si="87"/>
        <v xml:space="preserve"> </v>
      </c>
      <c r="T589" s="105"/>
      <c r="U589" s="57" t="str">
        <f t="shared" si="88"/>
        <v>100µg/100cm²</v>
      </c>
      <c r="V589" s="58">
        <f t="shared" si="89"/>
        <v>2500</v>
      </c>
      <c r="W589" s="58" t="str">
        <f t="shared" si="90"/>
        <v xml:space="preserve"> </v>
      </c>
      <c r="X589" s="59" t="str">
        <f t="shared" si="91"/>
        <v/>
      </c>
      <c r="Y589" s="106"/>
      <c r="Z589" s="16" t="s">
        <v>1987</v>
      </c>
      <c r="AA589" s="16" t="s">
        <v>1987</v>
      </c>
      <c r="AB589" s="16" t="s">
        <v>1987</v>
      </c>
      <c r="AC589" s="16" t="s">
        <v>1987</v>
      </c>
      <c r="AD589" s="16" t="s">
        <v>1987</v>
      </c>
      <c r="AE589" s="16" t="s">
        <v>1987</v>
      </c>
      <c r="AF589" s="16" t="s">
        <v>1987</v>
      </c>
      <c r="AG589" s="16" t="s">
        <v>1987</v>
      </c>
      <c r="AH589" s="16" t="s">
        <v>1987</v>
      </c>
      <c r="AI589" s="16" t="s">
        <v>1987</v>
      </c>
      <c r="AJ589" s="16" t="s">
        <v>1987</v>
      </c>
      <c r="AK589" s="16" t="s">
        <v>1987</v>
      </c>
      <c r="AL589" s="16" t="s">
        <v>1987</v>
      </c>
      <c r="AM589" s="16" t="s">
        <v>1987</v>
      </c>
      <c r="AN589" s="16" t="s">
        <v>1987</v>
      </c>
      <c r="AO589" s="16" t="s">
        <v>1987</v>
      </c>
      <c r="AP589" s="16" t="s">
        <v>1987</v>
      </c>
      <c r="AQ589" s="16" t="s">
        <v>1987</v>
      </c>
      <c r="AR589" s="16" t="s">
        <v>1987</v>
      </c>
      <c r="AS589" s="16" t="s">
        <v>1987</v>
      </c>
      <c r="AT589" s="16" t="s">
        <v>1987</v>
      </c>
      <c r="AU589" s="16" t="s">
        <v>1987</v>
      </c>
      <c r="AV589" s="16" t="s">
        <v>1987</v>
      </c>
      <c r="AW589" s="16" t="s">
        <v>1987</v>
      </c>
      <c r="AX589" s="16" t="s">
        <v>1987</v>
      </c>
      <c r="AY589" s="16" t="s">
        <v>1987</v>
      </c>
      <c r="AZ589" s="16" t="s">
        <v>1987</v>
      </c>
      <c r="BA589" s="16" t="s">
        <v>1987</v>
      </c>
      <c r="BB589" s="16" t="s">
        <v>1987</v>
      </c>
      <c r="BC589" s="16" t="s">
        <v>1987</v>
      </c>
      <c r="BD589" s="16" t="s">
        <v>1987</v>
      </c>
      <c r="BE589" s="16" t="s">
        <v>1987</v>
      </c>
      <c r="BF589" s="16" t="s">
        <v>1987</v>
      </c>
      <c r="BG589" s="16" t="s">
        <v>1987</v>
      </c>
      <c r="BH589" s="16" t="s">
        <v>1987</v>
      </c>
      <c r="BI589" s="16" t="s">
        <v>1987</v>
      </c>
      <c r="BJ589" s="16" t="s">
        <v>1987</v>
      </c>
      <c r="BK589" s="16" t="s">
        <v>1987</v>
      </c>
      <c r="BL589" s="16" t="s">
        <v>1987</v>
      </c>
      <c r="BM589" s="16" t="s">
        <v>1987</v>
      </c>
      <c r="BN589" s="16" t="s">
        <v>1987</v>
      </c>
      <c r="BO589" s="16" t="s">
        <v>1987</v>
      </c>
      <c r="BP589" s="16" t="s">
        <v>1987</v>
      </c>
      <c r="BQ589" s="16" t="s">
        <v>1987</v>
      </c>
      <c r="BR589" s="16" t="s">
        <v>1987</v>
      </c>
      <c r="BS589" s="16" t="s">
        <v>1987</v>
      </c>
      <c r="BT589" s="16" t="s">
        <v>1987</v>
      </c>
    </row>
    <row r="590" spans="1:72" ht="18" hidden="1" customHeight="1" x14ac:dyDescent="0.3">
      <c r="A590" s="81" t="s">
        <v>279</v>
      </c>
      <c r="B590" s="76" t="s">
        <v>459</v>
      </c>
      <c r="C590" s="16" t="s">
        <v>1499</v>
      </c>
      <c r="D590" s="16" t="s">
        <v>1483</v>
      </c>
      <c r="E590" s="50">
        <v>50</v>
      </c>
      <c r="F590" s="50">
        <v>0</v>
      </c>
      <c r="G590" s="16">
        <v>1</v>
      </c>
      <c r="H590" s="16" t="s">
        <v>1023</v>
      </c>
      <c r="I590" s="16" t="s">
        <v>1016</v>
      </c>
      <c r="J590" s="16" t="s">
        <v>2382</v>
      </c>
      <c r="K590" s="16">
        <v>50</v>
      </c>
      <c r="L590" s="16">
        <v>50</v>
      </c>
      <c r="M590" s="64"/>
      <c r="N590" s="64"/>
      <c r="O590" s="49" t="str">
        <f t="shared" si="84"/>
        <v>YES</v>
      </c>
      <c r="P590" s="140"/>
      <c r="Q590" s="53">
        <f t="shared" si="85"/>
        <v>5000</v>
      </c>
      <c r="R590" s="54">
        <f t="shared" si="86"/>
        <v>2500</v>
      </c>
      <c r="S590" s="55" t="str">
        <f t="shared" si="87"/>
        <v xml:space="preserve"> </v>
      </c>
      <c r="T590" s="56"/>
      <c r="U590" s="57" t="str">
        <f t="shared" si="88"/>
        <v>100µg/100cm²</v>
      </c>
      <c r="V590" s="58">
        <f t="shared" si="89"/>
        <v>2500</v>
      </c>
      <c r="W590" s="58" t="str">
        <f t="shared" si="90"/>
        <v xml:space="preserve"> </v>
      </c>
      <c r="X590" s="59" t="str">
        <f t="shared" si="91"/>
        <v/>
      </c>
      <c r="Y590" s="60"/>
      <c r="Z590" s="64"/>
      <c r="AA590" s="64"/>
      <c r="AB590" s="64"/>
      <c r="AC590" s="64"/>
      <c r="AD590" s="64"/>
      <c r="AE590" s="64"/>
      <c r="AF590" s="16" t="s">
        <v>675</v>
      </c>
      <c r="AG590" s="16" t="s">
        <v>675</v>
      </c>
      <c r="AH590" s="16" t="s">
        <v>675</v>
      </c>
      <c r="AI590" s="64"/>
      <c r="AJ590" s="64"/>
      <c r="AK590" s="16" t="s">
        <v>675</v>
      </c>
      <c r="AL590" s="64"/>
      <c r="AM590" s="16" t="s">
        <v>675</v>
      </c>
      <c r="AN590" s="64"/>
      <c r="AO590" s="64"/>
      <c r="AP590" s="64"/>
      <c r="AQ590" s="64"/>
      <c r="AR590" s="64"/>
      <c r="AS590" s="64"/>
      <c r="AT590" s="64"/>
      <c r="AU590" s="82"/>
      <c r="AV590" s="82"/>
      <c r="AW590" s="82"/>
      <c r="AX590" s="64"/>
      <c r="AY590" s="64"/>
      <c r="AZ590" s="64"/>
      <c r="BA590" s="64"/>
      <c r="BB590" s="64"/>
      <c r="BC590" s="64"/>
      <c r="BD590" s="16" t="s">
        <v>675</v>
      </c>
      <c r="BE590" s="64"/>
      <c r="BF590" s="64"/>
      <c r="BG590" s="64"/>
      <c r="BH590" s="64"/>
      <c r="BI590" s="64"/>
      <c r="BJ590" s="64"/>
      <c r="BK590" s="64"/>
      <c r="BL590" s="64"/>
      <c r="BM590" s="64"/>
      <c r="BN590" s="64"/>
      <c r="BO590" s="64"/>
      <c r="BP590" s="64"/>
      <c r="BQ590" s="64"/>
      <c r="BR590" s="64"/>
      <c r="BS590" s="64"/>
      <c r="BT590" s="65"/>
    </row>
    <row r="591" spans="1:72" ht="18" hidden="1" customHeight="1" x14ac:dyDescent="0.3">
      <c r="A591" s="81" t="s">
        <v>280</v>
      </c>
      <c r="B591" s="76" t="s">
        <v>459</v>
      </c>
      <c r="C591" s="16" t="s">
        <v>1502</v>
      </c>
      <c r="D591" s="16" t="s">
        <v>1484</v>
      </c>
      <c r="E591" s="50">
        <v>50</v>
      </c>
      <c r="F591" s="50">
        <v>0</v>
      </c>
      <c r="G591" s="16">
        <v>1</v>
      </c>
      <c r="H591" s="16" t="s">
        <v>1023</v>
      </c>
      <c r="I591" s="16" t="s">
        <v>1016</v>
      </c>
      <c r="J591" s="16" t="s">
        <v>2382</v>
      </c>
      <c r="K591" s="16">
        <v>50</v>
      </c>
      <c r="L591" s="16">
        <v>50</v>
      </c>
      <c r="M591" s="64"/>
      <c r="N591" s="64"/>
      <c r="O591" s="49" t="str">
        <f t="shared" si="84"/>
        <v>YES</v>
      </c>
      <c r="P591" s="52"/>
      <c r="Q591" s="53">
        <f t="shared" si="85"/>
        <v>5000</v>
      </c>
      <c r="R591" s="54">
        <f t="shared" si="86"/>
        <v>2500</v>
      </c>
      <c r="S591" s="55" t="str">
        <f t="shared" si="87"/>
        <v xml:space="preserve"> </v>
      </c>
      <c r="T591" s="56"/>
      <c r="U591" s="57" t="str">
        <f t="shared" si="88"/>
        <v>100µg/100cm²</v>
      </c>
      <c r="V591" s="58">
        <f t="shared" si="89"/>
        <v>2500</v>
      </c>
      <c r="W591" s="58" t="str">
        <f t="shared" si="90"/>
        <v xml:space="preserve"> </v>
      </c>
      <c r="X591" s="59" t="str">
        <f t="shared" si="91"/>
        <v/>
      </c>
      <c r="Y591" s="60"/>
      <c r="Z591" s="64"/>
      <c r="AA591" s="64"/>
      <c r="AB591" s="64"/>
      <c r="AC591" s="64"/>
      <c r="AD591" s="64"/>
      <c r="AE591" s="64"/>
      <c r="AF591" s="16" t="s">
        <v>675</v>
      </c>
      <c r="AG591" s="16" t="s">
        <v>675</v>
      </c>
      <c r="AH591" s="64"/>
      <c r="AI591" s="64"/>
      <c r="AJ591" s="64"/>
      <c r="AK591" s="64"/>
      <c r="AL591" s="64"/>
      <c r="AM591" s="16" t="s">
        <v>675</v>
      </c>
      <c r="AN591" s="64"/>
      <c r="AO591" s="64"/>
      <c r="AP591" s="64"/>
      <c r="AQ591" s="64"/>
      <c r="AR591" s="64"/>
      <c r="AS591" s="64"/>
      <c r="AT591" s="64"/>
      <c r="AU591" s="82"/>
      <c r="AV591" s="82"/>
      <c r="AW591" s="82"/>
      <c r="AX591" s="64"/>
      <c r="AY591" s="64"/>
      <c r="AZ591" s="64"/>
      <c r="BA591" s="64"/>
      <c r="BB591" s="64"/>
      <c r="BC591" s="64"/>
      <c r="BD591" s="64"/>
      <c r="BE591" s="64"/>
      <c r="BF591" s="64"/>
      <c r="BG591" s="64"/>
      <c r="BH591" s="64"/>
      <c r="BI591" s="64"/>
      <c r="BJ591" s="64"/>
      <c r="BK591" s="64"/>
      <c r="BL591" s="64"/>
      <c r="BM591" s="64"/>
      <c r="BN591" s="64"/>
      <c r="BO591" s="64"/>
      <c r="BP591" s="64"/>
      <c r="BQ591" s="64"/>
      <c r="BR591" s="64"/>
      <c r="BS591" s="64"/>
      <c r="BT591" s="65"/>
    </row>
    <row r="592" spans="1:72" ht="18" customHeight="1" x14ac:dyDescent="0.3">
      <c r="A592" s="47" t="s">
        <v>2303</v>
      </c>
      <c r="B592" s="49" t="s">
        <v>2304</v>
      </c>
      <c r="C592" s="49" t="s">
        <v>2305</v>
      </c>
      <c r="D592" s="67" t="s">
        <v>1114</v>
      </c>
      <c r="E592" s="50">
        <v>0</v>
      </c>
      <c r="F592" s="50">
        <v>0</v>
      </c>
      <c r="G592" s="16">
        <v>2</v>
      </c>
      <c r="H592" s="16">
        <v>910</v>
      </c>
      <c r="I592" s="70" t="s">
        <v>2341</v>
      </c>
      <c r="J592" s="16" t="s">
        <v>2306</v>
      </c>
      <c r="K592" s="49">
        <v>1.5</v>
      </c>
      <c r="L592" s="49">
        <v>1.5</v>
      </c>
      <c r="M592" s="49" t="s">
        <v>1036</v>
      </c>
      <c r="N592" s="64"/>
      <c r="O592" s="49" t="str">
        <f t="shared" si="84"/>
        <v>YES</v>
      </c>
      <c r="P592" s="73"/>
      <c r="Q592" s="53">
        <f t="shared" si="85"/>
        <v>273.7</v>
      </c>
      <c r="R592" s="54" t="str">
        <f t="shared" si="86"/>
        <v xml:space="preserve"> </v>
      </c>
      <c r="S592" s="55" t="str">
        <f t="shared" si="87"/>
        <v xml:space="preserve"> </v>
      </c>
      <c r="T592" s="105"/>
      <c r="U592" s="57" t="str">
        <f t="shared" si="88"/>
        <v xml:space="preserve"> </v>
      </c>
      <c r="V592" s="58" t="str">
        <f t="shared" si="89"/>
        <v xml:space="preserve"> </v>
      </c>
      <c r="W592" s="57" t="str">
        <f t="shared" si="90"/>
        <v xml:space="preserve"> </v>
      </c>
      <c r="X592" s="59" t="str">
        <f t="shared" si="91"/>
        <v>Mitigation</v>
      </c>
      <c r="Y592" s="106"/>
      <c r="Z592" s="16" t="s">
        <v>1987</v>
      </c>
      <c r="AA592" s="16" t="s">
        <v>1987</v>
      </c>
      <c r="AB592" s="16" t="s">
        <v>1987</v>
      </c>
      <c r="AC592" s="16" t="s">
        <v>1987</v>
      </c>
      <c r="AD592" s="16" t="s">
        <v>1987</v>
      </c>
      <c r="AE592" s="16" t="s">
        <v>1987</v>
      </c>
      <c r="AF592" s="16" t="s">
        <v>1987</v>
      </c>
      <c r="AG592" s="16" t="s">
        <v>1987</v>
      </c>
      <c r="AH592" s="16" t="s">
        <v>1987</v>
      </c>
      <c r="AI592" s="16" t="s">
        <v>1987</v>
      </c>
      <c r="AJ592" s="16" t="s">
        <v>1987</v>
      </c>
      <c r="AK592" s="16" t="s">
        <v>1987</v>
      </c>
      <c r="AL592" s="16" t="s">
        <v>1987</v>
      </c>
      <c r="AM592" s="16" t="s">
        <v>1987</v>
      </c>
      <c r="AN592" s="16" t="s">
        <v>1987</v>
      </c>
      <c r="AO592" s="16" t="s">
        <v>1987</v>
      </c>
      <c r="AP592" s="16" t="s">
        <v>1987</v>
      </c>
      <c r="AQ592" s="16" t="s">
        <v>1987</v>
      </c>
      <c r="AR592" s="16" t="s">
        <v>1987</v>
      </c>
      <c r="AS592" s="16" t="s">
        <v>1987</v>
      </c>
      <c r="AT592" s="16" t="s">
        <v>1987</v>
      </c>
      <c r="AU592" s="16" t="s">
        <v>1987</v>
      </c>
      <c r="AV592" s="16" t="s">
        <v>1987</v>
      </c>
      <c r="AW592" s="16" t="s">
        <v>1987</v>
      </c>
      <c r="AX592" s="16" t="s">
        <v>1987</v>
      </c>
      <c r="AY592" s="16" t="s">
        <v>1987</v>
      </c>
      <c r="AZ592" s="16" t="s">
        <v>1987</v>
      </c>
      <c r="BA592" s="16" t="s">
        <v>1987</v>
      </c>
      <c r="BB592" s="16" t="s">
        <v>1987</v>
      </c>
      <c r="BC592" s="16" t="s">
        <v>1987</v>
      </c>
      <c r="BD592" s="16" t="s">
        <v>1987</v>
      </c>
      <c r="BE592" s="16" t="s">
        <v>1987</v>
      </c>
      <c r="BF592" s="16" t="s">
        <v>1987</v>
      </c>
      <c r="BG592" s="16" t="s">
        <v>1987</v>
      </c>
      <c r="BH592" s="16" t="s">
        <v>1987</v>
      </c>
      <c r="BI592" s="16" t="s">
        <v>1987</v>
      </c>
      <c r="BJ592" s="16" t="s">
        <v>1987</v>
      </c>
      <c r="BK592" s="16" t="s">
        <v>1987</v>
      </c>
      <c r="BL592" s="16" t="s">
        <v>1987</v>
      </c>
      <c r="BM592" s="16" t="s">
        <v>1987</v>
      </c>
      <c r="BN592" s="16" t="s">
        <v>1987</v>
      </c>
      <c r="BO592" s="16" t="s">
        <v>1987</v>
      </c>
      <c r="BP592" s="16" t="s">
        <v>1987</v>
      </c>
      <c r="BQ592" s="16" t="s">
        <v>1987</v>
      </c>
      <c r="BR592" s="16" t="s">
        <v>1987</v>
      </c>
      <c r="BS592" s="16" t="s">
        <v>1987</v>
      </c>
      <c r="BT592" s="16" t="s">
        <v>1987</v>
      </c>
    </row>
    <row r="593" spans="1:72" ht="18" hidden="1" customHeight="1" x14ac:dyDescent="0.3">
      <c r="A593" s="81" t="s">
        <v>954</v>
      </c>
      <c r="B593" s="76" t="s">
        <v>459</v>
      </c>
      <c r="C593" s="16" t="s">
        <v>1499</v>
      </c>
      <c r="D593" s="16" t="s">
        <v>1496</v>
      </c>
      <c r="E593" s="50">
        <v>15</v>
      </c>
      <c r="F593" s="50">
        <v>0</v>
      </c>
      <c r="G593" s="16">
        <v>7</v>
      </c>
      <c r="H593" s="16" t="s">
        <v>1428</v>
      </c>
      <c r="I593" s="48" t="s">
        <v>1016</v>
      </c>
      <c r="J593" s="16" t="s">
        <v>2382</v>
      </c>
      <c r="K593" s="16">
        <v>50</v>
      </c>
      <c r="L593" s="16">
        <v>50</v>
      </c>
      <c r="M593" s="64"/>
      <c r="N593" s="64"/>
      <c r="O593" s="49" t="str">
        <f t="shared" si="84"/>
        <v>YES</v>
      </c>
      <c r="P593" s="52"/>
      <c r="Q593" s="53">
        <f t="shared" si="85"/>
        <v>5000</v>
      </c>
      <c r="R593" s="54">
        <f t="shared" si="86"/>
        <v>750</v>
      </c>
      <c r="S593" s="55" t="str">
        <f t="shared" si="87"/>
        <v xml:space="preserve"> </v>
      </c>
      <c r="T593" s="56"/>
      <c r="U593" s="57" t="str">
        <f t="shared" si="88"/>
        <v>100µg/100cm²</v>
      </c>
      <c r="V593" s="58">
        <f t="shared" si="89"/>
        <v>750</v>
      </c>
      <c r="W593" s="58" t="str">
        <f t="shared" si="90"/>
        <v xml:space="preserve"> </v>
      </c>
      <c r="X593" s="59" t="str">
        <f t="shared" si="91"/>
        <v/>
      </c>
      <c r="Y593" s="60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16" t="s">
        <v>675</v>
      </c>
      <c r="AS593" s="64"/>
      <c r="AT593" s="64"/>
      <c r="AU593" s="82"/>
      <c r="AV593" s="82"/>
      <c r="AW593" s="82"/>
      <c r="AX593" s="64"/>
      <c r="AY593" s="64"/>
      <c r="AZ593" s="64"/>
      <c r="BA593" s="64"/>
      <c r="BB593" s="64"/>
      <c r="BC593" s="64"/>
      <c r="BD593" s="64"/>
      <c r="BE593" s="64"/>
      <c r="BF593" s="64"/>
      <c r="BG593" s="64"/>
      <c r="BH593" s="64"/>
      <c r="BI593" s="64"/>
      <c r="BJ593" s="64"/>
      <c r="BK593" s="64"/>
      <c r="BL593" s="64"/>
      <c r="BM593" s="64"/>
      <c r="BN593" s="64"/>
      <c r="BO593" s="64"/>
      <c r="BP593" s="64"/>
      <c r="BQ593" s="64"/>
      <c r="BR593" s="64"/>
      <c r="BS593" s="64"/>
      <c r="BT593" s="65"/>
    </row>
    <row r="594" spans="1:72" ht="18" hidden="1" customHeight="1" x14ac:dyDescent="0.3">
      <c r="A594" s="81" t="s">
        <v>281</v>
      </c>
      <c r="B594" s="76" t="s">
        <v>459</v>
      </c>
      <c r="C594" s="16" t="s">
        <v>1501</v>
      </c>
      <c r="D594" s="16" t="s">
        <v>1490</v>
      </c>
      <c r="E594" s="50">
        <v>50</v>
      </c>
      <c r="F594" s="50">
        <v>0</v>
      </c>
      <c r="G594" s="16">
        <v>1</v>
      </c>
      <c r="H594" s="16" t="s">
        <v>1023</v>
      </c>
      <c r="I594" s="16" t="s">
        <v>1016</v>
      </c>
      <c r="J594" s="16" t="s">
        <v>2382</v>
      </c>
      <c r="K594" s="16">
        <v>50</v>
      </c>
      <c r="L594" s="16">
        <v>50</v>
      </c>
      <c r="M594" s="64"/>
      <c r="N594" s="64"/>
      <c r="O594" s="49" t="str">
        <f t="shared" si="84"/>
        <v>YES</v>
      </c>
      <c r="P594" s="52"/>
      <c r="Q594" s="53">
        <f t="shared" si="85"/>
        <v>5000</v>
      </c>
      <c r="R594" s="54">
        <f t="shared" si="86"/>
        <v>2500</v>
      </c>
      <c r="S594" s="55" t="str">
        <f t="shared" si="87"/>
        <v xml:space="preserve"> </v>
      </c>
      <c r="T594" s="56"/>
      <c r="U594" s="57" t="str">
        <f t="shared" si="88"/>
        <v>100µg/100cm²</v>
      </c>
      <c r="V594" s="58">
        <f t="shared" si="89"/>
        <v>2500</v>
      </c>
      <c r="W594" s="58" t="str">
        <f t="shared" si="90"/>
        <v xml:space="preserve"> </v>
      </c>
      <c r="X594" s="59" t="str">
        <f t="shared" si="91"/>
        <v/>
      </c>
      <c r="Y594" s="60"/>
      <c r="Z594" s="64"/>
      <c r="AA594" s="64"/>
      <c r="AB594" s="64"/>
      <c r="AC594" s="64"/>
      <c r="AD594" s="64"/>
      <c r="AE594" s="16" t="s">
        <v>675</v>
      </c>
      <c r="AF594" s="16" t="s">
        <v>675</v>
      </c>
      <c r="AG594" s="16" t="s">
        <v>675</v>
      </c>
      <c r="AH594" s="64"/>
      <c r="AI594" s="64"/>
      <c r="AJ594" s="64"/>
      <c r="AK594" s="64"/>
      <c r="AL594" s="64"/>
      <c r="AM594" s="16" t="s">
        <v>675</v>
      </c>
      <c r="AN594" s="64"/>
      <c r="AO594" s="64"/>
      <c r="AP594" s="64"/>
      <c r="AQ594" s="64"/>
      <c r="AR594" s="64"/>
      <c r="AS594" s="64"/>
      <c r="AT594" s="64"/>
      <c r="AU594" s="82"/>
      <c r="AV594" s="82"/>
      <c r="AW594" s="82"/>
      <c r="AX594" s="64"/>
      <c r="AY594" s="64"/>
      <c r="AZ594" s="64"/>
      <c r="BA594" s="64"/>
      <c r="BB594" s="64"/>
      <c r="BC594" s="64"/>
      <c r="BD594" s="64"/>
      <c r="BE594" s="64"/>
      <c r="BF594" s="64"/>
      <c r="BG594" s="64"/>
      <c r="BH594" s="64"/>
      <c r="BI594" s="64"/>
      <c r="BJ594" s="64"/>
      <c r="BK594" s="64"/>
      <c r="BL594" s="64"/>
      <c r="BM594" s="64"/>
      <c r="BN594" s="64"/>
      <c r="BO594" s="64"/>
      <c r="BP594" s="64"/>
      <c r="BQ594" s="64"/>
      <c r="BR594" s="64"/>
      <c r="BS594" s="64"/>
      <c r="BT594" s="65"/>
    </row>
    <row r="595" spans="1:72" ht="18" hidden="1" customHeight="1" x14ac:dyDescent="0.3">
      <c r="A595" s="107" t="s">
        <v>1936</v>
      </c>
      <c r="B595" s="87" t="s">
        <v>1935</v>
      </c>
      <c r="C595" s="87" t="s">
        <v>1934</v>
      </c>
      <c r="D595" s="16" t="s">
        <v>1397</v>
      </c>
      <c r="E595" s="50">
        <v>45.18</v>
      </c>
      <c r="F595" s="50">
        <v>0</v>
      </c>
      <c r="G595" s="16">
        <v>4</v>
      </c>
      <c r="H595" s="16" t="s">
        <v>1933</v>
      </c>
      <c r="I595" s="16" t="s">
        <v>1016</v>
      </c>
      <c r="J595" s="16" t="s">
        <v>2386</v>
      </c>
      <c r="K595" s="16">
        <v>50</v>
      </c>
      <c r="L595" s="16">
        <v>50</v>
      </c>
      <c r="M595" s="64"/>
      <c r="N595" s="64"/>
      <c r="O595" s="49" t="str">
        <f t="shared" si="84"/>
        <v>YES</v>
      </c>
      <c r="P595" s="141"/>
      <c r="Q595" s="53">
        <f t="shared" si="85"/>
        <v>5000</v>
      </c>
      <c r="R595" s="54">
        <f t="shared" si="86"/>
        <v>2259</v>
      </c>
      <c r="S595" s="55" t="str">
        <f t="shared" si="87"/>
        <v xml:space="preserve"> </v>
      </c>
      <c r="T595" s="105"/>
      <c r="U595" s="57" t="str">
        <f t="shared" si="88"/>
        <v>100µg/100cm²</v>
      </c>
      <c r="V595" s="58">
        <f t="shared" si="89"/>
        <v>2259</v>
      </c>
      <c r="W595" s="58" t="str">
        <f t="shared" si="90"/>
        <v xml:space="preserve"> </v>
      </c>
      <c r="X595" s="59" t="str">
        <f t="shared" si="91"/>
        <v/>
      </c>
      <c r="Y595" s="106"/>
      <c r="Z595" s="16" t="s">
        <v>1987</v>
      </c>
      <c r="AA595" s="16" t="s">
        <v>1987</v>
      </c>
      <c r="AB595" s="16" t="s">
        <v>1987</v>
      </c>
      <c r="AC595" s="16" t="s">
        <v>1987</v>
      </c>
      <c r="AD595" s="16" t="s">
        <v>1987</v>
      </c>
      <c r="AE595" s="16" t="s">
        <v>1987</v>
      </c>
      <c r="AF595" s="16" t="s">
        <v>1987</v>
      </c>
      <c r="AG595" s="16" t="s">
        <v>1987</v>
      </c>
      <c r="AH595" s="16" t="s">
        <v>1987</v>
      </c>
      <c r="AI595" s="16" t="s">
        <v>1987</v>
      </c>
      <c r="AJ595" s="16" t="s">
        <v>1987</v>
      </c>
      <c r="AK595" s="16" t="s">
        <v>1987</v>
      </c>
      <c r="AL595" s="16" t="s">
        <v>1987</v>
      </c>
      <c r="AM595" s="16" t="s">
        <v>1987</v>
      </c>
      <c r="AN595" s="16" t="s">
        <v>1987</v>
      </c>
      <c r="AO595" s="16" t="s">
        <v>1987</v>
      </c>
      <c r="AP595" s="16" t="s">
        <v>1987</v>
      </c>
      <c r="AQ595" s="16" t="s">
        <v>1987</v>
      </c>
      <c r="AR595" s="16" t="s">
        <v>1987</v>
      </c>
      <c r="AS595" s="16" t="s">
        <v>1987</v>
      </c>
      <c r="AT595" s="16" t="s">
        <v>1987</v>
      </c>
      <c r="AU595" s="16" t="s">
        <v>1987</v>
      </c>
      <c r="AV595" s="16" t="s">
        <v>1987</v>
      </c>
      <c r="AW595" s="16" t="s">
        <v>1987</v>
      </c>
      <c r="AX595" s="16" t="s">
        <v>1987</v>
      </c>
      <c r="AY595" s="16" t="s">
        <v>1987</v>
      </c>
      <c r="AZ595" s="16" t="s">
        <v>1987</v>
      </c>
      <c r="BA595" s="16" t="s">
        <v>1987</v>
      </c>
      <c r="BB595" s="16" t="s">
        <v>1987</v>
      </c>
      <c r="BC595" s="16" t="s">
        <v>1987</v>
      </c>
      <c r="BD595" s="16" t="s">
        <v>1987</v>
      </c>
      <c r="BE595" s="16" t="s">
        <v>1987</v>
      </c>
      <c r="BF595" s="16" t="s">
        <v>1987</v>
      </c>
      <c r="BG595" s="16" t="s">
        <v>1987</v>
      </c>
      <c r="BH595" s="16" t="s">
        <v>1987</v>
      </c>
      <c r="BI595" s="16" t="s">
        <v>1987</v>
      </c>
      <c r="BJ595" s="16" t="s">
        <v>1987</v>
      </c>
      <c r="BK595" s="16" t="s">
        <v>1987</v>
      </c>
      <c r="BL595" s="16" t="s">
        <v>1987</v>
      </c>
      <c r="BM595" s="16" t="s">
        <v>1987</v>
      </c>
      <c r="BN595" s="16" t="s">
        <v>1987</v>
      </c>
      <c r="BO595" s="16" t="s">
        <v>1987</v>
      </c>
      <c r="BP595" s="16" t="s">
        <v>1987</v>
      </c>
      <c r="BQ595" s="16" t="s">
        <v>1987</v>
      </c>
      <c r="BR595" s="16" t="s">
        <v>1987</v>
      </c>
      <c r="BS595" s="16" t="s">
        <v>1987</v>
      </c>
      <c r="BT595" s="16" t="s">
        <v>1987</v>
      </c>
    </row>
    <row r="596" spans="1:72" ht="18" hidden="1" customHeight="1" x14ac:dyDescent="0.3">
      <c r="A596" s="47" t="s">
        <v>653</v>
      </c>
      <c r="B596" s="48" t="s">
        <v>654</v>
      </c>
      <c r="C596" s="49" t="s">
        <v>1165</v>
      </c>
      <c r="D596" s="49" t="s">
        <v>1163</v>
      </c>
      <c r="E596" s="50">
        <v>76.45</v>
      </c>
      <c r="F596" s="50">
        <v>0</v>
      </c>
      <c r="G596" s="61">
        <v>7</v>
      </c>
      <c r="H596" s="16" t="s">
        <v>1105</v>
      </c>
      <c r="I596" s="48" t="s">
        <v>1016</v>
      </c>
      <c r="J596" s="16" t="s">
        <v>1166</v>
      </c>
      <c r="K596" s="62">
        <v>2000</v>
      </c>
      <c r="L596" s="62">
        <v>18000</v>
      </c>
      <c r="M596" s="62" t="s">
        <v>1014</v>
      </c>
      <c r="N596" s="51"/>
      <c r="O596" s="49" t="str">
        <f t="shared" si="84"/>
        <v>YES</v>
      </c>
      <c r="P596" s="52"/>
      <c r="Q596" s="53">
        <f t="shared" si="85"/>
        <v>5000</v>
      </c>
      <c r="R596" s="54">
        <f t="shared" si="86"/>
        <v>3822.5</v>
      </c>
      <c r="S596" s="55" t="str">
        <f t="shared" si="87"/>
        <v xml:space="preserve"> </v>
      </c>
      <c r="T596" s="56"/>
      <c r="U596" s="57" t="str">
        <f t="shared" si="88"/>
        <v>100µg/100cm²</v>
      </c>
      <c r="V596" s="58">
        <f t="shared" si="89"/>
        <v>3822.5</v>
      </c>
      <c r="W596" s="58" t="str">
        <f t="shared" si="90"/>
        <v xml:space="preserve"> </v>
      </c>
      <c r="X596" s="59" t="str">
        <f t="shared" si="91"/>
        <v/>
      </c>
      <c r="Y596" s="60"/>
      <c r="Z596" s="16" t="s">
        <v>675</v>
      </c>
      <c r="AA596" s="16" t="s">
        <v>675</v>
      </c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16" t="s">
        <v>675</v>
      </c>
      <c r="AN596" s="64"/>
      <c r="AO596" s="64"/>
      <c r="AP596" s="64"/>
      <c r="AQ596" s="64"/>
      <c r="AR596" s="64"/>
      <c r="AS596" s="64"/>
      <c r="AT596" s="64"/>
      <c r="AU596" s="64"/>
      <c r="AV596" s="64"/>
      <c r="AW596" s="64"/>
      <c r="AX596" s="64"/>
      <c r="AY596" s="64"/>
      <c r="AZ596" s="64"/>
      <c r="BA596" s="16" t="s">
        <v>675</v>
      </c>
      <c r="BB596" s="16" t="s">
        <v>675</v>
      </c>
      <c r="BC596" s="64"/>
      <c r="BD596" s="64"/>
      <c r="BE596" s="64"/>
      <c r="BF596" s="64"/>
      <c r="BG596" s="64"/>
      <c r="BH596" s="64"/>
      <c r="BI596" s="64"/>
      <c r="BJ596" s="64"/>
      <c r="BK596" s="64"/>
      <c r="BL596" s="64"/>
      <c r="BM596" s="64"/>
      <c r="BN596" s="64"/>
      <c r="BO596" s="64"/>
      <c r="BP596" s="64"/>
      <c r="BQ596" s="64"/>
      <c r="BR596" s="64"/>
      <c r="BS596" s="64"/>
      <c r="BT596" s="65"/>
    </row>
    <row r="597" spans="1:72" ht="18" hidden="1" customHeight="1" x14ac:dyDescent="0.3">
      <c r="A597" s="47" t="s">
        <v>1167</v>
      </c>
      <c r="B597" s="48" t="s">
        <v>702</v>
      </c>
      <c r="C597" s="49" t="s">
        <v>1168</v>
      </c>
      <c r="D597" s="49" t="s">
        <v>1163</v>
      </c>
      <c r="E597" s="50">
        <v>49.98</v>
      </c>
      <c r="F597" s="50">
        <v>0</v>
      </c>
      <c r="G597" s="61">
        <v>2</v>
      </c>
      <c r="H597" s="16">
        <v>150</v>
      </c>
      <c r="I597" s="48" t="s">
        <v>1048</v>
      </c>
      <c r="J597" s="16" t="s">
        <v>1169</v>
      </c>
      <c r="K597" s="62">
        <v>8600</v>
      </c>
      <c r="L597" s="62">
        <v>77400</v>
      </c>
      <c r="M597" s="62" t="s">
        <v>1014</v>
      </c>
      <c r="N597" s="51"/>
      <c r="O597" s="49" t="str">
        <f t="shared" si="84"/>
        <v>YES</v>
      </c>
      <c r="P597" s="52"/>
      <c r="Q597" s="53">
        <f t="shared" si="85"/>
        <v>5000</v>
      </c>
      <c r="R597" s="54">
        <f t="shared" si="86"/>
        <v>2499</v>
      </c>
      <c r="S597" s="55" t="str">
        <f t="shared" si="87"/>
        <v xml:space="preserve"> </v>
      </c>
      <c r="T597" s="56"/>
      <c r="U597" s="57" t="str">
        <f t="shared" si="88"/>
        <v>100µg/100cm²</v>
      </c>
      <c r="V597" s="58">
        <f t="shared" si="89"/>
        <v>2499</v>
      </c>
      <c r="W597" s="58" t="str">
        <f t="shared" si="90"/>
        <v xml:space="preserve"> </v>
      </c>
      <c r="X597" s="59" t="str">
        <f t="shared" si="91"/>
        <v/>
      </c>
      <c r="Y597" s="60"/>
      <c r="Z597" s="64"/>
      <c r="AA597" s="16" t="s">
        <v>675</v>
      </c>
      <c r="AB597" s="64"/>
      <c r="AC597" s="16" t="s">
        <v>675</v>
      </c>
      <c r="AD597" s="64"/>
      <c r="AE597" s="64"/>
      <c r="AF597" s="64"/>
      <c r="AG597" s="64"/>
      <c r="AH597" s="64"/>
      <c r="AI597" s="64"/>
      <c r="AJ597" s="64"/>
      <c r="AK597" s="64"/>
      <c r="AL597" s="64"/>
      <c r="AM597" s="16" t="s">
        <v>675</v>
      </c>
      <c r="AN597" s="64"/>
      <c r="AO597" s="64"/>
      <c r="AP597" s="64"/>
      <c r="AQ597" s="64"/>
      <c r="AR597" s="64"/>
      <c r="AS597" s="64"/>
      <c r="AT597" s="64"/>
      <c r="AU597" s="64"/>
      <c r="AV597" s="64"/>
      <c r="AW597" s="64"/>
      <c r="AX597" s="64"/>
      <c r="AY597" s="64"/>
      <c r="AZ597" s="64"/>
      <c r="BA597" s="64"/>
      <c r="BB597" s="64"/>
      <c r="BC597" s="64"/>
      <c r="BD597" s="64"/>
      <c r="BE597" s="16" t="s">
        <v>675</v>
      </c>
      <c r="BF597" s="64"/>
      <c r="BG597" s="64"/>
      <c r="BH597" s="64"/>
      <c r="BI597" s="64"/>
      <c r="BJ597" s="64"/>
      <c r="BK597" s="64"/>
      <c r="BL597" s="64"/>
      <c r="BM597" s="64"/>
      <c r="BN597" s="64"/>
      <c r="BO597" s="64"/>
      <c r="BP597" s="64"/>
      <c r="BQ597" s="64"/>
      <c r="BR597" s="64"/>
      <c r="BS597" s="16" t="s">
        <v>675</v>
      </c>
      <c r="BT597" s="65"/>
    </row>
    <row r="598" spans="1:72" ht="18" hidden="1" customHeight="1" x14ac:dyDescent="0.3">
      <c r="A598" s="98" t="s">
        <v>582</v>
      </c>
      <c r="B598" s="99" t="s">
        <v>459</v>
      </c>
      <c r="C598" s="16" t="s">
        <v>1499</v>
      </c>
      <c r="D598" s="16" t="s">
        <v>1483</v>
      </c>
      <c r="E598" s="50">
        <v>50</v>
      </c>
      <c r="F598" s="50">
        <v>0</v>
      </c>
      <c r="G598" s="16">
        <v>1</v>
      </c>
      <c r="H598" s="16" t="s">
        <v>1023</v>
      </c>
      <c r="I598" s="16" t="s">
        <v>1016</v>
      </c>
      <c r="J598" s="16" t="s">
        <v>2382</v>
      </c>
      <c r="K598" s="16">
        <v>50</v>
      </c>
      <c r="L598" s="16">
        <v>50</v>
      </c>
      <c r="M598" s="64"/>
      <c r="N598" s="64"/>
      <c r="O598" s="49" t="str">
        <f t="shared" si="84"/>
        <v>YES</v>
      </c>
      <c r="P598" s="52"/>
      <c r="Q598" s="53">
        <f t="shared" si="85"/>
        <v>5000</v>
      </c>
      <c r="R598" s="54">
        <f t="shared" si="86"/>
        <v>2500</v>
      </c>
      <c r="S598" s="55" t="str">
        <f t="shared" si="87"/>
        <v xml:space="preserve"> </v>
      </c>
      <c r="T598" s="56"/>
      <c r="U598" s="57" t="str">
        <f t="shared" si="88"/>
        <v>100µg/100cm²</v>
      </c>
      <c r="V598" s="58">
        <f t="shared" si="89"/>
        <v>2500</v>
      </c>
      <c r="W598" s="58" t="str">
        <f t="shared" si="90"/>
        <v xml:space="preserve"> </v>
      </c>
      <c r="X598" s="59" t="str">
        <f t="shared" si="91"/>
        <v/>
      </c>
      <c r="Y598" s="60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16" t="s">
        <v>675</v>
      </c>
      <c r="AT598" s="64"/>
      <c r="AU598" s="64"/>
      <c r="AV598" s="64"/>
      <c r="AW598" s="64"/>
      <c r="AX598" s="64"/>
      <c r="AY598" s="64"/>
      <c r="AZ598" s="64"/>
      <c r="BA598" s="64"/>
      <c r="BB598" s="64"/>
      <c r="BC598" s="64"/>
      <c r="BD598" s="64"/>
      <c r="BE598" s="64"/>
      <c r="BF598" s="64"/>
      <c r="BG598" s="64"/>
      <c r="BH598" s="64"/>
      <c r="BI598" s="64"/>
      <c r="BJ598" s="64"/>
      <c r="BK598" s="64"/>
      <c r="BL598" s="64"/>
      <c r="BM598" s="64"/>
      <c r="BN598" s="64"/>
      <c r="BO598" s="64"/>
      <c r="BP598" s="64"/>
      <c r="BQ598" s="64"/>
      <c r="BR598" s="64"/>
      <c r="BS598" s="64"/>
      <c r="BT598" s="65"/>
    </row>
    <row r="599" spans="1:72" ht="16.55" hidden="1" customHeight="1" x14ac:dyDescent="0.3">
      <c r="A599" s="98" t="s">
        <v>583</v>
      </c>
      <c r="B599" s="99" t="s">
        <v>459</v>
      </c>
      <c r="C599" s="16" t="s">
        <v>1499</v>
      </c>
      <c r="D599" s="16" t="s">
        <v>1483</v>
      </c>
      <c r="E599" s="50">
        <v>50</v>
      </c>
      <c r="F599" s="50">
        <v>0</v>
      </c>
      <c r="G599" s="16">
        <v>1</v>
      </c>
      <c r="H599" s="16" t="s">
        <v>1023</v>
      </c>
      <c r="I599" s="16" t="s">
        <v>1016</v>
      </c>
      <c r="J599" s="16" t="s">
        <v>2382</v>
      </c>
      <c r="K599" s="16">
        <v>50</v>
      </c>
      <c r="L599" s="16">
        <v>50</v>
      </c>
      <c r="M599" s="64"/>
      <c r="N599" s="64"/>
      <c r="O599" s="49" t="str">
        <f t="shared" si="84"/>
        <v>YES</v>
      </c>
      <c r="P599" s="52"/>
      <c r="Q599" s="53">
        <f t="shared" si="85"/>
        <v>5000</v>
      </c>
      <c r="R599" s="54">
        <f t="shared" si="86"/>
        <v>2500</v>
      </c>
      <c r="S599" s="55" t="str">
        <f t="shared" si="87"/>
        <v xml:space="preserve"> </v>
      </c>
      <c r="T599" s="56"/>
      <c r="U599" s="57" t="str">
        <f t="shared" si="88"/>
        <v>100µg/100cm²</v>
      </c>
      <c r="V599" s="58">
        <f t="shared" si="89"/>
        <v>2500</v>
      </c>
      <c r="W599" s="58" t="str">
        <f t="shared" si="90"/>
        <v xml:space="preserve"> </v>
      </c>
      <c r="X599" s="59" t="str">
        <f t="shared" si="91"/>
        <v/>
      </c>
      <c r="Y599" s="60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16" t="s">
        <v>675</v>
      </c>
      <c r="AT599" s="64"/>
      <c r="AU599" s="64"/>
      <c r="AV599" s="64"/>
      <c r="AW599" s="64"/>
      <c r="AX599" s="64"/>
      <c r="AY599" s="64"/>
      <c r="AZ599" s="64"/>
      <c r="BA599" s="64"/>
      <c r="BB599" s="64"/>
      <c r="BC599" s="64"/>
      <c r="BD599" s="64"/>
      <c r="BE599" s="64"/>
      <c r="BF599" s="64"/>
      <c r="BG599" s="64"/>
      <c r="BH599" s="64"/>
      <c r="BI599" s="64"/>
      <c r="BJ599" s="64"/>
      <c r="BK599" s="64"/>
      <c r="BL599" s="64"/>
      <c r="BM599" s="64"/>
      <c r="BN599" s="64"/>
      <c r="BO599" s="64"/>
      <c r="BP599" s="64"/>
      <c r="BQ599" s="64"/>
      <c r="BR599" s="64"/>
      <c r="BS599" s="64"/>
      <c r="BT599" s="65"/>
    </row>
    <row r="600" spans="1:72" ht="15.75" x14ac:dyDescent="0.3">
      <c r="A600" s="47" t="s">
        <v>809</v>
      </c>
      <c r="B600" s="49" t="s">
        <v>810</v>
      </c>
      <c r="C600" s="16" t="s">
        <v>1638</v>
      </c>
      <c r="D600" s="16" t="s">
        <v>1011</v>
      </c>
      <c r="E600" s="50">
        <v>0</v>
      </c>
      <c r="F600" s="50">
        <v>0</v>
      </c>
      <c r="G600" s="87">
        <v>1</v>
      </c>
      <c r="H600" s="87">
        <v>1670</v>
      </c>
      <c r="I600" s="16" t="s">
        <v>1016</v>
      </c>
      <c r="J600" s="17" t="s">
        <v>2352</v>
      </c>
      <c r="K600" s="16">
        <v>2.5</v>
      </c>
      <c r="L600" s="16">
        <v>22.5</v>
      </c>
      <c r="M600" s="16" t="s">
        <v>1027</v>
      </c>
      <c r="N600" s="64"/>
      <c r="O600" s="49" t="str">
        <f t="shared" si="84"/>
        <v>YES</v>
      </c>
      <c r="P600" s="52"/>
      <c r="Q600" s="53">
        <f t="shared" si="85"/>
        <v>456.2</v>
      </c>
      <c r="R600" s="54" t="str">
        <f t="shared" si="86"/>
        <v xml:space="preserve"> </v>
      </c>
      <c r="S600" s="55" t="str">
        <f t="shared" si="87"/>
        <v xml:space="preserve"> </v>
      </c>
      <c r="T600" s="56"/>
      <c r="U600" s="57" t="str">
        <f t="shared" si="88"/>
        <v xml:space="preserve"> </v>
      </c>
      <c r="V600" s="58" t="str">
        <f t="shared" si="89"/>
        <v xml:space="preserve"> </v>
      </c>
      <c r="W600" s="57" t="str">
        <f t="shared" si="90"/>
        <v xml:space="preserve"> </v>
      </c>
      <c r="X600" s="59" t="str">
        <f t="shared" si="91"/>
        <v>Mitigation</v>
      </c>
      <c r="Y600" s="60"/>
      <c r="Z600" s="64"/>
      <c r="AA600" s="64"/>
      <c r="AB600" s="64"/>
      <c r="AC600" s="64"/>
      <c r="AD600" s="64"/>
      <c r="AE600" s="64"/>
      <c r="AF600" s="64"/>
      <c r="AG600" s="64"/>
      <c r="AH600" s="16" t="s">
        <v>675</v>
      </c>
      <c r="AI600" s="64"/>
      <c r="AJ600" s="64"/>
      <c r="AK600" s="16" t="s">
        <v>675</v>
      </c>
      <c r="AL600" s="64"/>
      <c r="AM600" s="16" t="s">
        <v>675</v>
      </c>
      <c r="AN600" s="64"/>
      <c r="AO600" s="64"/>
      <c r="AP600" s="64"/>
      <c r="AQ600" s="64"/>
      <c r="AR600" s="64"/>
      <c r="AS600" s="64"/>
      <c r="AT600" s="64"/>
      <c r="AU600" s="64"/>
      <c r="AV600" s="64"/>
      <c r="AW600" s="64"/>
      <c r="AX600" s="64"/>
      <c r="AY600" s="64"/>
      <c r="AZ600" s="64"/>
      <c r="BA600" s="64"/>
      <c r="BB600" s="64"/>
      <c r="BC600" s="64"/>
      <c r="BD600" s="64"/>
      <c r="BE600" s="64"/>
      <c r="BF600" s="64"/>
      <c r="BG600" s="64"/>
      <c r="BH600" s="64"/>
      <c r="BI600" s="64"/>
      <c r="BJ600" s="64"/>
      <c r="BK600" s="64"/>
      <c r="BL600" s="64"/>
      <c r="BM600" s="64"/>
      <c r="BN600" s="64"/>
      <c r="BO600" s="64"/>
      <c r="BP600" s="64"/>
      <c r="BQ600" s="64"/>
      <c r="BR600" s="64"/>
      <c r="BS600" s="64"/>
      <c r="BT600" s="65"/>
    </row>
    <row r="601" spans="1:72" ht="18" hidden="1" customHeight="1" x14ac:dyDescent="0.3">
      <c r="A601" s="47" t="s">
        <v>367</v>
      </c>
      <c r="B601" s="49" t="s">
        <v>319</v>
      </c>
      <c r="C601" s="16" t="s">
        <v>1597</v>
      </c>
      <c r="D601" s="83" t="s">
        <v>1305</v>
      </c>
      <c r="E601" s="50">
        <v>46.71</v>
      </c>
      <c r="F601" s="50">
        <v>0</v>
      </c>
      <c r="G601" s="61">
        <v>7</v>
      </c>
      <c r="H601" s="16" t="s">
        <v>1105</v>
      </c>
      <c r="I601" s="48" t="s">
        <v>1016</v>
      </c>
      <c r="J601" s="16" t="s">
        <v>2386</v>
      </c>
      <c r="K601" s="49">
        <v>50</v>
      </c>
      <c r="L601" s="49">
        <v>50</v>
      </c>
      <c r="M601" s="64"/>
      <c r="N601" s="64"/>
      <c r="O601" s="49" t="str">
        <f t="shared" si="84"/>
        <v>YES</v>
      </c>
      <c r="P601" s="52"/>
      <c r="Q601" s="53">
        <f t="shared" si="85"/>
        <v>5000</v>
      </c>
      <c r="R601" s="54">
        <f t="shared" si="86"/>
        <v>2335.5</v>
      </c>
      <c r="S601" s="55" t="str">
        <f t="shared" si="87"/>
        <v xml:space="preserve"> </v>
      </c>
      <c r="T601" s="56"/>
      <c r="U601" s="57" t="str">
        <f t="shared" si="88"/>
        <v>100µg/100cm²</v>
      </c>
      <c r="V601" s="58">
        <f t="shared" si="89"/>
        <v>2335.5</v>
      </c>
      <c r="W601" s="58" t="str">
        <f t="shared" si="90"/>
        <v xml:space="preserve"> </v>
      </c>
      <c r="X601" s="59" t="str">
        <f t="shared" si="91"/>
        <v/>
      </c>
      <c r="Y601" s="60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16" t="s">
        <v>675</v>
      </c>
      <c r="AR601" s="64"/>
      <c r="AS601" s="64"/>
      <c r="AT601" s="64"/>
      <c r="AU601" s="64"/>
      <c r="AV601" s="64"/>
      <c r="AW601" s="64"/>
      <c r="AX601" s="64"/>
      <c r="AY601" s="16" t="s">
        <v>675</v>
      </c>
      <c r="AZ601" s="16" t="s">
        <v>675</v>
      </c>
      <c r="BA601" s="16" t="s">
        <v>675</v>
      </c>
      <c r="BB601" s="16" t="s">
        <v>675</v>
      </c>
      <c r="BC601" s="64"/>
      <c r="BD601" s="64"/>
      <c r="BE601" s="64"/>
      <c r="BF601" s="64"/>
      <c r="BG601" s="64"/>
      <c r="BH601" s="64"/>
      <c r="BI601" s="64"/>
      <c r="BJ601" s="64"/>
      <c r="BK601" s="16" t="s">
        <v>675</v>
      </c>
      <c r="BL601" s="64"/>
      <c r="BM601" s="64"/>
      <c r="BN601" s="64"/>
      <c r="BO601" s="64"/>
      <c r="BP601" s="64"/>
      <c r="BQ601" s="64"/>
      <c r="BR601" s="64"/>
      <c r="BS601" s="16" t="s">
        <v>675</v>
      </c>
      <c r="BT601" s="65"/>
    </row>
    <row r="602" spans="1:72" ht="18" hidden="1" customHeight="1" x14ac:dyDescent="0.3">
      <c r="A602" s="47" t="s">
        <v>639</v>
      </c>
      <c r="B602" s="48" t="s">
        <v>640</v>
      </c>
      <c r="C602" s="16" t="s">
        <v>1597</v>
      </c>
      <c r="D602" s="83" t="s">
        <v>1305</v>
      </c>
      <c r="E602" s="50">
        <v>46.71</v>
      </c>
      <c r="F602" s="50">
        <v>0</v>
      </c>
      <c r="G602" s="61">
        <v>7</v>
      </c>
      <c r="H602" s="16" t="s">
        <v>1105</v>
      </c>
      <c r="I602" s="48" t="s">
        <v>1016</v>
      </c>
      <c r="J602" s="16" t="s">
        <v>2386</v>
      </c>
      <c r="K602" s="49">
        <v>50</v>
      </c>
      <c r="L602" s="49">
        <v>50</v>
      </c>
      <c r="M602" s="64"/>
      <c r="N602" s="64"/>
      <c r="O602" s="49" t="str">
        <f t="shared" si="84"/>
        <v>YES</v>
      </c>
      <c r="P602" s="52"/>
      <c r="Q602" s="53">
        <f t="shared" si="85"/>
        <v>5000</v>
      </c>
      <c r="R602" s="54">
        <f t="shared" si="86"/>
        <v>2335.5</v>
      </c>
      <c r="S602" s="55" t="str">
        <f t="shared" si="87"/>
        <v xml:space="preserve"> </v>
      </c>
      <c r="T602" s="56"/>
      <c r="U602" s="57" t="str">
        <f t="shared" si="88"/>
        <v>100µg/100cm²</v>
      </c>
      <c r="V602" s="58">
        <f t="shared" si="89"/>
        <v>2335.5</v>
      </c>
      <c r="W602" s="58" t="str">
        <f t="shared" si="90"/>
        <v xml:space="preserve"> </v>
      </c>
      <c r="X602" s="59" t="str">
        <f t="shared" si="91"/>
        <v/>
      </c>
      <c r="Y602" s="60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/>
      <c r="AY602" s="16" t="s">
        <v>675</v>
      </c>
      <c r="AZ602" s="16" t="s">
        <v>675</v>
      </c>
      <c r="BA602" s="64"/>
      <c r="BB602" s="16" t="s">
        <v>675</v>
      </c>
      <c r="BC602" s="64"/>
      <c r="BD602" s="64"/>
      <c r="BE602" s="64"/>
      <c r="BF602" s="64"/>
      <c r="BG602" s="64"/>
      <c r="BH602" s="64"/>
      <c r="BI602" s="64"/>
      <c r="BJ602" s="64"/>
      <c r="BK602" s="16" t="s">
        <v>675</v>
      </c>
      <c r="BL602" s="64"/>
      <c r="BM602" s="64"/>
      <c r="BN602" s="64"/>
      <c r="BO602" s="64"/>
      <c r="BP602" s="64"/>
      <c r="BQ602" s="64"/>
      <c r="BR602" s="64"/>
      <c r="BS602" s="16" t="s">
        <v>675</v>
      </c>
      <c r="BT602" s="65"/>
    </row>
    <row r="603" spans="1:72" ht="18" hidden="1" customHeight="1" x14ac:dyDescent="0.3">
      <c r="A603" s="47" t="s">
        <v>318</v>
      </c>
      <c r="B603" s="49" t="s">
        <v>319</v>
      </c>
      <c r="C603" s="16" t="s">
        <v>1597</v>
      </c>
      <c r="D603" s="83" t="s">
        <v>1305</v>
      </c>
      <c r="E603" s="50">
        <v>46.71</v>
      </c>
      <c r="F603" s="50">
        <v>0</v>
      </c>
      <c r="G603" s="61">
        <v>7</v>
      </c>
      <c r="H603" s="16" t="s">
        <v>1105</v>
      </c>
      <c r="I603" s="48" t="s">
        <v>1016</v>
      </c>
      <c r="J603" s="16" t="s">
        <v>2386</v>
      </c>
      <c r="K603" s="49">
        <v>50</v>
      </c>
      <c r="L603" s="49">
        <v>50</v>
      </c>
      <c r="M603" s="64"/>
      <c r="N603" s="64"/>
      <c r="O603" s="49" t="str">
        <f t="shared" si="84"/>
        <v>YES</v>
      </c>
      <c r="P603" s="52"/>
      <c r="Q603" s="53">
        <f t="shared" si="85"/>
        <v>5000</v>
      </c>
      <c r="R603" s="54">
        <f t="shared" si="86"/>
        <v>2335.5</v>
      </c>
      <c r="S603" s="55" t="str">
        <f t="shared" si="87"/>
        <v xml:space="preserve"> </v>
      </c>
      <c r="T603" s="56"/>
      <c r="U603" s="57" t="str">
        <f t="shared" si="88"/>
        <v>100µg/100cm²</v>
      </c>
      <c r="V603" s="58">
        <f t="shared" si="89"/>
        <v>2335.5</v>
      </c>
      <c r="W603" s="58" t="str">
        <f t="shared" si="90"/>
        <v xml:space="preserve"> </v>
      </c>
      <c r="X603" s="59" t="str">
        <f t="shared" si="91"/>
        <v/>
      </c>
      <c r="Y603" s="60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16" t="s">
        <v>675</v>
      </c>
      <c r="AK603" s="64"/>
      <c r="AL603" s="64"/>
      <c r="AM603" s="16" t="s">
        <v>675</v>
      </c>
      <c r="AN603" s="64"/>
      <c r="AO603" s="64"/>
      <c r="AP603" s="64"/>
      <c r="AQ603" s="64"/>
      <c r="AR603" s="64"/>
      <c r="AS603" s="64"/>
      <c r="AT603" s="64"/>
      <c r="AU603" s="64"/>
      <c r="AV603" s="64"/>
      <c r="AW603" s="64"/>
      <c r="AX603" s="64"/>
      <c r="AY603" s="64"/>
      <c r="AZ603" s="64"/>
      <c r="BA603" s="64"/>
      <c r="BB603" s="64"/>
      <c r="BC603" s="64"/>
      <c r="BD603" s="64"/>
      <c r="BE603" s="64"/>
      <c r="BF603" s="64"/>
      <c r="BG603" s="64"/>
      <c r="BH603" s="64"/>
      <c r="BI603" s="64"/>
      <c r="BJ603" s="64"/>
      <c r="BK603" s="16" t="s">
        <v>675</v>
      </c>
      <c r="BL603" s="64"/>
      <c r="BM603" s="64"/>
      <c r="BN603" s="64"/>
      <c r="BO603" s="64"/>
      <c r="BP603" s="64"/>
      <c r="BQ603" s="64"/>
      <c r="BR603" s="64"/>
      <c r="BS603" s="16" t="s">
        <v>675</v>
      </c>
      <c r="BT603" s="65"/>
    </row>
    <row r="604" spans="1:72" ht="18" hidden="1" customHeight="1" x14ac:dyDescent="0.3">
      <c r="A604" s="47" t="s">
        <v>320</v>
      </c>
      <c r="B604" s="49" t="s">
        <v>319</v>
      </c>
      <c r="C604" s="16" t="s">
        <v>1597</v>
      </c>
      <c r="D604" s="83" t="s">
        <v>1305</v>
      </c>
      <c r="E604" s="50">
        <v>46.71</v>
      </c>
      <c r="F604" s="50">
        <v>0</v>
      </c>
      <c r="G604" s="61">
        <v>7</v>
      </c>
      <c r="H604" s="16" t="s">
        <v>1105</v>
      </c>
      <c r="I604" s="48" t="s">
        <v>1016</v>
      </c>
      <c r="J604" s="16" t="s">
        <v>2386</v>
      </c>
      <c r="K604" s="49">
        <v>50</v>
      </c>
      <c r="L604" s="49">
        <v>50</v>
      </c>
      <c r="M604" s="64"/>
      <c r="N604" s="64"/>
      <c r="O604" s="49" t="str">
        <f t="shared" si="84"/>
        <v>YES</v>
      </c>
      <c r="P604" s="52"/>
      <c r="Q604" s="53">
        <f t="shared" si="85"/>
        <v>5000</v>
      </c>
      <c r="R604" s="54">
        <f t="shared" si="86"/>
        <v>2335.5</v>
      </c>
      <c r="S604" s="55" t="str">
        <f t="shared" si="87"/>
        <v xml:space="preserve"> </v>
      </c>
      <c r="T604" s="56"/>
      <c r="U604" s="57" t="str">
        <f t="shared" si="88"/>
        <v>100µg/100cm²</v>
      </c>
      <c r="V604" s="58">
        <f t="shared" si="89"/>
        <v>2335.5</v>
      </c>
      <c r="W604" s="58" t="str">
        <f t="shared" si="90"/>
        <v xml:space="preserve"> </v>
      </c>
      <c r="X604" s="59" t="str">
        <f t="shared" si="91"/>
        <v/>
      </c>
      <c r="Y604" s="60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16" t="s">
        <v>675</v>
      </c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  <c r="BB604" s="64"/>
      <c r="BC604" s="64"/>
      <c r="BD604" s="64"/>
      <c r="BE604" s="64"/>
      <c r="BF604" s="64"/>
      <c r="BG604" s="64"/>
      <c r="BH604" s="64"/>
      <c r="BI604" s="64"/>
      <c r="BJ604" s="64"/>
      <c r="BK604" s="64"/>
      <c r="BL604" s="64"/>
      <c r="BM604" s="64"/>
      <c r="BN604" s="64"/>
      <c r="BO604" s="64"/>
      <c r="BP604" s="64"/>
      <c r="BQ604" s="64"/>
      <c r="BR604" s="64"/>
      <c r="BS604" s="64"/>
      <c r="BT604" s="65"/>
    </row>
    <row r="605" spans="1:72" ht="18" hidden="1" customHeight="1" x14ac:dyDescent="0.3">
      <c r="A605" s="66" t="s">
        <v>785</v>
      </c>
      <c r="B605" s="49" t="s">
        <v>786</v>
      </c>
      <c r="C605" s="16" t="s">
        <v>1597</v>
      </c>
      <c r="D605" s="67" t="s">
        <v>1305</v>
      </c>
      <c r="E605" s="50">
        <v>46.7</v>
      </c>
      <c r="F605" s="50">
        <v>0</v>
      </c>
      <c r="G605" s="61">
        <v>7</v>
      </c>
      <c r="H605" s="16" t="s">
        <v>1105</v>
      </c>
      <c r="I605" s="48" t="s">
        <v>1016</v>
      </c>
      <c r="J605" s="16" t="s">
        <v>2386</v>
      </c>
      <c r="K605" s="49">
        <v>50</v>
      </c>
      <c r="L605" s="49">
        <v>50</v>
      </c>
      <c r="M605" s="64"/>
      <c r="N605" s="64"/>
      <c r="O605" s="49" t="str">
        <f t="shared" si="84"/>
        <v>YES</v>
      </c>
      <c r="P605" s="52"/>
      <c r="Q605" s="53">
        <f t="shared" si="85"/>
        <v>5000</v>
      </c>
      <c r="R605" s="54">
        <f t="shared" si="86"/>
        <v>2335</v>
      </c>
      <c r="S605" s="55" t="str">
        <f t="shared" si="87"/>
        <v xml:space="preserve"> </v>
      </c>
      <c r="T605" s="56"/>
      <c r="U605" s="57" t="str">
        <f t="shared" si="88"/>
        <v>100µg/100cm²</v>
      </c>
      <c r="V605" s="58">
        <f t="shared" si="89"/>
        <v>2335</v>
      </c>
      <c r="W605" s="58" t="str">
        <f t="shared" si="90"/>
        <v xml:space="preserve"> </v>
      </c>
      <c r="X605" s="59" t="str">
        <f t="shared" si="91"/>
        <v/>
      </c>
      <c r="Y605" s="60"/>
      <c r="Z605" s="64"/>
      <c r="AA605" s="16" t="s">
        <v>675</v>
      </c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16" t="s">
        <v>675</v>
      </c>
      <c r="AN605" s="65"/>
      <c r="AO605" s="65"/>
      <c r="AP605" s="65"/>
      <c r="AQ605" s="65"/>
      <c r="AR605" s="65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  <c r="BD605" s="65"/>
      <c r="BE605" s="65"/>
      <c r="BF605" s="65"/>
      <c r="BG605" s="65"/>
      <c r="BH605" s="65"/>
      <c r="BI605" s="65"/>
      <c r="BJ605" s="65"/>
      <c r="BK605" s="65"/>
      <c r="BL605" s="65"/>
      <c r="BM605" s="65"/>
      <c r="BN605" s="65"/>
      <c r="BO605" s="65"/>
      <c r="BP605" s="65"/>
      <c r="BQ605" s="65"/>
      <c r="BR605" s="65"/>
      <c r="BS605" s="65"/>
      <c r="BT605" s="65"/>
    </row>
    <row r="606" spans="1:72" ht="18" hidden="1" customHeight="1" x14ac:dyDescent="0.3">
      <c r="A606" s="47" t="s">
        <v>602</v>
      </c>
      <c r="B606" s="49" t="s">
        <v>603</v>
      </c>
      <c r="C606" s="16" t="s">
        <v>1596</v>
      </c>
      <c r="D606" s="83" t="s">
        <v>1305</v>
      </c>
      <c r="E606" s="50">
        <v>39.630000000000003</v>
      </c>
      <c r="F606" s="50">
        <v>0</v>
      </c>
      <c r="G606" s="61">
        <v>7</v>
      </c>
      <c r="H606" s="16" t="s">
        <v>1105</v>
      </c>
      <c r="I606" s="48" t="s">
        <v>1016</v>
      </c>
      <c r="J606" s="16" t="s">
        <v>2386</v>
      </c>
      <c r="K606" s="49">
        <v>50</v>
      </c>
      <c r="L606" s="49">
        <v>50</v>
      </c>
      <c r="M606" s="64"/>
      <c r="N606" s="64"/>
      <c r="O606" s="49" t="str">
        <f t="shared" si="84"/>
        <v>YES</v>
      </c>
      <c r="P606" s="52"/>
      <c r="Q606" s="53">
        <f t="shared" si="85"/>
        <v>5000</v>
      </c>
      <c r="R606" s="54">
        <f t="shared" si="86"/>
        <v>1981.5</v>
      </c>
      <c r="S606" s="55" t="str">
        <f t="shared" si="87"/>
        <v xml:space="preserve"> </v>
      </c>
      <c r="T606" s="56"/>
      <c r="U606" s="57" t="str">
        <f t="shared" si="88"/>
        <v>100µg/100cm²</v>
      </c>
      <c r="V606" s="58">
        <f t="shared" si="89"/>
        <v>1981.5</v>
      </c>
      <c r="W606" s="58" t="str">
        <f t="shared" si="90"/>
        <v xml:space="preserve"> </v>
      </c>
      <c r="X606" s="59" t="str">
        <f t="shared" si="91"/>
        <v/>
      </c>
      <c r="Y606" s="60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16" t="s">
        <v>675</v>
      </c>
      <c r="AV606" s="64"/>
      <c r="AW606" s="16" t="s">
        <v>675</v>
      </c>
      <c r="AX606" s="64"/>
      <c r="AY606" s="64"/>
      <c r="AZ606" s="64"/>
      <c r="BA606" s="64"/>
      <c r="BB606" s="64"/>
      <c r="BC606" s="64"/>
      <c r="BD606" s="64"/>
      <c r="BE606" s="64"/>
      <c r="BF606" s="64"/>
      <c r="BG606" s="64"/>
      <c r="BH606" s="64"/>
      <c r="BI606" s="64"/>
      <c r="BJ606" s="64"/>
      <c r="BK606" s="16" t="s">
        <v>675</v>
      </c>
      <c r="BL606" s="64"/>
      <c r="BM606" s="64"/>
      <c r="BN606" s="64"/>
      <c r="BO606" s="64"/>
      <c r="BP606" s="64"/>
      <c r="BQ606" s="64"/>
      <c r="BR606" s="64"/>
      <c r="BS606" s="16" t="s">
        <v>675</v>
      </c>
      <c r="BT606" s="65"/>
    </row>
    <row r="607" spans="1:72" ht="18" hidden="1" customHeight="1" x14ac:dyDescent="0.3">
      <c r="A607" s="81" t="s">
        <v>584</v>
      </c>
      <c r="B607" s="76" t="s">
        <v>459</v>
      </c>
      <c r="C607" s="16" t="s">
        <v>1503</v>
      </c>
      <c r="D607" s="16" t="s">
        <v>1494</v>
      </c>
      <c r="E607" s="50">
        <v>50</v>
      </c>
      <c r="F607" s="50">
        <v>0</v>
      </c>
      <c r="G607" s="16">
        <v>1</v>
      </c>
      <c r="H607" s="16" t="s">
        <v>1023</v>
      </c>
      <c r="I607" s="16" t="s">
        <v>1016</v>
      </c>
      <c r="J607" s="16" t="s">
        <v>2382</v>
      </c>
      <c r="K607" s="16">
        <v>50</v>
      </c>
      <c r="L607" s="16">
        <v>50</v>
      </c>
      <c r="M607" s="64"/>
      <c r="N607" s="64"/>
      <c r="O607" s="49" t="str">
        <f t="shared" si="84"/>
        <v>YES</v>
      </c>
      <c r="P607" s="52"/>
      <c r="Q607" s="53">
        <f t="shared" si="85"/>
        <v>5000</v>
      </c>
      <c r="R607" s="54">
        <f t="shared" si="86"/>
        <v>2500</v>
      </c>
      <c r="S607" s="55" t="str">
        <f t="shared" si="87"/>
        <v xml:space="preserve"> </v>
      </c>
      <c r="T607" s="56"/>
      <c r="U607" s="57" t="str">
        <f t="shared" si="88"/>
        <v>100µg/100cm²</v>
      </c>
      <c r="V607" s="58">
        <f t="shared" si="89"/>
        <v>2500</v>
      </c>
      <c r="W607" s="58" t="str">
        <f t="shared" si="90"/>
        <v xml:space="preserve"> </v>
      </c>
      <c r="X607" s="59" t="str">
        <f t="shared" si="91"/>
        <v/>
      </c>
      <c r="Y607" s="60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16" t="s">
        <v>675</v>
      </c>
      <c r="AT607" s="64"/>
      <c r="AU607" s="83" t="s">
        <v>675</v>
      </c>
      <c r="AV607" s="83" t="s">
        <v>675</v>
      </c>
      <c r="AW607" s="16" t="s">
        <v>675</v>
      </c>
      <c r="AX607" s="64"/>
      <c r="AY607" s="64"/>
      <c r="AZ607" s="64"/>
      <c r="BA607" s="64"/>
      <c r="BB607" s="64"/>
      <c r="BC607" s="64"/>
      <c r="BD607" s="64"/>
      <c r="BE607" s="64"/>
      <c r="BF607" s="64"/>
      <c r="BG607" s="64"/>
      <c r="BH607" s="64"/>
      <c r="BI607" s="64"/>
      <c r="BJ607" s="64"/>
      <c r="BK607" s="64"/>
      <c r="BL607" s="64"/>
      <c r="BM607" s="64"/>
      <c r="BN607" s="64"/>
      <c r="BO607" s="64"/>
      <c r="BP607" s="64"/>
      <c r="BQ607" s="64"/>
      <c r="BR607" s="64"/>
      <c r="BS607" s="64"/>
      <c r="BT607" s="65"/>
    </row>
    <row r="608" spans="1:72" ht="18" hidden="1" customHeight="1" x14ac:dyDescent="0.3">
      <c r="A608" s="47" t="s">
        <v>598</v>
      </c>
      <c r="B608" s="48" t="s">
        <v>599</v>
      </c>
      <c r="C608" s="49" t="s">
        <v>1320</v>
      </c>
      <c r="D608" s="49" t="s">
        <v>1011</v>
      </c>
      <c r="E608" s="50">
        <v>49.41</v>
      </c>
      <c r="F608" s="50">
        <v>0</v>
      </c>
      <c r="G608" s="61">
        <v>4</v>
      </c>
      <c r="H608" s="16">
        <v>12</v>
      </c>
      <c r="I608" s="48" t="s">
        <v>1016</v>
      </c>
      <c r="J608" s="16" t="s">
        <v>1321</v>
      </c>
      <c r="K608" s="62">
        <v>20</v>
      </c>
      <c r="L608" s="62">
        <v>20</v>
      </c>
      <c r="M608" s="136" t="s">
        <v>1036</v>
      </c>
      <c r="N608" s="64"/>
      <c r="O608" s="63" t="str">
        <f t="shared" si="84"/>
        <v>YES</v>
      </c>
      <c r="P608" s="52"/>
      <c r="Q608" s="53">
        <f t="shared" si="85"/>
        <v>3650</v>
      </c>
      <c r="R608" s="54">
        <f t="shared" si="86"/>
        <v>1803.4</v>
      </c>
      <c r="S608" s="55" t="str">
        <f t="shared" si="87"/>
        <v xml:space="preserve"> </v>
      </c>
      <c r="T608" s="56"/>
      <c r="U608" s="57" t="str">
        <f t="shared" si="88"/>
        <v>100µg/100cm²</v>
      </c>
      <c r="V608" s="58">
        <f t="shared" si="89"/>
        <v>1803.4</v>
      </c>
      <c r="W608" s="58" t="str">
        <f t="shared" si="90"/>
        <v xml:space="preserve"> </v>
      </c>
      <c r="X608" s="59" t="str">
        <f t="shared" si="91"/>
        <v/>
      </c>
      <c r="Y608" s="60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16" t="s">
        <v>675</v>
      </c>
      <c r="AV608" s="64"/>
      <c r="AW608" s="16" t="s">
        <v>675</v>
      </c>
      <c r="AX608" s="64"/>
      <c r="AY608" s="64"/>
      <c r="AZ608" s="64"/>
      <c r="BA608" s="64"/>
      <c r="BB608" s="64"/>
      <c r="BC608" s="64"/>
      <c r="BD608" s="64"/>
      <c r="BE608" s="64"/>
      <c r="BF608" s="64"/>
      <c r="BG608" s="64"/>
      <c r="BH608" s="64"/>
      <c r="BI608" s="64"/>
      <c r="BJ608" s="64"/>
      <c r="BK608" s="64"/>
      <c r="BL608" s="64"/>
      <c r="BM608" s="64"/>
      <c r="BN608" s="64"/>
      <c r="BO608" s="64"/>
      <c r="BP608" s="64"/>
      <c r="BQ608" s="64"/>
      <c r="BR608" s="64"/>
      <c r="BS608" s="64"/>
      <c r="BT608" s="65"/>
    </row>
    <row r="609" spans="1:72" ht="18" customHeight="1" x14ac:dyDescent="0.3">
      <c r="A609" s="80" t="s">
        <v>1766</v>
      </c>
      <c r="B609" s="16" t="s">
        <v>1767</v>
      </c>
      <c r="C609" s="67" t="s">
        <v>1191</v>
      </c>
      <c r="D609" s="49" t="s">
        <v>1114</v>
      </c>
      <c r="E609" s="50">
        <v>0</v>
      </c>
      <c r="F609" s="50">
        <v>0</v>
      </c>
      <c r="G609" s="61">
        <v>7</v>
      </c>
      <c r="H609" s="16" t="s">
        <v>1192</v>
      </c>
      <c r="I609" s="48" t="s">
        <v>1474</v>
      </c>
      <c r="J609" s="16" t="s">
        <v>1351</v>
      </c>
      <c r="K609" s="62">
        <v>6800</v>
      </c>
      <c r="L609" s="62">
        <v>61650</v>
      </c>
      <c r="M609" s="49" t="s">
        <v>1014</v>
      </c>
      <c r="N609" s="51"/>
      <c r="O609" s="49" t="str">
        <f t="shared" si="84"/>
        <v>YES</v>
      </c>
      <c r="P609" s="197"/>
      <c r="Q609" s="53">
        <f t="shared" si="85"/>
        <v>5000</v>
      </c>
      <c r="R609" s="54" t="str">
        <f t="shared" si="86"/>
        <v xml:space="preserve"> </v>
      </c>
      <c r="S609" s="55" t="str">
        <f t="shared" si="87"/>
        <v xml:space="preserve"> </v>
      </c>
      <c r="T609" s="100"/>
      <c r="U609" s="57" t="str">
        <f t="shared" si="88"/>
        <v xml:space="preserve"> </v>
      </c>
      <c r="V609" s="58" t="str">
        <f t="shared" si="89"/>
        <v xml:space="preserve"> </v>
      </c>
      <c r="W609" s="58" t="str">
        <f t="shared" si="90"/>
        <v xml:space="preserve"> </v>
      </c>
      <c r="X609" s="59" t="str">
        <f t="shared" si="91"/>
        <v>Mitigation</v>
      </c>
      <c r="Y609" s="60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16" t="s">
        <v>675</v>
      </c>
      <c r="AK609" s="64"/>
      <c r="AL609" s="64"/>
      <c r="AM609" s="16" t="s">
        <v>675</v>
      </c>
      <c r="AN609" s="64"/>
      <c r="AO609" s="64"/>
      <c r="AP609" s="64"/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  <c r="BB609" s="64"/>
      <c r="BC609" s="64"/>
      <c r="BD609" s="64"/>
      <c r="BE609" s="64"/>
      <c r="BF609" s="64"/>
      <c r="BG609" s="64"/>
      <c r="BH609" s="64"/>
      <c r="BI609" s="64"/>
      <c r="BJ609" s="64"/>
      <c r="BK609" s="64"/>
      <c r="BL609" s="64"/>
      <c r="BM609" s="64"/>
      <c r="BN609" s="64"/>
      <c r="BO609" s="64"/>
      <c r="BP609" s="64"/>
      <c r="BQ609" s="64"/>
      <c r="BR609" s="64"/>
      <c r="BS609" s="64"/>
      <c r="BT609" s="65"/>
    </row>
    <row r="610" spans="1:72" ht="18" customHeight="1" x14ac:dyDescent="0.3">
      <c r="A610" s="47" t="s">
        <v>1820</v>
      </c>
      <c r="B610" s="48" t="s">
        <v>1843</v>
      </c>
      <c r="C610" s="49" t="s">
        <v>1191</v>
      </c>
      <c r="D610" s="49" t="s">
        <v>1114</v>
      </c>
      <c r="E610" s="50">
        <v>0</v>
      </c>
      <c r="F610" s="50">
        <v>0</v>
      </c>
      <c r="G610" s="61">
        <v>7</v>
      </c>
      <c r="H610" s="16" t="s">
        <v>1192</v>
      </c>
      <c r="I610" s="48" t="s">
        <v>1040</v>
      </c>
      <c r="J610" s="16" t="s">
        <v>1193</v>
      </c>
      <c r="K610" s="49">
        <v>25000</v>
      </c>
      <c r="L610" s="49">
        <v>225000</v>
      </c>
      <c r="M610" s="62" t="s">
        <v>1014</v>
      </c>
      <c r="N610" s="51"/>
      <c r="O610" s="49" t="str">
        <f t="shared" si="84"/>
        <v>YES</v>
      </c>
      <c r="P610" s="123"/>
      <c r="Q610" s="53">
        <f t="shared" si="85"/>
        <v>5000</v>
      </c>
      <c r="R610" s="54" t="str">
        <f t="shared" si="86"/>
        <v xml:space="preserve"> </v>
      </c>
      <c r="S610" s="55" t="str">
        <f t="shared" si="87"/>
        <v xml:space="preserve"> </v>
      </c>
      <c r="T610" s="100"/>
      <c r="U610" s="57" t="str">
        <f t="shared" si="88"/>
        <v xml:space="preserve"> </v>
      </c>
      <c r="V610" s="58" t="str">
        <f t="shared" si="89"/>
        <v xml:space="preserve"> </v>
      </c>
      <c r="W610" s="58" t="str">
        <f t="shared" si="90"/>
        <v xml:space="preserve"> </v>
      </c>
      <c r="X610" s="59" t="str">
        <f t="shared" si="91"/>
        <v>Mitigation</v>
      </c>
      <c r="Y610" s="60"/>
      <c r="Z610" s="16" t="s">
        <v>675</v>
      </c>
      <c r="AA610" s="16" t="s">
        <v>675</v>
      </c>
      <c r="AB610" s="16" t="s">
        <v>675</v>
      </c>
      <c r="AC610" s="64"/>
      <c r="AD610" s="64"/>
      <c r="AE610" s="64"/>
      <c r="AF610" s="64"/>
      <c r="AG610" s="64"/>
      <c r="AH610" s="64"/>
      <c r="AI610" s="64"/>
      <c r="AJ610" s="64"/>
      <c r="AK610" s="16" t="s">
        <v>675</v>
      </c>
      <c r="AL610" s="16" t="s">
        <v>675</v>
      </c>
      <c r="AM610" s="16" t="s">
        <v>675</v>
      </c>
      <c r="AN610" s="64"/>
      <c r="AO610" s="64"/>
      <c r="AP610" s="64"/>
      <c r="AQ610" s="16" t="s">
        <v>675</v>
      </c>
      <c r="AR610" s="64"/>
      <c r="AS610" s="64"/>
      <c r="AT610" s="64"/>
      <c r="AU610" s="64"/>
      <c r="AV610" s="64"/>
      <c r="AW610" s="64"/>
      <c r="AX610" s="64"/>
      <c r="AY610" s="64"/>
      <c r="AZ610" s="64"/>
      <c r="BA610" s="16" t="s">
        <v>675</v>
      </c>
      <c r="BB610" s="16" t="s">
        <v>675</v>
      </c>
      <c r="BC610" s="16" t="s">
        <v>675</v>
      </c>
      <c r="BD610" s="64"/>
      <c r="BE610" s="64"/>
      <c r="BF610" s="64"/>
      <c r="BG610" s="64"/>
      <c r="BH610" s="64"/>
      <c r="BI610" s="64"/>
      <c r="BJ610" s="64"/>
      <c r="BK610" s="64"/>
      <c r="BL610" s="64"/>
      <c r="BM610" s="64"/>
      <c r="BN610" s="64"/>
      <c r="BO610" s="64"/>
      <c r="BP610" s="64"/>
      <c r="BQ610" s="64"/>
      <c r="BR610" s="64"/>
      <c r="BS610" s="64"/>
      <c r="BT610" s="65"/>
    </row>
    <row r="611" spans="1:72" ht="18" customHeight="1" x14ac:dyDescent="0.3">
      <c r="A611" s="169" t="s">
        <v>1771</v>
      </c>
      <c r="B611" s="156" t="s">
        <v>1772</v>
      </c>
      <c r="C611" s="145" t="s">
        <v>1773</v>
      </c>
      <c r="D611" s="144" t="s">
        <v>1809</v>
      </c>
      <c r="E611" s="142">
        <v>0</v>
      </c>
      <c r="F611" s="142">
        <v>0</v>
      </c>
      <c r="G611" s="144">
        <v>7</v>
      </c>
      <c r="H611" s="194" t="s">
        <v>1774</v>
      </c>
      <c r="I611" s="156" t="s">
        <v>1016</v>
      </c>
      <c r="J611" s="144" t="s">
        <v>1775</v>
      </c>
      <c r="K611" s="156">
        <v>3200</v>
      </c>
      <c r="L611" s="156">
        <v>28800</v>
      </c>
      <c r="M611" s="156" t="s">
        <v>1014</v>
      </c>
      <c r="N611" s="195"/>
      <c r="O611" s="49" t="str">
        <f t="shared" ref="O611:O642" si="92">IF(AND(ISBLANK(K611),ISBLANK(N611))," ",IF(ISBLANK(N611),"YES","NO"))</f>
        <v>YES</v>
      </c>
      <c r="P611" s="147"/>
      <c r="Q611" s="53">
        <f t="shared" si="85"/>
        <v>5000</v>
      </c>
      <c r="R611" s="54" t="str">
        <f t="shared" si="86"/>
        <v xml:space="preserve"> </v>
      </c>
      <c r="S611" s="55" t="str">
        <f t="shared" si="87"/>
        <v xml:space="preserve"> </v>
      </c>
      <c r="T611" s="148"/>
      <c r="U611" s="57" t="str">
        <f t="shared" si="88"/>
        <v xml:space="preserve"> </v>
      </c>
      <c r="V611" s="58" t="str">
        <f t="shared" si="89"/>
        <v xml:space="preserve"> </v>
      </c>
      <c r="W611" s="58" t="str">
        <f t="shared" si="90"/>
        <v xml:space="preserve"> </v>
      </c>
      <c r="X611" s="59" t="str">
        <f t="shared" si="91"/>
        <v>Mitigation</v>
      </c>
      <c r="Y611" s="60"/>
      <c r="Z611" s="144" t="s">
        <v>675</v>
      </c>
      <c r="AA611" s="149"/>
      <c r="AB611" s="150"/>
      <c r="AC611" s="150"/>
      <c r="AD611" s="150"/>
      <c r="AE611" s="150"/>
      <c r="AF611" s="150"/>
      <c r="AG611" s="150"/>
      <c r="AH611" s="150"/>
      <c r="AI611" s="150"/>
      <c r="AJ611" s="150"/>
      <c r="AK611" s="150"/>
      <c r="AL611" s="150"/>
      <c r="AM611" s="16" t="s">
        <v>675</v>
      </c>
      <c r="AN611" s="150"/>
      <c r="AO611" s="150"/>
      <c r="AP611" s="150"/>
      <c r="AQ611" s="150"/>
      <c r="AR611" s="150"/>
      <c r="AS611" s="150"/>
      <c r="AT611" s="150"/>
      <c r="AU611" s="150"/>
      <c r="AV611" s="150"/>
      <c r="AW611" s="150"/>
      <c r="AX611" s="150"/>
      <c r="AY611" s="150"/>
      <c r="AZ611" s="150"/>
      <c r="BA611" s="150"/>
      <c r="BB611" s="150"/>
      <c r="BC611" s="150"/>
      <c r="BD611" s="150"/>
      <c r="BE611" s="150"/>
      <c r="BF611" s="150"/>
      <c r="BG611" s="150"/>
      <c r="BH611" s="150"/>
      <c r="BI611" s="150"/>
      <c r="BJ611" s="150"/>
      <c r="BK611" s="150"/>
      <c r="BL611" s="150"/>
      <c r="BM611" s="150"/>
      <c r="BN611" s="150"/>
      <c r="BO611" s="150"/>
      <c r="BP611" s="150"/>
      <c r="BQ611" s="150"/>
      <c r="BR611" s="150"/>
      <c r="BS611" s="150"/>
      <c r="BT611" s="150"/>
    </row>
    <row r="612" spans="1:72" ht="18" hidden="1" customHeight="1" x14ac:dyDescent="0.3">
      <c r="A612" s="47" t="s">
        <v>565</v>
      </c>
      <c r="B612" s="48" t="s">
        <v>566</v>
      </c>
      <c r="C612" s="49" t="s">
        <v>1389</v>
      </c>
      <c r="D612" s="49" t="s">
        <v>1247</v>
      </c>
      <c r="E612" s="50">
        <v>40.6</v>
      </c>
      <c r="F612" s="50">
        <v>0</v>
      </c>
      <c r="G612" s="61">
        <v>7</v>
      </c>
      <c r="H612" s="16" t="s">
        <v>1105</v>
      </c>
      <c r="I612" s="48" t="s">
        <v>1016</v>
      </c>
      <c r="J612" s="16" t="s">
        <v>2386</v>
      </c>
      <c r="K612" s="49">
        <v>50</v>
      </c>
      <c r="L612" s="49">
        <v>50</v>
      </c>
      <c r="M612" s="64"/>
      <c r="N612" s="64"/>
      <c r="O612" s="49" t="str">
        <f t="shared" si="92"/>
        <v>YES</v>
      </c>
      <c r="P612" s="147"/>
      <c r="Q612" s="53">
        <f t="shared" si="85"/>
        <v>5000</v>
      </c>
      <c r="R612" s="54">
        <f t="shared" si="86"/>
        <v>2030</v>
      </c>
      <c r="S612" s="55" t="str">
        <f t="shared" si="87"/>
        <v xml:space="preserve"> </v>
      </c>
      <c r="T612" s="148"/>
      <c r="U612" s="57" t="str">
        <f t="shared" si="88"/>
        <v>100µg/100cm²</v>
      </c>
      <c r="V612" s="58">
        <f t="shared" si="89"/>
        <v>2030</v>
      </c>
      <c r="W612" s="58" t="str">
        <f t="shared" si="90"/>
        <v xml:space="preserve"> </v>
      </c>
      <c r="X612" s="59" t="str">
        <f t="shared" si="91"/>
        <v/>
      </c>
      <c r="Y612" s="60"/>
      <c r="Z612" s="16" t="s">
        <v>675</v>
      </c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16" t="s">
        <v>675</v>
      </c>
      <c r="AN612" s="64"/>
      <c r="AO612" s="64"/>
      <c r="AP612" s="64"/>
      <c r="AQ612" s="64"/>
      <c r="AR612" s="64"/>
      <c r="AS612" s="16" t="s">
        <v>675</v>
      </c>
      <c r="AT612" s="64"/>
      <c r="AU612" s="64"/>
      <c r="AV612" s="64"/>
      <c r="AW612" s="64"/>
      <c r="AX612" s="64"/>
      <c r="AY612" s="64"/>
      <c r="AZ612" s="64"/>
      <c r="BA612" s="64"/>
      <c r="BB612" s="64"/>
      <c r="BC612" s="64"/>
      <c r="BD612" s="64"/>
      <c r="BE612" s="64"/>
      <c r="BF612" s="64"/>
      <c r="BG612" s="64"/>
      <c r="BH612" s="64"/>
      <c r="BI612" s="64"/>
      <c r="BJ612" s="64"/>
      <c r="BK612" s="16" t="s">
        <v>675</v>
      </c>
      <c r="BL612" s="64"/>
      <c r="BM612" s="64"/>
      <c r="BN612" s="64"/>
      <c r="BO612" s="64"/>
      <c r="BP612" s="64"/>
      <c r="BQ612" s="64"/>
      <c r="BR612" s="64"/>
      <c r="BS612" s="16" t="s">
        <v>675</v>
      </c>
      <c r="BT612" s="65"/>
    </row>
    <row r="613" spans="1:72" ht="15.75" x14ac:dyDescent="0.3">
      <c r="A613" s="47" t="s">
        <v>829</v>
      </c>
      <c r="B613" s="48" t="s">
        <v>830</v>
      </c>
      <c r="C613" s="16" t="s">
        <v>1639</v>
      </c>
      <c r="D613" s="16" t="s">
        <v>1114</v>
      </c>
      <c r="E613" s="50">
        <v>0</v>
      </c>
      <c r="F613" s="50">
        <v>0</v>
      </c>
      <c r="G613" s="16">
        <v>1</v>
      </c>
      <c r="H613" s="16">
        <v>2190</v>
      </c>
      <c r="I613" s="16" t="s">
        <v>1016</v>
      </c>
      <c r="J613" s="17" t="s">
        <v>2353</v>
      </c>
      <c r="K613" s="16">
        <v>30</v>
      </c>
      <c r="L613" s="16">
        <v>270</v>
      </c>
      <c r="M613" s="16" t="s">
        <v>1014</v>
      </c>
      <c r="N613" s="64"/>
      <c r="O613" s="49" t="str">
        <f t="shared" si="92"/>
        <v>YES</v>
      </c>
      <c r="P613" s="147"/>
      <c r="Q613" s="53">
        <f t="shared" si="85"/>
        <v>5000</v>
      </c>
      <c r="R613" s="54" t="str">
        <f t="shared" si="86"/>
        <v xml:space="preserve"> </v>
      </c>
      <c r="S613" s="55" t="str">
        <f t="shared" si="87"/>
        <v xml:space="preserve"> </v>
      </c>
      <c r="T613" s="148"/>
      <c r="U613" s="57" t="str">
        <f t="shared" si="88"/>
        <v xml:space="preserve"> </v>
      </c>
      <c r="V613" s="58" t="str">
        <f t="shared" si="89"/>
        <v xml:space="preserve"> </v>
      </c>
      <c r="W613" s="57" t="str">
        <f t="shared" si="90"/>
        <v xml:space="preserve"> </v>
      </c>
      <c r="X613" s="59" t="str">
        <f t="shared" si="91"/>
        <v>Water criteria (conductivity)</v>
      </c>
      <c r="Y613" s="60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16" t="s">
        <v>675</v>
      </c>
      <c r="AR613" s="64"/>
      <c r="AS613" s="64"/>
      <c r="AT613" s="64"/>
      <c r="AU613" s="64"/>
      <c r="AV613" s="64"/>
      <c r="AW613" s="64"/>
      <c r="AX613" s="64"/>
      <c r="AY613" s="64"/>
      <c r="AZ613" s="64"/>
      <c r="BA613" s="64"/>
      <c r="BB613" s="64"/>
      <c r="BC613" s="64"/>
      <c r="BD613" s="64"/>
      <c r="BE613" s="64"/>
      <c r="BF613" s="64"/>
      <c r="BG613" s="64"/>
      <c r="BH613" s="64"/>
      <c r="BI613" s="64"/>
      <c r="BJ613" s="64"/>
      <c r="BK613" s="64"/>
      <c r="BL613" s="64"/>
      <c r="BM613" s="64"/>
      <c r="BN613" s="64"/>
      <c r="BO613" s="64"/>
      <c r="BP613" s="64"/>
      <c r="BQ613" s="64"/>
      <c r="BR613" s="64"/>
      <c r="BS613" s="64"/>
      <c r="BT613" s="65"/>
    </row>
    <row r="614" spans="1:72" ht="18" hidden="1" customHeight="1" x14ac:dyDescent="0.3">
      <c r="A614" s="98" t="s">
        <v>567</v>
      </c>
      <c r="B614" s="99" t="s">
        <v>568</v>
      </c>
      <c r="C614" s="16" t="s">
        <v>1503</v>
      </c>
      <c r="D614" s="16" t="s">
        <v>1489</v>
      </c>
      <c r="E614" s="50">
        <v>50</v>
      </c>
      <c r="F614" s="50">
        <v>0</v>
      </c>
      <c r="G614" s="16">
        <v>2</v>
      </c>
      <c r="H614" s="16" t="s">
        <v>1637</v>
      </c>
      <c r="I614" s="48" t="s">
        <v>1016</v>
      </c>
      <c r="J614" s="16" t="s">
        <v>2382</v>
      </c>
      <c r="K614" s="16">
        <v>50</v>
      </c>
      <c r="L614" s="16">
        <v>50</v>
      </c>
      <c r="M614" s="64"/>
      <c r="N614" s="64"/>
      <c r="O614" s="49" t="str">
        <f t="shared" si="92"/>
        <v>YES</v>
      </c>
      <c r="P614" s="147"/>
      <c r="Q614" s="53">
        <f t="shared" si="85"/>
        <v>5000</v>
      </c>
      <c r="R614" s="54">
        <f t="shared" si="86"/>
        <v>2500</v>
      </c>
      <c r="S614" s="55" t="str">
        <f t="shared" si="87"/>
        <v xml:space="preserve"> </v>
      </c>
      <c r="T614" s="148"/>
      <c r="U614" s="57" t="str">
        <f t="shared" si="88"/>
        <v>100µg/100cm²</v>
      </c>
      <c r="V614" s="58">
        <f t="shared" si="89"/>
        <v>2500</v>
      </c>
      <c r="W614" s="58" t="str">
        <f t="shared" si="90"/>
        <v xml:space="preserve"> </v>
      </c>
      <c r="X614" s="59" t="str">
        <f t="shared" si="91"/>
        <v/>
      </c>
      <c r="Y614" s="60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16" t="s">
        <v>675</v>
      </c>
      <c r="AT614" s="64"/>
      <c r="AU614" s="64"/>
      <c r="AV614" s="64"/>
      <c r="AW614" s="64"/>
      <c r="AX614" s="64"/>
      <c r="AY614" s="64"/>
      <c r="AZ614" s="64"/>
      <c r="BA614" s="64"/>
      <c r="BB614" s="64"/>
      <c r="BC614" s="64"/>
      <c r="BD614" s="64"/>
      <c r="BE614" s="64"/>
      <c r="BF614" s="64"/>
      <c r="BG614" s="64"/>
      <c r="BH614" s="64"/>
      <c r="BI614" s="64"/>
      <c r="BJ614" s="64"/>
      <c r="BK614" s="16" t="s">
        <v>675</v>
      </c>
      <c r="BL614" s="64"/>
      <c r="BM614" s="64"/>
      <c r="BN614" s="64"/>
      <c r="BO614" s="64"/>
      <c r="BP614" s="64"/>
      <c r="BQ614" s="64"/>
      <c r="BR614" s="64"/>
      <c r="BS614" s="16" t="s">
        <v>675</v>
      </c>
      <c r="BT614" s="65"/>
    </row>
    <row r="615" spans="1:72" ht="18" hidden="1" customHeight="1" x14ac:dyDescent="0.3">
      <c r="A615" s="80" t="s">
        <v>851</v>
      </c>
      <c r="B615" s="71" t="s">
        <v>852</v>
      </c>
      <c r="C615" s="16" t="s">
        <v>1640</v>
      </c>
      <c r="D615" s="16" t="s">
        <v>1608</v>
      </c>
      <c r="E615" s="50">
        <v>53.77</v>
      </c>
      <c r="F615" s="50">
        <v>0</v>
      </c>
      <c r="G615" s="16">
        <v>7</v>
      </c>
      <c r="H615" s="16" t="s">
        <v>1612</v>
      </c>
      <c r="I615" s="16" t="s">
        <v>1016</v>
      </c>
      <c r="J615" s="16" t="s">
        <v>2395</v>
      </c>
      <c r="K615" s="16">
        <v>5</v>
      </c>
      <c r="L615" s="16">
        <v>5</v>
      </c>
      <c r="M615" s="64"/>
      <c r="N615" s="64"/>
      <c r="O615" s="63" t="str">
        <f t="shared" si="92"/>
        <v>YES</v>
      </c>
      <c r="P615" s="147"/>
      <c r="Q615" s="53">
        <f t="shared" si="85"/>
        <v>912.5</v>
      </c>
      <c r="R615" s="54">
        <f t="shared" si="86"/>
        <v>490.6</v>
      </c>
      <c r="S615" s="55" t="str">
        <f t="shared" si="87"/>
        <v xml:space="preserve"> </v>
      </c>
      <c r="T615" s="148"/>
      <c r="U615" s="57" t="str">
        <f t="shared" si="88"/>
        <v>100µg/100cm²</v>
      </c>
      <c r="V615" s="58">
        <f t="shared" si="89"/>
        <v>490.6</v>
      </c>
      <c r="W615" s="57" t="str">
        <f t="shared" si="90"/>
        <v xml:space="preserve"> </v>
      </c>
      <c r="X615" s="59" t="str">
        <f t="shared" si="91"/>
        <v/>
      </c>
      <c r="Y615" s="60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  <c r="AV615" s="64"/>
      <c r="AW615" s="64"/>
      <c r="AX615" s="64"/>
      <c r="AY615" s="64"/>
      <c r="AZ615" s="64"/>
      <c r="BA615" s="64"/>
      <c r="BB615" s="64"/>
      <c r="BC615" s="64"/>
      <c r="BD615" s="64"/>
      <c r="BE615" s="16" t="s">
        <v>675</v>
      </c>
      <c r="BF615" s="64"/>
      <c r="BG615" s="64"/>
      <c r="BH615" s="64"/>
      <c r="BI615" s="64"/>
      <c r="BJ615" s="64"/>
      <c r="BK615" s="64"/>
      <c r="BL615" s="64"/>
      <c r="BM615" s="64"/>
      <c r="BN615" s="64"/>
      <c r="BO615" s="64"/>
      <c r="BP615" s="64"/>
      <c r="BQ615" s="64"/>
      <c r="BR615" s="64"/>
      <c r="BS615" s="16" t="s">
        <v>675</v>
      </c>
      <c r="BT615" s="65"/>
    </row>
    <row r="616" spans="1:72" ht="18" customHeight="1" x14ac:dyDescent="0.3">
      <c r="A616" s="66" t="s">
        <v>782</v>
      </c>
      <c r="B616" s="69" t="s">
        <v>539</v>
      </c>
      <c r="C616" s="172" t="s">
        <v>1431</v>
      </c>
      <c r="D616" s="67" t="s">
        <v>1432</v>
      </c>
      <c r="E616" s="50">
        <v>0</v>
      </c>
      <c r="F616" s="50">
        <v>0</v>
      </c>
      <c r="G616" s="61">
        <v>3</v>
      </c>
      <c r="H616" s="68" t="s">
        <v>1263</v>
      </c>
      <c r="I616" s="48" t="s">
        <v>1016</v>
      </c>
      <c r="J616" s="16" t="s">
        <v>2386</v>
      </c>
      <c r="K616" s="49">
        <v>50</v>
      </c>
      <c r="L616" s="49">
        <v>50</v>
      </c>
      <c r="M616" s="64"/>
      <c r="N616" s="64"/>
      <c r="O616" s="49" t="str">
        <f t="shared" si="92"/>
        <v>YES</v>
      </c>
      <c r="P616" s="147"/>
      <c r="Q616" s="53">
        <f t="shared" si="85"/>
        <v>5000</v>
      </c>
      <c r="R616" s="54" t="str">
        <f t="shared" si="86"/>
        <v xml:space="preserve"> </v>
      </c>
      <c r="S616" s="55" t="str">
        <f t="shared" si="87"/>
        <v xml:space="preserve"> </v>
      </c>
      <c r="T616" s="148"/>
      <c r="U616" s="57" t="str">
        <f t="shared" si="88"/>
        <v xml:space="preserve"> </v>
      </c>
      <c r="V616" s="58" t="str">
        <f t="shared" si="89"/>
        <v xml:space="preserve"> </v>
      </c>
      <c r="W616" s="58" t="str">
        <f t="shared" si="90"/>
        <v xml:space="preserve"> </v>
      </c>
      <c r="X616" s="59" t="str">
        <f t="shared" si="91"/>
        <v>Water criteria (conductivity)</v>
      </c>
      <c r="Y616" s="60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16" t="s">
        <v>675</v>
      </c>
      <c r="AT616" s="64"/>
      <c r="AU616" s="64"/>
      <c r="AV616" s="64"/>
      <c r="AW616" s="64"/>
      <c r="AX616" s="64"/>
      <c r="AY616" s="64"/>
      <c r="AZ616" s="64"/>
      <c r="BA616" s="64"/>
      <c r="BB616" s="64"/>
      <c r="BC616" s="64"/>
      <c r="BD616" s="64"/>
      <c r="BE616" s="64"/>
      <c r="BF616" s="64"/>
      <c r="BG616" s="64"/>
      <c r="BH616" s="64"/>
      <c r="BI616" s="64"/>
      <c r="BJ616" s="64"/>
      <c r="BK616" s="16" t="s">
        <v>675</v>
      </c>
      <c r="BL616" s="64"/>
      <c r="BM616" s="64"/>
      <c r="BN616" s="64"/>
      <c r="BO616" s="64"/>
      <c r="BP616" s="64"/>
      <c r="BQ616" s="64"/>
      <c r="BR616" s="64"/>
      <c r="BS616" s="16" t="s">
        <v>675</v>
      </c>
      <c r="BT616" s="65"/>
    </row>
    <row r="617" spans="1:72" ht="18" hidden="1" customHeight="1" x14ac:dyDescent="0.3">
      <c r="A617" s="47" t="s">
        <v>751</v>
      </c>
      <c r="B617" s="193" t="s">
        <v>205</v>
      </c>
      <c r="C617" s="16" t="s">
        <v>2204</v>
      </c>
      <c r="D617" s="49" t="s">
        <v>1114</v>
      </c>
      <c r="E617" s="50">
        <v>29.3</v>
      </c>
      <c r="F617" s="50">
        <v>0</v>
      </c>
      <c r="G617" s="61">
        <v>2</v>
      </c>
      <c r="H617" s="16">
        <v>465</v>
      </c>
      <c r="I617" s="48" t="s">
        <v>1016</v>
      </c>
      <c r="J617" s="16" t="s">
        <v>2386</v>
      </c>
      <c r="K617" s="49">
        <v>50</v>
      </c>
      <c r="L617" s="49">
        <v>50</v>
      </c>
      <c r="M617" s="64"/>
      <c r="N617" s="64"/>
      <c r="O617" s="49" t="str">
        <f t="shared" si="92"/>
        <v>YES</v>
      </c>
      <c r="P617" s="147"/>
      <c r="Q617" s="53">
        <f t="shared" si="85"/>
        <v>5000</v>
      </c>
      <c r="R617" s="54">
        <f t="shared" si="86"/>
        <v>1465</v>
      </c>
      <c r="S617" s="55" t="str">
        <f t="shared" si="87"/>
        <v xml:space="preserve"> </v>
      </c>
      <c r="T617" s="148"/>
      <c r="U617" s="57" t="str">
        <f t="shared" si="88"/>
        <v>100µg/100cm²</v>
      </c>
      <c r="V617" s="58">
        <f t="shared" si="89"/>
        <v>1465</v>
      </c>
      <c r="W617" s="58" t="str">
        <f t="shared" si="90"/>
        <v xml:space="preserve"> </v>
      </c>
      <c r="X617" s="59" t="str">
        <f t="shared" si="91"/>
        <v/>
      </c>
      <c r="Y617" s="60"/>
      <c r="Z617" s="16" t="s">
        <v>675</v>
      </c>
      <c r="AA617" s="64"/>
      <c r="AB617" s="64"/>
      <c r="AC617" s="64"/>
      <c r="AD617" s="64"/>
      <c r="AE617" s="16" t="s">
        <v>675</v>
      </c>
      <c r="AF617" s="16" t="s">
        <v>675</v>
      </c>
      <c r="AG617" s="64"/>
      <c r="AH617" s="64"/>
      <c r="AI617" s="16" t="s">
        <v>675</v>
      </c>
      <c r="AJ617" s="64"/>
      <c r="AK617" s="64"/>
      <c r="AL617" s="64"/>
      <c r="AM617" s="16" t="s">
        <v>675</v>
      </c>
      <c r="AN617" s="64"/>
      <c r="AO617" s="64"/>
      <c r="AP617" s="64"/>
      <c r="AQ617" s="64"/>
      <c r="AR617" s="64"/>
      <c r="AS617" s="16" t="s">
        <v>675</v>
      </c>
      <c r="AT617" s="16" t="s">
        <v>675</v>
      </c>
      <c r="AU617" s="16" t="s">
        <v>675</v>
      </c>
      <c r="AV617" s="64"/>
      <c r="AW617" s="16" t="s">
        <v>675</v>
      </c>
      <c r="AX617" s="16" t="s">
        <v>675</v>
      </c>
      <c r="AY617" s="64"/>
      <c r="AZ617" s="64"/>
      <c r="BA617" s="64"/>
      <c r="BB617" s="64"/>
      <c r="BC617" s="64"/>
      <c r="BD617" s="64"/>
      <c r="BE617" s="64"/>
      <c r="BF617" s="64"/>
      <c r="BG617" s="16" t="s">
        <v>675</v>
      </c>
      <c r="BH617" s="64"/>
      <c r="BI617" s="64"/>
      <c r="BJ617" s="64"/>
      <c r="BK617" s="16" t="s">
        <v>675</v>
      </c>
      <c r="BL617" s="64"/>
      <c r="BM617" s="64"/>
      <c r="BN617" s="64"/>
      <c r="BO617" s="64"/>
      <c r="BP617" s="64"/>
      <c r="BQ617" s="64"/>
      <c r="BR617" s="64"/>
      <c r="BS617" s="16" t="s">
        <v>675</v>
      </c>
      <c r="BT617" s="65"/>
    </row>
    <row r="618" spans="1:72" ht="18" hidden="1" customHeight="1" x14ac:dyDescent="0.3">
      <c r="A618" s="47" t="s">
        <v>132</v>
      </c>
      <c r="B618" s="48" t="s">
        <v>133</v>
      </c>
      <c r="C618" s="16" t="s">
        <v>2205</v>
      </c>
      <c r="D618" s="49" t="s">
        <v>1114</v>
      </c>
      <c r="E618" s="50">
        <v>17.649999999999999</v>
      </c>
      <c r="F618" s="50">
        <v>0</v>
      </c>
      <c r="G618" s="61">
        <v>1</v>
      </c>
      <c r="H618" s="16" t="s">
        <v>1023</v>
      </c>
      <c r="I618" s="48" t="s">
        <v>1048</v>
      </c>
      <c r="J618" s="16" t="s">
        <v>2386</v>
      </c>
      <c r="K618" s="49">
        <v>50</v>
      </c>
      <c r="L618" s="49">
        <v>50</v>
      </c>
      <c r="M618" s="64"/>
      <c r="N618" s="64"/>
      <c r="O618" s="49" t="str">
        <f t="shared" si="92"/>
        <v>YES</v>
      </c>
      <c r="P618" s="147"/>
      <c r="Q618" s="53">
        <f t="shared" si="85"/>
        <v>5000</v>
      </c>
      <c r="R618" s="54">
        <f t="shared" si="86"/>
        <v>882.5</v>
      </c>
      <c r="S618" s="55" t="str">
        <f t="shared" si="87"/>
        <v xml:space="preserve"> </v>
      </c>
      <c r="T618" s="148"/>
      <c r="U618" s="57" t="str">
        <f t="shared" si="88"/>
        <v>100µg/100cm²</v>
      </c>
      <c r="V618" s="58">
        <f t="shared" si="89"/>
        <v>882.5</v>
      </c>
      <c r="W618" s="58" t="str">
        <f t="shared" si="90"/>
        <v xml:space="preserve"> </v>
      </c>
      <c r="X618" s="59" t="str">
        <f t="shared" si="91"/>
        <v/>
      </c>
      <c r="Y618" s="60"/>
      <c r="Z618" s="64"/>
      <c r="AA618" s="64"/>
      <c r="AB618" s="64"/>
      <c r="AC618" s="16" t="s">
        <v>675</v>
      </c>
      <c r="AD618" s="16" t="s">
        <v>675</v>
      </c>
      <c r="AE618" s="64"/>
      <c r="AF618" s="64"/>
      <c r="AG618" s="64"/>
      <c r="AH618" s="64"/>
      <c r="AI618" s="64"/>
      <c r="AJ618" s="64"/>
      <c r="AK618" s="64"/>
      <c r="AL618" s="64"/>
      <c r="AM618" s="16" t="s">
        <v>675</v>
      </c>
      <c r="AN618" s="64"/>
      <c r="AO618" s="64"/>
      <c r="AP618" s="64"/>
      <c r="AQ618" s="64"/>
      <c r="AR618" s="16" t="s">
        <v>675</v>
      </c>
      <c r="AS618" s="64"/>
      <c r="AT618" s="64"/>
      <c r="AU618" s="16" t="s">
        <v>675</v>
      </c>
      <c r="AV618" s="64"/>
      <c r="AW618" s="16" t="s">
        <v>675</v>
      </c>
      <c r="AX618" s="64"/>
      <c r="AY618" s="64"/>
      <c r="AZ618" s="64"/>
      <c r="BA618" s="16" t="s">
        <v>675</v>
      </c>
      <c r="BB618" s="16" t="s">
        <v>675</v>
      </c>
      <c r="BC618" s="64"/>
      <c r="BD618" s="64"/>
      <c r="BE618" s="16" t="s">
        <v>675</v>
      </c>
      <c r="BF618" s="64"/>
      <c r="BG618" s="64"/>
      <c r="BH618" s="64"/>
      <c r="BI618" s="64"/>
      <c r="BJ618" s="64"/>
      <c r="BK618" s="64"/>
      <c r="BL618" s="64"/>
      <c r="BM618" s="64"/>
      <c r="BN618" s="64"/>
      <c r="BO618" s="64"/>
      <c r="BP618" s="64"/>
      <c r="BQ618" s="64"/>
      <c r="BR618" s="64"/>
      <c r="BS618" s="16" t="s">
        <v>675</v>
      </c>
      <c r="BT618" s="65"/>
    </row>
    <row r="619" spans="1:72" ht="18" hidden="1" customHeight="1" x14ac:dyDescent="0.3">
      <c r="A619" s="47" t="s">
        <v>759</v>
      </c>
      <c r="B619" s="48" t="s">
        <v>760</v>
      </c>
      <c r="C619" s="49" t="s">
        <v>1408</v>
      </c>
      <c r="D619" s="49" t="s">
        <v>1086</v>
      </c>
      <c r="E619" s="50">
        <v>39.99</v>
      </c>
      <c r="F619" s="50">
        <v>0</v>
      </c>
      <c r="G619" s="61">
        <v>2</v>
      </c>
      <c r="H619" s="16">
        <v>250</v>
      </c>
      <c r="I619" s="48" t="s">
        <v>1189</v>
      </c>
      <c r="J619" s="16" t="s">
        <v>2386</v>
      </c>
      <c r="K619" s="49">
        <v>50</v>
      </c>
      <c r="L619" s="49">
        <v>50</v>
      </c>
      <c r="M619" s="64"/>
      <c r="N619" s="64"/>
      <c r="O619" s="49" t="str">
        <f t="shared" si="92"/>
        <v>YES</v>
      </c>
      <c r="P619" s="147"/>
      <c r="Q619" s="53">
        <f t="shared" si="85"/>
        <v>5000</v>
      </c>
      <c r="R619" s="54">
        <f t="shared" si="86"/>
        <v>1999.5</v>
      </c>
      <c r="S619" s="55" t="str">
        <f t="shared" si="87"/>
        <v xml:space="preserve"> </v>
      </c>
      <c r="T619" s="148"/>
      <c r="U619" s="57" t="str">
        <f t="shared" si="88"/>
        <v>100µg/100cm²</v>
      </c>
      <c r="V619" s="58">
        <f t="shared" si="89"/>
        <v>1999.5</v>
      </c>
      <c r="W619" s="58" t="str">
        <f t="shared" si="90"/>
        <v xml:space="preserve"> </v>
      </c>
      <c r="X619" s="59" t="str">
        <f t="shared" si="91"/>
        <v/>
      </c>
      <c r="Y619" s="60"/>
      <c r="Z619" s="16" t="s">
        <v>1987</v>
      </c>
      <c r="AA619" s="16" t="s">
        <v>1987</v>
      </c>
      <c r="AB619" s="16" t="s">
        <v>1987</v>
      </c>
      <c r="AC619" s="16" t="s">
        <v>1987</v>
      </c>
      <c r="AD619" s="16" t="s">
        <v>1987</v>
      </c>
      <c r="AE619" s="16" t="s">
        <v>1987</v>
      </c>
      <c r="AF619" s="16" t="s">
        <v>1987</v>
      </c>
      <c r="AG619" s="16" t="s">
        <v>1987</v>
      </c>
      <c r="AH619" s="16" t="s">
        <v>1987</v>
      </c>
      <c r="AI619" s="16" t="s">
        <v>1987</v>
      </c>
      <c r="AJ619" s="16" t="s">
        <v>1987</v>
      </c>
      <c r="AK619" s="16" t="s">
        <v>1987</v>
      </c>
      <c r="AL619" s="16" t="s">
        <v>1987</v>
      </c>
      <c r="AM619" s="16" t="s">
        <v>1987</v>
      </c>
      <c r="AN619" s="16" t="s">
        <v>1987</v>
      </c>
      <c r="AO619" s="16" t="s">
        <v>1987</v>
      </c>
      <c r="AP619" s="16" t="s">
        <v>1987</v>
      </c>
      <c r="AQ619" s="16" t="s">
        <v>1987</v>
      </c>
      <c r="AR619" s="16" t="s">
        <v>1987</v>
      </c>
      <c r="AS619" s="16" t="s">
        <v>1987</v>
      </c>
      <c r="AT619" s="16" t="s">
        <v>1987</v>
      </c>
      <c r="AU619" s="16" t="s">
        <v>1987</v>
      </c>
      <c r="AV619" s="16" t="s">
        <v>1987</v>
      </c>
      <c r="AW619" s="16" t="s">
        <v>1987</v>
      </c>
      <c r="AX619" s="16" t="s">
        <v>1987</v>
      </c>
      <c r="AY619" s="16" t="s">
        <v>1987</v>
      </c>
      <c r="AZ619" s="16" t="s">
        <v>1987</v>
      </c>
      <c r="BA619" s="16" t="s">
        <v>1987</v>
      </c>
      <c r="BB619" s="16" t="s">
        <v>1987</v>
      </c>
      <c r="BC619" s="16" t="s">
        <v>1987</v>
      </c>
      <c r="BD619" s="16" t="s">
        <v>1987</v>
      </c>
      <c r="BE619" s="16" t="s">
        <v>1987</v>
      </c>
      <c r="BF619" s="16" t="s">
        <v>1987</v>
      </c>
      <c r="BG619" s="16" t="s">
        <v>1987</v>
      </c>
      <c r="BH619" s="16" t="s">
        <v>1987</v>
      </c>
      <c r="BI619" s="16" t="s">
        <v>1987</v>
      </c>
      <c r="BJ619" s="16" t="s">
        <v>1987</v>
      </c>
      <c r="BK619" s="16" t="s">
        <v>1987</v>
      </c>
      <c r="BL619" s="16" t="s">
        <v>1987</v>
      </c>
      <c r="BM619" s="16" t="s">
        <v>1987</v>
      </c>
      <c r="BN619" s="16" t="s">
        <v>1987</v>
      </c>
      <c r="BO619" s="16" t="s">
        <v>1987</v>
      </c>
      <c r="BP619" s="16" t="s">
        <v>1987</v>
      </c>
      <c r="BQ619" s="16" t="s">
        <v>1987</v>
      </c>
      <c r="BR619" s="16" t="s">
        <v>1987</v>
      </c>
      <c r="BS619" s="16" t="s">
        <v>1987</v>
      </c>
      <c r="BT619" s="16" t="s">
        <v>1987</v>
      </c>
    </row>
    <row r="620" spans="1:72" ht="18" customHeight="1" x14ac:dyDescent="0.3">
      <c r="A620" s="90" t="s">
        <v>649</v>
      </c>
      <c r="B620" s="79" t="s">
        <v>650</v>
      </c>
      <c r="C620" s="48" t="s">
        <v>1076</v>
      </c>
      <c r="D620" s="70" t="s">
        <v>1073</v>
      </c>
      <c r="E620" s="50">
        <v>0</v>
      </c>
      <c r="F620" s="50">
        <v>0</v>
      </c>
      <c r="G620" s="61">
        <v>2</v>
      </c>
      <c r="H620" s="16">
        <v>420</v>
      </c>
      <c r="I620" s="49" t="s">
        <v>1016</v>
      </c>
      <c r="J620" s="16" t="s">
        <v>1077</v>
      </c>
      <c r="K620" s="49">
        <v>2</v>
      </c>
      <c r="L620" s="49">
        <v>18</v>
      </c>
      <c r="M620" s="62" t="s">
        <v>1027</v>
      </c>
      <c r="N620" s="49" t="s">
        <v>2359</v>
      </c>
      <c r="O620" s="63" t="str">
        <f t="shared" si="92"/>
        <v>NO</v>
      </c>
      <c r="P620" s="147"/>
      <c r="Q620" s="53">
        <f t="shared" si="85"/>
        <v>2</v>
      </c>
      <c r="R620" s="54" t="str">
        <f t="shared" si="86"/>
        <v xml:space="preserve"> </v>
      </c>
      <c r="S620" s="55" t="str">
        <f t="shared" si="87"/>
        <v xml:space="preserve"> </v>
      </c>
      <c r="T620" s="148"/>
      <c r="U620" s="57" t="str">
        <f t="shared" si="88"/>
        <v xml:space="preserve"> </v>
      </c>
      <c r="V620" s="58" t="str">
        <f t="shared" si="89"/>
        <v xml:space="preserve"> </v>
      </c>
      <c r="W620" s="58" t="str">
        <f t="shared" si="90"/>
        <v xml:space="preserve"> </v>
      </c>
      <c r="X620" s="59" t="str">
        <f t="shared" si="91"/>
        <v>Mitigation</v>
      </c>
      <c r="Y620" s="60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  <c r="AV620" s="64"/>
      <c r="AW620" s="64"/>
      <c r="AX620" s="64"/>
      <c r="AY620" s="64"/>
      <c r="AZ620" s="64"/>
      <c r="BA620" s="16" t="s">
        <v>675</v>
      </c>
      <c r="BB620" s="16" t="s">
        <v>675</v>
      </c>
      <c r="BC620" s="64"/>
      <c r="BD620" s="64"/>
      <c r="BE620" s="64"/>
      <c r="BF620" s="64"/>
      <c r="BG620" s="64"/>
      <c r="BH620" s="64"/>
      <c r="BI620" s="64"/>
      <c r="BJ620" s="64"/>
      <c r="BK620" s="64"/>
      <c r="BL620" s="64"/>
      <c r="BM620" s="64"/>
      <c r="BN620" s="64"/>
      <c r="BO620" s="64"/>
      <c r="BP620" s="64"/>
      <c r="BQ620" s="64"/>
      <c r="BR620" s="64"/>
      <c r="BS620" s="64"/>
      <c r="BT620" s="65"/>
    </row>
    <row r="621" spans="1:72" ht="18" hidden="1" customHeight="1" x14ac:dyDescent="0.3">
      <c r="A621" s="47" t="s">
        <v>725</v>
      </c>
      <c r="B621" s="48" t="s">
        <v>726</v>
      </c>
      <c r="C621" s="16" t="s">
        <v>1254</v>
      </c>
      <c r="D621" s="49" t="s">
        <v>1114</v>
      </c>
      <c r="E621" s="50">
        <v>40</v>
      </c>
      <c r="F621" s="50">
        <v>0</v>
      </c>
      <c r="G621" s="61">
        <v>2</v>
      </c>
      <c r="H621" s="16">
        <v>340</v>
      </c>
      <c r="I621" s="48" t="s">
        <v>1189</v>
      </c>
      <c r="J621" s="16" t="s">
        <v>1255</v>
      </c>
      <c r="K621" s="49">
        <v>250</v>
      </c>
      <c r="L621" s="49">
        <v>2250</v>
      </c>
      <c r="M621" s="62" t="s">
        <v>1027</v>
      </c>
      <c r="N621" s="62" t="s">
        <v>1058</v>
      </c>
      <c r="O621" s="63" t="str">
        <f t="shared" si="92"/>
        <v>NO</v>
      </c>
      <c r="P621" s="147"/>
      <c r="Q621" s="53">
        <f t="shared" si="85"/>
        <v>250</v>
      </c>
      <c r="R621" s="54">
        <f t="shared" si="86"/>
        <v>100</v>
      </c>
      <c r="S621" s="55" t="str">
        <f t="shared" si="87"/>
        <v xml:space="preserve"> </v>
      </c>
      <c r="T621" s="148"/>
      <c r="U621" s="57" t="str">
        <f t="shared" si="88"/>
        <v>100µg/100cm²</v>
      </c>
      <c r="V621" s="58">
        <f t="shared" si="89"/>
        <v>100</v>
      </c>
      <c r="W621" s="58" t="str">
        <f t="shared" si="90"/>
        <v xml:space="preserve"> </v>
      </c>
      <c r="X621" s="59" t="str">
        <f t="shared" si="91"/>
        <v/>
      </c>
      <c r="Y621" s="60"/>
      <c r="Z621" s="64"/>
      <c r="AA621" s="16" t="s">
        <v>675</v>
      </c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16" t="s">
        <v>675</v>
      </c>
      <c r="AN621" s="65"/>
      <c r="AO621" s="65"/>
      <c r="AP621" s="65"/>
      <c r="AQ621" s="65"/>
      <c r="AR621" s="65"/>
      <c r="AS621" s="65"/>
      <c r="AT621" s="65"/>
      <c r="AU621" s="65"/>
      <c r="AV621" s="65"/>
      <c r="AW621" s="65"/>
      <c r="AX621" s="65"/>
      <c r="AY621" s="65"/>
      <c r="AZ621" s="65"/>
      <c r="BA621" s="65"/>
      <c r="BB621" s="65"/>
      <c r="BC621" s="65"/>
      <c r="BD621" s="65"/>
      <c r="BE621" s="65"/>
      <c r="BF621" s="65"/>
      <c r="BG621" s="65"/>
      <c r="BH621" s="65"/>
      <c r="BI621" s="65"/>
      <c r="BJ621" s="65"/>
      <c r="BK621" s="65"/>
      <c r="BL621" s="65"/>
      <c r="BM621" s="65"/>
      <c r="BN621" s="65"/>
      <c r="BO621" s="65"/>
      <c r="BP621" s="65"/>
      <c r="BQ621" s="65"/>
      <c r="BR621" s="65"/>
      <c r="BS621" s="65"/>
      <c r="BT621" s="65"/>
    </row>
    <row r="622" spans="1:72" ht="18" hidden="1" customHeight="1" x14ac:dyDescent="0.3">
      <c r="A622" s="47" t="s">
        <v>2002</v>
      </c>
      <c r="B622" s="102" t="s">
        <v>2003</v>
      </c>
      <c r="C622" s="16" t="s">
        <v>2007</v>
      </c>
      <c r="D622" s="16" t="s">
        <v>1011</v>
      </c>
      <c r="E622" s="50">
        <v>58.34</v>
      </c>
      <c r="F622" s="50">
        <v>0</v>
      </c>
      <c r="G622" s="16">
        <v>2</v>
      </c>
      <c r="H622" s="16" t="s">
        <v>2026</v>
      </c>
      <c r="I622" s="16" t="s">
        <v>1016</v>
      </c>
      <c r="J622" s="16" t="s">
        <v>2376</v>
      </c>
      <c r="K622" s="16">
        <v>20</v>
      </c>
      <c r="L622" s="16">
        <v>20</v>
      </c>
      <c r="M622" s="64"/>
      <c r="N622" s="16" t="s">
        <v>2377</v>
      </c>
      <c r="O622" s="63" t="str">
        <f t="shared" si="92"/>
        <v>NO</v>
      </c>
      <c r="P622" s="147"/>
      <c r="Q622" s="53">
        <f t="shared" si="85"/>
        <v>20</v>
      </c>
      <c r="R622" s="54">
        <f t="shared" si="86"/>
        <v>11.6</v>
      </c>
      <c r="S622" s="55" t="str">
        <f t="shared" si="87"/>
        <v xml:space="preserve"> </v>
      </c>
      <c r="T622" s="148"/>
      <c r="U622" s="57" t="str">
        <f t="shared" si="88"/>
        <v>Mitigation</v>
      </c>
      <c r="V622" s="58">
        <f t="shared" si="89"/>
        <v>11.6</v>
      </c>
      <c r="W622" s="57" t="str">
        <f t="shared" si="90"/>
        <v xml:space="preserve"> </v>
      </c>
      <c r="X622" s="59" t="str">
        <f t="shared" si="91"/>
        <v/>
      </c>
      <c r="Y622" s="60"/>
      <c r="Z622" s="64"/>
      <c r="AA622" s="64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  <c r="AW622" s="65"/>
      <c r="AX622" s="65"/>
      <c r="AY622" s="65"/>
      <c r="AZ622" s="65"/>
      <c r="BA622" s="65"/>
      <c r="BB622" s="65"/>
      <c r="BC622" s="65"/>
      <c r="BD622" s="65"/>
      <c r="BE622" s="65"/>
      <c r="BF622" s="65"/>
      <c r="BG622" s="65"/>
      <c r="BH622" s="65"/>
      <c r="BI622" s="65"/>
      <c r="BJ622" s="65"/>
      <c r="BK622" s="65"/>
      <c r="BL622" s="65"/>
      <c r="BM622" s="65"/>
      <c r="BN622" s="65"/>
      <c r="BO622" s="65"/>
      <c r="BP622" s="65"/>
      <c r="BQ622" s="65"/>
      <c r="BR622" s="65"/>
      <c r="BS622" s="65"/>
      <c r="BT622" s="65"/>
    </row>
    <row r="623" spans="1:72" ht="18" customHeight="1" x14ac:dyDescent="0.3">
      <c r="A623" s="47" t="s">
        <v>282</v>
      </c>
      <c r="B623" s="48" t="s">
        <v>283</v>
      </c>
      <c r="C623" s="49" t="s">
        <v>1383</v>
      </c>
      <c r="D623" s="49" t="s">
        <v>1114</v>
      </c>
      <c r="E623" s="50">
        <v>0</v>
      </c>
      <c r="F623" s="50">
        <v>0</v>
      </c>
      <c r="G623" s="61">
        <v>2</v>
      </c>
      <c r="H623" s="16">
        <v>220</v>
      </c>
      <c r="I623" s="48" t="s">
        <v>1012</v>
      </c>
      <c r="J623" s="16" t="s">
        <v>2386</v>
      </c>
      <c r="K623" s="49">
        <v>50</v>
      </c>
      <c r="L623" s="49">
        <v>50</v>
      </c>
      <c r="M623" s="64"/>
      <c r="N623" s="64"/>
      <c r="O623" s="63" t="str">
        <f t="shared" si="92"/>
        <v>YES</v>
      </c>
      <c r="P623" s="147"/>
      <c r="Q623" s="53">
        <f t="shared" si="85"/>
        <v>5000</v>
      </c>
      <c r="R623" s="54" t="str">
        <f t="shared" si="86"/>
        <v xml:space="preserve"> </v>
      </c>
      <c r="S623" s="55" t="str">
        <f t="shared" si="87"/>
        <v xml:space="preserve"> </v>
      </c>
      <c r="T623" s="148"/>
      <c r="U623" s="57" t="str">
        <f t="shared" si="88"/>
        <v xml:space="preserve"> </v>
      </c>
      <c r="V623" s="58" t="str">
        <f t="shared" si="89"/>
        <v xml:space="preserve"> </v>
      </c>
      <c r="W623" s="58" t="str">
        <f t="shared" si="90"/>
        <v xml:space="preserve"> </v>
      </c>
      <c r="X623" s="59" t="str">
        <f t="shared" si="91"/>
        <v>Water criteria (conductivity)</v>
      </c>
      <c r="Y623" s="60"/>
      <c r="Z623" s="64"/>
      <c r="AA623" s="64"/>
      <c r="AB623" s="64"/>
      <c r="AC623" s="64"/>
      <c r="AD623" s="64"/>
      <c r="AE623" s="64"/>
      <c r="AF623" s="16" t="s">
        <v>675</v>
      </c>
      <c r="AG623" s="64"/>
      <c r="AH623" s="64"/>
      <c r="AI623" s="64"/>
      <c r="AJ623" s="64"/>
      <c r="AK623" s="64"/>
      <c r="AL623" s="64"/>
      <c r="AM623" s="16" t="s">
        <v>675</v>
      </c>
      <c r="AN623" s="64"/>
      <c r="AO623" s="64"/>
      <c r="AP623" s="64"/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  <c r="BB623" s="64"/>
      <c r="BC623" s="64"/>
      <c r="BD623" s="64"/>
      <c r="BE623" s="16" t="s">
        <v>675</v>
      </c>
      <c r="BF623" s="64"/>
      <c r="BG623" s="64"/>
      <c r="BH623" s="16" t="s">
        <v>675</v>
      </c>
      <c r="BI623" s="64"/>
      <c r="BJ623" s="64"/>
      <c r="BK623" s="64"/>
      <c r="BL623" s="64"/>
      <c r="BM623" s="64"/>
      <c r="BN623" s="64"/>
      <c r="BO623" s="64"/>
      <c r="BP623" s="64"/>
      <c r="BQ623" s="64"/>
      <c r="BR623" s="64"/>
      <c r="BS623" s="16" t="s">
        <v>675</v>
      </c>
      <c r="BT623" s="65"/>
    </row>
    <row r="624" spans="1:72" ht="18" customHeight="1" x14ac:dyDescent="0.3">
      <c r="A624" s="84" t="s">
        <v>58</v>
      </c>
      <c r="B624" s="70" t="s">
        <v>59</v>
      </c>
      <c r="C624" s="70" t="s">
        <v>1384</v>
      </c>
      <c r="D624" s="49" t="s">
        <v>1114</v>
      </c>
      <c r="E624" s="50">
        <v>0</v>
      </c>
      <c r="F624" s="50">
        <v>0</v>
      </c>
      <c r="G624" s="61">
        <v>2</v>
      </c>
      <c r="H624" s="16">
        <v>358</v>
      </c>
      <c r="I624" s="49" t="s">
        <v>1012</v>
      </c>
      <c r="J624" s="16" t="s">
        <v>2386</v>
      </c>
      <c r="K624" s="49">
        <v>50</v>
      </c>
      <c r="L624" s="49">
        <v>50</v>
      </c>
      <c r="M624" s="64"/>
      <c r="N624" s="64"/>
      <c r="O624" s="63" t="str">
        <f t="shared" si="92"/>
        <v>YES</v>
      </c>
      <c r="P624" s="147"/>
      <c r="Q624" s="53">
        <f t="shared" si="85"/>
        <v>5000</v>
      </c>
      <c r="R624" s="54" t="str">
        <f t="shared" si="86"/>
        <v xml:space="preserve"> </v>
      </c>
      <c r="S624" s="55" t="str">
        <f t="shared" si="87"/>
        <v xml:space="preserve"> </v>
      </c>
      <c r="T624" s="148"/>
      <c r="U624" s="57" t="str">
        <f t="shared" si="88"/>
        <v xml:space="preserve"> </v>
      </c>
      <c r="V624" s="58" t="str">
        <f t="shared" si="89"/>
        <v xml:space="preserve"> </v>
      </c>
      <c r="W624" s="58" t="str">
        <f t="shared" si="90"/>
        <v xml:space="preserve"> </v>
      </c>
      <c r="X624" s="59" t="str">
        <f t="shared" si="91"/>
        <v>Water criteria (conductivity)</v>
      </c>
      <c r="Y624" s="60"/>
      <c r="Z624" s="16" t="s">
        <v>675</v>
      </c>
      <c r="AA624" s="16" t="s">
        <v>675</v>
      </c>
      <c r="AB624" s="16" t="s">
        <v>675</v>
      </c>
      <c r="AC624" s="16" t="s">
        <v>675</v>
      </c>
      <c r="AD624" s="16" t="s">
        <v>675</v>
      </c>
      <c r="AE624" s="16" t="s">
        <v>675</v>
      </c>
      <c r="AF624" s="16" t="s">
        <v>675</v>
      </c>
      <c r="AG624" s="16" t="s">
        <v>675</v>
      </c>
      <c r="AH624" s="16" t="s">
        <v>675</v>
      </c>
      <c r="AI624" s="16" t="s">
        <v>675</v>
      </c>
      <c r="AJ624" s="16" t="s">
        <v>675</v>
      </c>
      <c r="AK624" s="16" t="s">
        <v>675</v>
      </c>
      <c r="AL624" s="16" t="s">
        <v>675</v>
      </c>
      <c r="AM624" s="16" t="s">
        <v>675</v>
      </c>
      <c r="AN624" s="16" t="s">
        <v>675</v>
      </c>
      <c r="AO624" s="16" t="s">
        <v>675</v>
      </c>
      <c r="AP624" s="16" t="s">
        <v>675</v>
      </c>
      <c r="AQ624" s="16" t="s">
        <v>675</v>
      </c>
      <c r="AR624" s="16" t="s">
        <v>675</v>
      </c>
      <c r="AS624" s="16" t="s">
        <v>675</v>
      </c>
      <c r="AT624" s="16" t="s">
        <v>675</v>
      </c>
      <c r="AU624" s="16" t="s">
        <v>675</v>
      </c>
      <c r="AV624" s="16" t="s">
        <v>675</v>
      </c>
      <c r="AW624" s="16" t="s">
        <v>675</v>
      </c>
      <c r="AX624" s="16" t="s">
        <v>675</v>
      </c>
      <c r="AY624" s="16" t="s">
        <v>675</v>
      </c>
      <c r="AZ624" s="16" t="s">
        <v>675</v>
      </c>
      <c r="BA624" s="16" t="s">
        <v>675</v>
      </c>
      <c r="BB624" s="16" t="s">
        <v>675</v>
      </c>
      <c r="BC624" s="16" t="s">
        <v>675</v>
      </c>
      <c r="BD624" s="64"/>
      <c r="BE624" s="64"/>
      <c r="BF624" s="64"/>
      <c r="BG624" s="16" t="s">
        <v>675</v>
      </c>
      <c r="BH624" s="16" t="s">
        <v>675</v>
      </c>
      <c r="BI624" s="64"/>
      <c r="BJ624" s="64"/>
      <c r="BK624" s="64"/>
      <c r="BL624" s="64"/>
      <c r="BM624" s="64"/>
      <c r="BN624" s="64"/>
      <c r="BO624" s="64"/>
      <c r="BP624" s="64"/>
      <c r="BQ624" s="64"/>
      <c r="BR624" s="64"/>
      <c r="BS624" s="16" t="s">
        <v>675</v>
      </c>
      <c r="BT624" s="65"/>
    </row>
    <row r="625" spans="1:72" ht="18" hidden="1" customHeight="1" x14ac:dyDescent="0.3">
      <c r="A625" s="66" t="s">
        <v>611</v>
      </c>
      <c r="B625" s="69" t="s">
        <v>525</v>
      </c>
      <c r="C625" s="16" t="s">
        <v>2206</v>
      </c>
      <c r="D625" s="67" t="s">
        <v>1114</v>
      </c>
      <c r="E625" s="50">
        <v>27.92</v>
      </c>
      <c r="F625" s="50">
        <v>0</v>
      </c>
      <c r="G625" s="61">
        <v>2</v>
      </c>
      <c r="H625" s="16">
        <v>425</v>
      </c>
      <c r="I625" s="48" t="s">
        <v>1016</v>
      </c>
      <c r="J625" s="16" t="s">
        <v>2386</v>
      </c>
      <c r="K625" s="49">
        <v>50</v>
      </c>
      <c r="L625" s="49">
        <v>50</v>
      </c>
      <c r="M625" s="64"/>
      <c r="N625" s="64"/>
      <c r="O625" s="63" t="str">
        <f t="shared" si="92"/>
        <v>YES</v>
      </c>
      <c r="P625" s="147"/>
      <c r="Q625" s="53">
        <f t="shared" si="85"/>
        <v>5000</v>
      </c>
      <c r="R625" s="54">
        <f t="shared" si="86"/>
        <v>1396</v>
      </c>
      <c r="S625" s="55" t="str">
        <f t="shared" si="87"/>
        <v xml:space="preserve"> </v>
      </c>
      <c r="T625" s="148"/>
      <c r="U625" s="57" t="str">
        <f t="shared" si="88"/>
        <v>100µg/100cm²</v>
      </c>
      <c r="V625" s="58">
        <f t="shared" si="89"/>
        <v>1396</v>
      </c>
      <c r="W625" s="58" t="str">
        <f t="shared" si="90"/>
        <v xml:space="preserve"> </v>
      </c>
      <c r="X625" s="59" t="str">
        <f t="shared" si="91"/>
        <v/>
      </c>
      <c r="Y625" s="60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16" t="s">
        <v>675</v>
      </c>
      <c r="AT625" s="64"/>
      <c r="AU625" s="16" t="s">
        <v>675</v>
      </c>
      <c r="AV625" s="64"/>
      <c r="AW625" s="16" t="s">
        <v>675</v>
      </c>
      <c r="AX625" s="64"/>
      <c r="AY625" s="64"/>
      <c r="AZ625" s="64"/>
      <c r="BA625" s="64"/>
      <c r="BB625" s="64"/>
      <c r="BC625" s="64"/>
      <c r="BD625" s="64"/>
      <c r="BE625" s="64"/>
      <c r="BF625" s="64"/>
      <c r="BG625" s="64"/>
      <c r="BH625" s="16" t="s">
        <v>675</v>
      </c>
      <c r="BI625" s="64"/>
      <c r="BJ625" s="64"/>
      <c r="BK625" s="64"/>
      <c r="BL625" s="64"/>
      <c r="BM625" s="64"/>
      <c r="BN625" s="64"/>
      <c r="BO625" s="64"/>
      <c r="BP625" s="64"/>
      <c r="BQ625" s="64"/>
      <c r="BR625" s="64"/>
      <c r="BS625" s="16" t="s">
        <v>675</v>
      </c>
      <c r="BT625" s="65"/>
    </row>
    <row r="626" spans="1:72" ht="18" hidden="1" customHeight="1" x14ac:dyDescent="0.3">
      <c r="A626" s="47" t="s">
        <v>160</v>
      </c>
      <c r="B626" s="48" t="s">
        <v>161</v>
      </c>
      <c r="C626" s="16" t="s">
        <v>2207</v>
      </c>
      <c r="D626" s="49" t="s">
        <v>1114</v>
      </c>
      <c r="E626" s="50">
        <v>24.5</v>
      </c>
      <c r="F626" s="50">
        <v>0</v>
      </c>
      <c r="G626" s="61">
        <v>2</v>
      </c>
      <c r="H626" s="16">
        <v>425</v>
      </c>
      <c r="I626" s="48" t="s">
        <v>1016</v>
      </c>
      <c r="J626" s="16" t="s">
        <v>2386</v>
      </c>
      <c r="K626" s="49">
        <v>50</v>
      </c>
      <c r="L626" s="49">
        <v>50</v>
      </c>
      <c r="M626" s="64"/>
      <c r="N626" s="64"/>
      <c r="O626" s="63" t="str">
        <f t="shared" si="92"/>
        <v>YES</v>
      </c>
      <c r="P626" s="147"/>
      <c r="Q626" s="53">
        <f t="shared" si="85"/>
        <v>5000</v>
      </c>
      <c r="R626" s="54">
        <f t="shared" si="86"/>
        <v>1225</v>
      </c>
      <c r="S626" s="55" t="str">
        <f t="shared" si="87"/>
        <v xml:space="preserve"> </v>
      </c>
      <c r="T626" s="148"/>
      <c r="U626" s="57" t="str">
        <f t="shared" si="88"/>
        <v>100µg/100cm²</v>
      </c>
      <c r="V626" s="58">
        <f t="shared" si="89"/>
        <v>1225</v>
      </c>
      <c r="W626" s="58" t="str">
        <f t="shared" si="90"/>
        <v xml:space="preserve"> </v>
      </c>
      <c r="X626" s="59" t="str">
        <f t="shared" si="91"/>
        <v/>
      </c>
      <c r="Y626" s="60"/>
      <c r="Z626" s="64"/>
      <c r="AA626" s="64"/>
      <c r="AB626" s="64"/>
      <c r="AC626" s="64"/>
      <c r="AD626" s="16" t="s">
        <v>675</v>
      </c>
      <c r="AE626" s="64"/>
      <c r="AF626" s="64"/>
      <c r="AG626" s="64"/>
      <c r="AH626" s="64"/>
      <c r="AI626" s="64"/>
      <c r="AJ626" s="64"/>
      <c r="AK626" s="64"/>
      <c r="AL626" s="64"/>
      <c r="AM626" s="16" t="s">
        <v>675</v>
      </c>
      <c r="AN626" s="64"/>
      <c r="AO626" s="16" t="s">
        <v>675</v>
      </c>
      <c r="AP626" s="16" t="s">
        <v>675</v>
      </c>
      <c r="AQ626" s="64"/>
      <c r="AR626" s="64"/>
      <c r="AS626" s="16" t="s">
        <v>675</v>
      </c>
      <c r="AT626" s="64"/>
      <c r="AU626" s="16" t="s">
        <v>675</v>
      </c>
      <c r="AV626" s="16" t="s">
        <v>675</v>
      </c>
      <c r="AW626" s="16" t="s">
        <v>675</v>
      </c>
      <c r="AX626" s="64"/>
      <c r="AY626" s="64"/>
      <c r="AZ626" s="64"/>
      <c r="BA626" s="16" t="s">
        <v>675</v>
      </c>
      <c r="BB626" s="16" t="s">
        <v>675</v>
      </c>
      <c r="BC626" s="64"/>
      <c r="BD626" s="64"/>
      <c r="BE626" s="16" t="s">
        <v>675</v>
      </c>
      <c r="BF626" s="64"/>
      <c r="BG626" s="64"/>
      <c r="BH626" s="16" t="s">
        <v>675</v>
      </c>
      <c r="BI626" s="64"/>
      <c r="BJ626" s="64"/>
      <c r="BK626" s="64"/>
      <c r="BL626" s="64"/>
      <c r="BM626" s="64"/>
      <c r="BN626" s="64"/>
      <c r="BO626" s="64"/>
      <c r="BP626" s="64"/>
      <c r="BQ626" s="64"/>
      <c r="BR626" s="64"/>
      <c r="BS626" s="16" t="s">
        <v>675</v>
      </c>
      <c r="BT626" s="65"/>
    </row>
    <row r="627" spans="1:72" ht="18" hidden="1" customHeight="1" x14ac:dyDescent="0.3">
      <c r="A627" s="47" t="s">
        <v>766</v>
      </c>
      <c r="B627" s="48" t="s">
        <v>767</v>
      </c>
      <c r="C627" s="16" t="s">
        <v>2208</v>
      </c>
      <c r="D627" s="49" t="s">
        <v>1114</v>
      </c>
      <c r="E627" s="50">
        <v>48.4</v>
      </c>
      <c r="F627" s="50">
        <v>0</v>
      </c>
      <c r="G627" s="61">
        <v>3</v>
      </c>
      <c r="H627" s="16">
        <v>60</v>
      </c>
      <c r="I627" s="48" t="s">
        <v>1189</v>
      </c>
      <c r="J627" s="16" t="s">
        <v>2386</v>
      </c>
      <c r="K627" s="49">
        <v>50</v>
      </c>
      <c r="L627" s="49">
        <v>50</v>
      </c>
      <c r="M627" s="64"/>
      <c r="N627" s="64"/>
      <c r="O627" s="63" t="str">
        <f t="shared" si="92"/>
        <v>YES</v>
      </c>
      <c r="P627" s="147"/>
      <c r="Q627" s="53">
        <f t="shared" si="85"/>
        <v>5000</v>
      </c>
      <c r="R627" s="54">
        <f t="shared" si="86"/>
        <v>2420</v>
      </c>
      <c r="S627" s="55" t="str">
        <f t="shared" si="87"/>
        <v xml:space="preserve"> </v>
      </c>
      <c r="T627" s="148"/>
      <c r="U627" s="57" t="str">
        <f t="shared" si="88"/>
        <v>100µg/100cm²</v>
      </c>
      <c r="V627" s="58">
        <f t="shared" si="89"/>
        <v>2420</v>
      </c>
      <c r="W627" s="58" t="str">
        <f t="shared" si="90"/>
        <v xml:space="preserve"> </v>
      </c>
      <c r="X627" s="59" t="str">
        <f t="shared" si="91"/>
        <v/>
      </c>
      <c r="Y627" s="60"/>
      <c r="Z627" s="16" t="s">
        <v>1987</v>
      </c>
      <c r="AA627" s="16" t="s">
        <v>1987</v>
      </c>
      <c r="AB627" s="16" t="s">
        <v>1987</v>
      </c>
      <c r="AC627" s="16" t="s">
        <v>1987</v>
      </c>
      <c r="AD627" s="16" t="s">
        <v>1987</v>
      </c>
      <c r="AE627" s="16" t="s">
        <v>1987</v>
      </c>
      <c r="AF627" s="16" t="s">
        <v>1987</v>
      </c>
      <c r="AG627" s="16" t="s">
        <v>1987</v>
      </c>
      <c r="AH627" s="16" t="s">
        <v>1987</v>
      </c>
      <c r="AI627" s="16" t="s">
        <v>1987</v>
      </c>
      <c r="AJ627" s="16" t="s">
        <v>1987</v>
      </c>
      <c r="AK627" s="16" t="s">
        <v>1987</v>
      </c>
      <c r="AL627" s="16" t="s">
        <v>1987</v>
      </c>
      <c r="AM627" s="16" t="s">
        <v>1987</v>
      </c>
      <c r="AN627" s="16" t="s">
        <v>1987</v>
      </c>
      <c r="AO627" s="16" t="s">
        <v>1987</v>
      </c>
      <c r="AP627" s="16" t="s">
        <v>1987</v>
      </c>
      <c r="AQ627" s="16" t="s">
        <v>1987</v>
      </c>
      <c r="AR627" s="16" t="s">
        <v>1987</v>
      </c>
      <c r="AS627" s="16" t="s">
        <v>1987</v>
      </c>
      <c r="AT627" s="16" t="s">
        <v>1987</v>
      </c>
      <c r="AU627" s="16" t="s">
        <v>1987</v>
      </c>
      <c r="AV627" s="16" t="s">
        <v>1987</v>
      </c>
      <c r="AW627" s="16" t="s">
        <v>1987</v>
      </c>
      <c r="AX627" s="16" t="s">
        <v>1987</v>
      </c>
      <c r="AY627" s="16" t="s">
        <v>1987</v>
      </c>
      <c r="AZ627" s="16" t="s">
        <v>1987</v>
      </c>
      <c r="BA627" s="16" t="s">
        <v>1987</v>
      </c>
      <c r="BB627" s="16" t="s">
        <v>1987</v>
      </c>
      <c r="BC627" s="16" t="s">
        <v>1987</v>
      </c>
      <c r="BD627" s="16" t="s">
        <v>1987</v>
      </c>
      <c r="BE627" s="16" t="s">
        <v>1987</v>
      </c>
      <c r="BF627" s="16" t="s">
        <v>1987</v>
      </c>
      <c r="BG627" s="16" t="s">
        <v>1987</v>
      </c>
      <c r="BH627" s="16" t="s">
        <v>1987</v>
      </c>
      <c r="BI627" s="16" t="s">
        <v>1987</v>
      </c>
      <c r="BJ627" s="16" t="s">
        <v>1987</v>
      </c>
      <c r="BK627" s="16" t="s">
        <v>1987</v>
      </c>
      <c r="BL627" s="16" t="s">
        <v>1987</v>
      </c>
      <c r="BM627" s="16" t="s">
        <v>1987</v>
      </c>
      <c r="BN627" s="16" t="s">
        <v>1987</v>
      </c>
      <c r="BO627" s="16" t="s">
        <v>1987</v>
      </c>
      <c r="BP627" s="16" t="s">
        <v>1987</v>
      </c>
      <c r="BQ627" s="16" t="s">
        <v>1987</v>
      </c>
      <c r="BR627" s="16" t="s">
        <v>1987</v>
      </c>
      <c r="BS627" s="16" t="s">
        <v>1987</v>
      </c>
      <c r="BT627" s="16" t="s">
        <v>1987</v>
      </c>
    </row>
    <row r="628" spans="1:72" ht="18" hidden="1" customHeight="1" x14ac:dyDescent="0.3">
      <c r="A628" s="47" t="s">
        <v>592</v>
      </c>
      <c r="B628" s="48" t="s">
        <v>593</v>
      </c>
      <c r="C628" s="16" t="s">
        <v>2209</v>
      </c>
      <c r="D628" s="49" t="s">
        <v>1221</v>
      </c>
      <c r="E628" s="50">
        <v>19.05</v>
      </c>
      <c r="F628" s="50">
        <v>0</v>
      </c>
      <c r="G628" s="61">
        <v>1</v>
      </c>
      <c r="H628" s="16">
        <v>2120</v>
      </c>
      <c r="I628" s="48" t="s">
        <v>1016</v>
      </c>
      <c r="J628" s="16" t="s">
        <v>1222</v>
      </c>
      <c r="K628" s="49">
        <v>10</v>
      </c>
      <c r="L628" s="49">
        <v>90</v>
      </c>
      <c r="M628" s="62" t="s">
        <v>1021</v>
      </c>
      <c r="N628" s="16" t="s">
        <v>2358</v>
      </c>
      <c r="O628" s="63" t="str">
        <f t="shared" si="92"/>
        <v>NO</v>
      </c>
      <c r="P628" s="147"/>
      <c r="Q628" s="53">
        <f t="shared" si="85"/>
        <v>10</v>
      </c>
      <c r="R628" s="54">
        <f t="shared" si="86"/>
        <v>1.9</v>
      </c>
      <c r="S628" s="55" t="str">
        <f t="shared" si="87"/>
        <v xml:space="preserve"> </v>
      </c>
      <c r="T628" s="148"/>
      <c r="U628" s="57" t="str">
        <f t="shared" si="88"/>
        <v>Mitigation</v>
      </c>
      <c r="V628" s="58">
        <f t="shared" si="89"/>
        <v>1.9</v>
      </c>
      <c r="W628" s="58" t="str">
        <f t="shared" si="90"/>
        <v xml:space="preserve"> </v>
      </c>
      <c r="X628" s="59" t="str">
        <f t="shared" si="91"/>
        <v/>
      </c>
      <c r="Y628" s="60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16" t="s">
        <v>675</v>
      </c>
      <c r="AV628" s="64"/>
      <c r="AW628" s="16" t="s">
        <v>675</v>
      </c>
      <c r="AX628" s="64"/>
      <c r="AY628" s="64"/>
      <c r="AZ628" s="64"/>
      <c r="BA628" s="64"/>
      <c r="BB628" s="64"/>
      <c r="BC628" s="64"/>
      <c r="BD628" s="64"/>
      <c r="BE628" s="64"/>
      <c r="BF628" s="64"/>
      <c r="BG628" s="64"/>
      <c r="BH628" s="64"/>
      <c r="BI628" s="64"/>
      <c r="BJ628" s="64"/>
      <c r="BK628" s="64"/>
      <c r="BL628" s="64"/>
      <c r="BM628" s="64"/>
      <c r="BN628" s="64"/>
      <c r="BO628" s="64"/>
      <c r="BP628" s="64"/>
      <c r="BQ628" s="64"/>
      <c r="BR628" s="64"/>
      <c r="BS628" s="64"/>
      <c r="BT628" s="65"/>
    </row>
    <row r="629" spans="1:72" ht="18" hidden="1" customHeight="1" x14ac:dyDescent="0.3">
      <c r="A629" s="47" t="s">
        <v>337</v>
      </c>
      <c r="B629" s="48" t="s">
        <v>338</v>
      </c>
      <c r="C629" s="49" t="s">
        <v>1170</v>
      </c>
      <c r="D629" s="49" t="s">
        <v>1163</v>
      </c>
      <c r="E629" s="50">
        <v>69.569999999999993</v>
      </c>
      <c r="F629" s="50">
        <v>0</v>
      </c>
      <c r="G629" s="61">
        <v>2</v>
      </c>
      <c r="H629" s="16" t="s">
        <v>1171</v>
      </c>
      <c r="I629" s="48" t="s">
        <v>1016</v>
      </c>
      <c r="J629" s="16" t="s">
        <v>1172</v>
      </c>
      <c r="K629" s="49">
        <v>1.5</v>
      </c>
      <c r="L629" s="49">
        <v>1.5</v>
      </c>
      <c r="M629" s="62" t="s">
        <v>1036</v>
      </c>
      <c r="N629" s="51"/>
      <c r="O629" s="63" t="str">
        <f t="shared" si="92"/>
        <v>YES</v>
      </c>
      <c r="P629" s="147"/>
      <c r="Q629" s="53">
        <f t="shared" si="85"/>
        <v>273.7</v>
      </c>
      <c r="R629" s="54">
        <f t="shared" si="86"/>
        <v>190.4</v>
      </c>
      <c r="S629" s="55" t="str">
        <f t="shared" si="87"/>
        <v xml:space="preserve"> </v>
      </c>
      <c r="T629" s="148"/>
      <c r="U629" s="57" t="str">
        <f t="shared" si="88"/>
        <v>100µg/100cm²</v>
      </c>
      <c r="V629" s="58">
        <f t="shared" si="89"/>
        <v>190.4</v>
      </c>
      <c r="W629" s="58" t="str">
        <f t="shared" si="90"/>
        <v xml:space="preserve"> </v>
      </c>
      <c r="X629" s="59" t="str">
        <f t="shared" si="91"/>
        <v/>
      </c>
      <c r="Y629" s="60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16" t="s">
        <v>675</v>
      </c>
      <c r="AP629" s="16" t="s">
        <v>675</v>
      </c>
      <c r="AQ629" s="64"/>
      <c r="AR629" s="64"/>
      <c r="AS629" s="64"/>
      <c r="AT629" s="64"/>
      <c r="AU629" s="16" t="s">
        <v>675</v>
      </c>
      <c r="AV629" s="16" t="s">
        <v>675</v>
      </c>
      <c r="AW629" s="16" t="s">
        <v>675</v>
      </c>
      <c r="AX629" s="64"/>
      <c r="AY629" s="64"/>
      <c r="AZ629" s="64"/>
      <c r="BA629" s="64"/>
      <c r="BB629" s="64"/>
      <c r="BC629" s="16" t="s">
        <v>675</v>
      </c>
      <c r="BD629" s="64"/>
      <c r="BE629" s="64"/>
      <c r="BF629" s="64"/>
      <c r="BG629" s="64"/>
      <c r="BH629" s="64"/>
      <c r="BI629" s="64"/>
      <c r="BJ629" s="64"/>
      <c r="BK629" s="64"/>
      <c r="BL629" s="64"/>
      <c r="BM629" s="64"/>
      <c r="BN629" s="64"/>
      <c r="BO629" s="64"/>
      <c r="BP629" s="64"/>
      <c r="BQ629" s="64"/>
      <c r="BR629" s="64"/>
      <c r="BS629" s="64"/>
      <c r="BT629" s="65"/>
    </row>
    <row r="630" spans="1:72" ht="18" customHeight="1" x14ac:dyDescent="0.3">
      <c r="A630" s="47" t="s">
        <v>632</v>
      </c>
      <c r="B630" s="48" t="s">
        <v>541</v>
      </c>
      <c r="C630" s="49" t="s">
        <v>1385</v>
      </c>
      <c r="D630" s="49" t="s">
        <v>1114</v>
      </c>
      <c r="E630" s="50">
        <v>0</v>
      </c>
      <c r="F630" s="50">
        <v>0</v>
      </c>
      <c r="G630" s="61">
        <v>2</v>
      </c>
      <c r="H630" s="16">
        <v>599</v>
      </c>
      <c r="I630" s="49" t="s">
        <v>1012</v>
      </c>
      <c r="J630" s="16" t="s">
        <v>2386</v>
      </c>
      <c r="K630" s="49">
        <v>50</v>
      </c>
      <c r="L630" s="49">
        <v>50</v>
      </c>
      <c r="M630" s="64"/>
      <c r="N630" s="64"/>
      <c r="O630" s="63" t="str">
        <f t="shared" si="92"/>
        <v>YES</v>
      </c>
      <c r="P630" s="147"/>
      <c r="Q630" s="53">
        <f t="shared" si="85"/>
        <v>5000</v>
      </c>
      <c r="R630" s="54" t="str">
        <f t="shared" si="86"/>
        <v xml:space="preserve"> </v>
      </c>
      <c r="S630" s="55" t="str">
        <f t="shared" si="87"/>
        <v xml:space="preserve"> </v>
      </c>
      <c r="T630" s="148"/>
      <c r="U630" s="57" t="str">
        <f t="shared" si="88"/>
        <v xml:space="preserve"> </v>
      </c>
      <c r="V630" s="58" t="str">
        <f t="shared" si="89"/>
        <v xml:space="preserve"> </v>
      </c>
      <c r="W630" s="58" t="str">
        <f t="shared" si="90"/>
        <v xml:space="preserve"> </v>
      </c>
      <c r="X630" s="59" t="str">
        <f t="shared" si="91"/>
        <v>Water criteria (conductivity)</v>
      </c>
      <c r="Y630" s="60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16" t="s">
        <v>675</v>
      </c>
      <c r="AT630" s="64"/>
      <c r="AU630" s="64"/>
      <c r="AV630" s="16" t="s">
        <v>675</v>
      </c>
      <c r="AW630" s="16" t="s">
        <v>675</v>
      </c>
      <c r="AX630" s="16" t="s">
        <v>675</v>
      </c>
      <c r="AY630" s="64"/>
      <c r="AZ630" s="64"/>
      <c r="BA630" s="64"/>
      <c r="BB630" s="64"/>
      <c r="BC630" s="64"/>
      <c r="BD630" s="64"/>
      <c r="BE630" s="64"/>
      <c r="BF630" s="64"/>
      <c r="BG630" s="64"/>
      <c r="BH630" s="64"/>
      <c r="BI630" s="64"/>
      <c r="BJ630" s="64"/>
      <c r="BK630" s="64"/>
      <c r="BL630" s="64"/>
      <c r="BM630" s="64"/>
      <c r="BN630" s="64"/>
      <c r="BO630" s="64"/>
      <c r="BP630" s="64"/>
      <c r="BQ630" s="64"/>
      <c r="BR630" s="64"/>
      <c r="BS630" s="64"/>
      <c r="BT630" s="65"/>
    </row>
    <row r="631" spans="1:72" ht="18" customHeight="1" x14ac:dyDescent="0.3">
      <c r="A631" s="47" t="s">
        <v>134</v>
      </c>
      <c r="B631" s="48" t="s">
        <v>135</v>
      </c>
      <c r="C631" s="49" t="s">
        <v>1386</v>
      </c>
      <c r="D631" s="49" t="s">
        <v>1114</v>
      </c>
      <c r="E631" s="50">
        <v>0</v>
      </c>
      <c r="F631" s="50">
        <v>0</v>
      </c>
      <c r="G631" s="61">
        <v>2</v>
      </c>
      <c r="H631" s="16">
        <v>850</v>
      </c>
      <c r="I631" s="49" t="s">
        <v>1016</v>
      </c>
      <c r="J631" s="16" t="s">
        <v>2386</v>
      </c>
      <c r="K631" s="49">
        <v>50</v>
      </c>
      <c r="L631" s="49">
        <v>50</v>
      </c>
      <c r="M631" s="64"/>
      <c r="N631" s="64"/>
      <c r="O631" s="63" t="str">
        <f t="shared" si="92"/>
        <v>YES</v>
      </c>
      <c r="P631" s="147"/>
      <c r="Q631" s="53">
        <f t="shared" si="85"/>
        <v>5000</v>
      </c>
      <c r="R631" s="54" t="str">
        <f t="shared" si="86"/>
        <v xml:space="preserve"> </v>
      </c>
      <c r="S631" s="55" t="str">
        <f t="shared" si="87"/>
        <v xml:space="preserve"> </v>
      </c>
      <c r="T631" s="148"/>
      <c r="U631" s="57" t="str">
        <f t="shared" si="88"/>
        <v xml:space="preserve"> </v>
      </c>
      <c r="V631" s="58" t="str">
        <f t="shared" si="89"/>
        <v xml:space="preserve"> </v>
      </c>
      <c r="W631" s="58" t="str">
        <f t="shared" si="90"/>
        <v xml:space="preserve"> </v>
      </c>
      <c r="X631" s="59" t="str">
        <f t="shared" si="91"/>
        <v>Water criteria (conductivity)</v>
      </c>
      <c r="Y631" s="60"/>
      <c r="Z631" s="16" t="s">
        <v>675</v>
      </c>
      <c r="AA631" s="16" t="s">
        <v>675</v>
      </c>
      <c r="AB631" s="64"/>
      <c r="AC631" s="16" t="s">
        <v>675</v>
      </c>
      <c r="AD631" s="16" t="s">
        <v>675</v>
      </c>
      <c r="AE631" s="16" t="s">
        <v>675</v>
      </c>
      <c r="AF631" s="16" t="s">
        <v>675</v>
      </c>
      <c r="AG631" s="64"/>
      <c r="AH631" s="16" t="s">
        <v>675</v>
      </c>
      <c r="AI631" s="16" t="s">
        <v>675</v>
      </c>
      <c r="AJ631" s="16" t="s">
        <v>675</v>
      </c>
      <c r="AK631" s="16" t="s">
        <v>675</v>
      </c>
      <c r="AL631" s="16" t="s">
        <v>675</v>
      </c>
      <c r="AM631" s="16" t="s">
        <v>675</v>
      </c>
      <c r="AN631" s="16" t="s">
        <v>675</v>
      </c>
      <c r="AO631" s="64"/>
      <c r="AP631" s="16" t="s">
        <v>675</v>
      </c>
      <c r="AQ631" s="16" t="s">
        <v>675</v>
      </c>
      <c r="AR631" s="64"/>
      <c r="AS631" s="16" t="s">
        <v>675</v>
      </c>
      <c r="AT631" s="64"/>
      <c r="AU631" s="16" t="s">
        <v>675</v>
      </c>
      <c r="AV631" s="64"/>
      <c r="AW631" s="16" t="s">
        <v>675</v>
      </c>
      <c r="AX631" s="16" t="s">
        <v>675</v>
      </c>
      <c r="AY631" s="16" t="s">
        <v>675</v>
      </c>
      <c r="AZ631" s="16" t="s">
        <v>675</v>
      </c>
      <c r="BA631" s="16" t="s">
        <v>675</v>
      </c>
      <c r="BB631" s="16" t="s">
        <v>675</v>
      </c>
      <c r="BC631" s="64"/>
      <c r="BD631" s="64"/>
      <c r="BE631" s="64"/>
      <c r="BF631" s="64"/>
      <c r="BG631" s="64"/>
      <c r="BH631" s="64"/>
      <c r="BI631" s="64"/>
      <c r="BJ631" s="64"/>
      <c r="BK631" s="64"/>
      <c r="BL631" s="64"/>
      <c r="BM631" s="64"/>
      <c r="BN631" s="64"/>
      <c r="BO631" s="64"/>
      <c r="BP631" s="64"/>
      <c r="BQ631" s="64"/>
      <c r="BR631" s="64"/>
      <c r="BS631" s="64"/>
      <c r="BT631" s="65"/>
    </row>
    <row r="632" spans="1:72" ht="18" customHeight="1" x14ac:dyDescent="0.3">
      <c r="A632" s="91" t="s">
        <v>604</v>
      </c>
      <c r="B632" s="93" t="s">
        <v>487</v>
      </c>
      <c r="C632" s="93" t="s">
        <v>1387</v>
      </c>
      <c r="D632" s="49" t="s">
        <v>1114</v>
      </c>
      <c r="E632" s="50">
        <v>0</v>
      </c>
      <c r="F632" s="50">
        <v>0</v>
      </c>
      <c r="G632" s="61">
        <v>2</v>
      </c>
      <c r="H632" s="16">
        <v>850</v>
      </c>
      <c r="I632" s="93" t="s">
        <v>1016</v>
      </c>
      <c r="J632" s="16" t="s">
        <v>2386</v>
      </c>
      <c r="K632" s="49">
        <v>50</v>
      </c>
      <c r="L632" s="49">
        <v>50</v>
      </c>
      <c r="M632" s="64"/>
      <c r="N632" s="64"/>
      <c r="O632" s="63" t="str">
        <f t="shared" si="92"/>
        <v>YES</v>
      </c>
      <c r="P632" s="147"/>
      <c r="Q632" s="53">
        <f t="shared" si="85"/>
        <v>5000</v>
      </c>
      <c r="R632" s="54" t="str">
        <f t="shared" si="86"/>
        <v xml:space="preserve"> </v>
      </c>
      <c r="S632" s="55" t="str">
        <f t="shared" si="87"/>
        <v xml:space="preserve"> </v>
      </c>
      <c r="T632" s="148"/>
      <c r="U632" s="57" t="str">
        <f t="shared" si="88"/>
        <v xml:space="preserve"> </v>
      </c>
      <c r="V632" s="58" t="str">
        <f t="shared" si="89"/>
        <v xml:space="preserve"> </v>
      </c>
      <c r="W632" s="58" t="str">
        <f t="shared" si="90"/>
        <v xml:space="preserve"> </v>
      </c>
      <c r="X632" s="59" t="str">
        <f t="shared" si="91"/>
        <v>Water criteria (conductivity)</v>
      </c>
      <c r="Y632" s="60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16" t="s">
        <v>675</v>
      </c>
      <c r="AT632" s="64"/>
      <c r="AU632" s="16" t="s">
        <v>675</v>
      </c>
      <c r="AV632" s="16" t="s">
        <v>675</v>
      </c>
      <c r="AW632" s="16" t="s">
        <v>675</v>
      </c>
      <c r="AX632" s="64"/>
      <c r="AY632" s="64"/>
      <c r="AZ632" s="64"/>
      <c r="BA632" s="64"/>
      <c r="BB632" s="64"/>
      <c r="BC632" s="64"/>
      <c r="BD632" s="64"/>
      <c r="BE632" s="64"/>
      <c r="BF632" s="64"/>
      <c r="BG632" s="64"/>
      <c r="BH632" s="16" t="s">
        <v>675</v>
      </c>
      <c r="BI632" s="64"/>
      <c r="BJ632" s="64"/>
      <c r="BK632" s="64"/>
      <c r="BL632" s="64"/>
      <c r="BM632" s="64"/>
      <c r="BN632" s="64"/>
      <c r="BO632" s="64"/>
      <c r="BP632" s="64"/>
      <c r="BQ632" s="64"/>
      <c r="BR632" s="64"/>
      <c r="BS632" s="16" t="s">
        <v>675</v>
      </c>
      <c r="BT632" s="65"/>
    </row>
    <row r="633" spans="1:72" ht="15.05" hidden="1" customHeight="1" x14ac:dyDescent="0.3">
      <c r="A633" s="66" t="s">
        <v>1844</v>
      </c>
      <c r="B633" s="69" t="s">
        <v>858</v>
      </c>
      <c r="C633" s="67" t="s">
        <v>2210</v>
      </c>
      <c r="D633" s="16" t="s">
        <v>1114</v>
      </c>
      <c r="E633" s="50">
        <v>54</v>
      </c>
      <c r="F633" s="50">
        <v>0</v>
      </c>
      <c r="G633" s="61">
        <v>4</v>
      </c>
      <c r="H633" s="16">
        <v>15</v>
      </c>
      <c r="I633" s="70" t="s">
        <v>1474</v>
      </c>
      <c r="J633" s="16" t="s">
        <v>2386</v>
      </c>
      <c r="K633" s="49">
        <v>50</v>
      </c>
      <c r="L633" s="49">
        <v>50</v>
      </c>
      <c r="M633" s="64"/>
      <c r="N633" s="64"/>
      <c r="O633" s="63" t="str">
        <f t="shared" si="92"/>
        <v>YES</v>
      </c>
      <c r="P633" s="147"/>
      <c r="Q633" s="53">
        <f t="shared" si="85"/>
        <v>5000</v>
      </c>
      <c r="R633" s="54">
        <f t="shared" si="86"/>
        <v>2700</v>
      </c>
      <c r="S633" s="55" t="str">
        <f t="shared" si="87"/>
        <v xml:space="preserve"> </v>
      </c>
      <c r="T633" s="148"/>
      <c r="U633" s="57" t="str">
        <f t="shared" si="88"/>
        <v>100µg/100cm²</v>
      </c>
      <c r="V633" s="58">
        <f t="shared" si="89"/>
        <v>2700</v>
      </c>
      <c r="W633" s="58" t="str">
        <f t="shared" si="90"/>
        <v xml:space="preserve"> </v>
      </c>
      <c r="X633" s="59" t="str">
        <f t="shared" si="91"/>
        <v/>
      </c>
      <c r="Y633" s="60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AV633" s="64"/>
      <c r="AW633" s="64"/>
      <c r="AX633" s="64"/>
      <c r="AY633" s="16" t="s">
        <v>675</v>
      </c>
      <c r="AZ633" s="16" t="s">
        <v>675</v>
      </c>
      <c r="BA633" s="16" t="s">
        <v>675</v>
      </c>
      <c r="BB633" s="16" t="s">
        <v>675</v>
      </c>
      <c r="BC633" s="64"/>
      <c r="BD633" s="64"/>
      <c r="BE633" s="64"/>
      <c r="BF633" s="64"/>
      <c r="BG633" s="64"/>
      <c r="BH633" s="64"/>
      <c r="BI633" s="64"/>
      <c r="BJ633" s="64"/>
      <c r="BK633" s="64"/>
      <c r="BL633" s="64"/>
      <c r="BM633" s="64"/>
      <c r="BN633" s="64"/>
      <c r="BO633" s="64"/>
      <c r="BP633" s="64"/>
      <c r="BQ633" s="64"/>
      <c r="BR633" s="64"/>
      <c r="BS633" s="64"/>
      <c r="BT633" s="65"/>
    </row>
    <row r="634" spans="1:72" ht="15.75" x14ac:dyDescent="0.3">
      <c r="A634" s="47" t="s">
        <v>831</v>
      </c>
      <c r="B634" s="48" t="s">
        <v>832</v>
      </c>
      <c r="C634" s="16" t="s">
        <v>1898</v>
      </c>
      <c r="D634" s="16" t="s">
        <v>1114</v>
      </c>
      <c r="E634" s="50">
        <v>0</v>
      </c>
      <c r="F634" s="50">
        <v>0</v>
      </c>
      <c r="G634" s="16">
        <v>3</v>
      </c>
      <c r="H634" s="16">
        <v>40</v>
      </c>
      <c r="I634" s="16" t="s">
        <v>1016</v>
      </c>
      <c r="J634" s="17" t="s">
        <v>2354</v>
      </c>
      <c r="K634" s="16">
        <v>30</v>
      </c>
      <c r="L634" s="16">
        <v>270</v>
      </c>
      <c r="M634" s="16" t="s">
        <v>1027</v>
      </c>
      <c r="N634" s="64"/>
      <c r="O634" s="63" t="str">
        <f t="shared" si="92"/>
        <v>YES</v>
      </c>
      <c r="P634" s="147"/>
      <c r="Q634" s="53">
        <f t="shared" si="85"/>
        <v>5000</v>
      </c>
      <c r="R634" s="54" t="str">
        <f t="shared" si="86"/>
        <v xml:space="preserve"> </v>
      </c>
      <c r="S634" s="55" t="str">
        <f t="shared" si="87"/>
        <v xml:space="preserve"> </v>
      </c>
      <c r="T634" s="148"/>
      <c r="U634" s="57" t="str">
        <f t="shared" si="88"/>
        <v xml:space="preserve"> </v>
      </c>
      <c r="V634" s="58" t="str">
        <f t="shared" si="89"/>
        <v xml:space="preserve"> </v>
      </c>
      <c r="W634" s="58" t="str">
        <f t="shared" si="90"/>
        <v xml:space="preserve"> </v>
      </c>
      <c r="X634" s="59" t="str">
        <f t="shared" si="91"/>
        <v>Water criteria (conductivity)</v>
      </c>
      <c r="Y634" s="60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16" t="s">
        <v>675</v>
      </c>
      <c r="AR634" s="64"/>
      <c r="AS634" s="64"/>
      <c r="AT634" s="64"/>
      <c r="AU634" s="64"/>
      <c r="AV634" s="64"/>
      <c r="AW634" s="64"/>
      <c r="AX634" s="64"/>
      <c r="AY634" s="64"/>
      <c r="AZ634" s="64"/>
      <c r="BA634" s="64"/>
      <c r="BB634" s="64"/>
      <c r="BC634" s="64"/>
      <c r="BD634" s="64"/>
      <c r="BE634" s="64"/>
      <c r="BF634" s="64"/>
      <c r="BG634" s="64"/>
      <c r="BH634" s="64"/>
      <c r="BI634" s="64"/>
      <c r="BJ634" s="64"/>
      <c r="BK634" s="16" t="s">
        <v>675</v>
      </c>
      <c r="BL634" s="64"/>
      <c r="BM634" s="64"/>
      <c r="BN634" s="64"/>
      <c r="BO634" s="64"/>
      <c r="BP634" s="64"/>
      <c r="BQ634" s="64"/>
      <c r="BR634" s="64"/>
      <c r="BS634" s="16" t="s">
        <v>675</v>
      </c>
      <c r="BT634" s="65"/>
    </row>
    <row r="635" spans="1:72" ht="18" hidden="1" customHeight="1" x14ac:dyDescent="0.3">
      <c r="A635" s="47" t="s">
        <v>671</v>
      </c>
      <c r="B635" s="48" t="s">
        <v>672</v>
      </c>
      <c r="C635" s="16" t="s">
        <v>2211</v>
      </c>
      <c r="D635" s="49" t="s">
        <v>1243</v>
      </c>
      <c r="E635" s="50">
        <v>33.020000000000003</v>
      </c>
      <c r="F635" s="50">
        <v>0</v>
      </c>
      <c r="G635" s="61">
        <v>3</v>
      </c>
      <c r="H635" s="16">
        <v>100</v>
      </c>
      <c r="I635" s="48" t="s">
        <v>1189</v>
      </c>
      <c r="J635" s="16" t="s">
        <v>2386</v>
      </c>
      <c r="K635" s="49">
        <v>50</v>
      </c>
      <c r="L635" s="49">
        <v>50</v>
      </c>
      <c r="M635" s="64"/>
      <c r="N635" s="64"/>
      <c r="O635" s="63" t="str">
        <f t="shared" si="92"/>
        <v>YES</v>
      </c>
      <c r="P635" s="147"/>
      <c r="Q635" s="53">
        <f t="shared" si="85"/>
        <v>5000</v>
      </c>
      <c r="R635" s="54">
        <f t="shared" si="86"/>
        <v>1651</v>
      </c>
      <c r="S635" s="55" t="str">
        <f t="shared" si="87"/>
        <v xml:space="preserve"> </v>
      </c>
      <c r="T635" s="148"/>
      <c r="U635" s="57" t="str">
        <f t="shared" si="88"/>
        <v>100µg/100cm²</v>
      </c>
      <c r="V635" s="58">
        <f t="shared" si="89"/>
        <v>1651</v>
      </c>
      <c r="W635" s="58" t="str">
        <f t="shared" si="90"/>
        <v xml:space="preserve"> </v>
      </c>
      <c r="X635" s="59" t="str">
        <f t="shared" si="91"/>
        <v/>
      </c>
      <c r="Y635" s="60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16" t="s">
        <v>675</v>
      </c>
      <c r="AS635" s="64"/>
      <c r="AT635" s="64"/>
      <c r="AU635" s="64"/>
      <c r="AV635" s="64"/>
      <c r="AW635" s="64"/>
      <c r="AX635" s="64"/>
      <c r="AY635" s="64"/>
      <c r="AZ635" s="64"/>
      <c r="BA635" s="64"/>
      <c r="BB635" s="64"/>
      <c r="BC635" s="16" t="s">
        <v>675</v>
      </c>
      <c r="BD635" s="64"/>
      <c r="BE635" s="64"/>
      <c r="BF635" s="64"/>
      <c r="BG635" s="64"/>
      <c r="BH635" s="64"/>
      <c r="BI635" s="64"/>
      <c r="BJ635" s="64"/>
      <c r="BK635" s="64"/>
      <c r="BL635" s="64"/>
      <c r="BM635" s="64"/>
      <c r="BN635" s="64"/>
      <c r="BO635" s="64"/>
      <c r="BP635" s="64"/>
      <c r="BQ635" s="64"/>
      <c r="BR635" s="64"/>
      <c r="BS635" s="64"/>
      <c r="BT635" s="65"/>
    </row>
    <row r="636" spans="1:72" ht="18" customHeight="1" x14ac:dyDescent="0.3">
      <c r="A636" s="47" t="s">
        <v>1845</v>
      </c>
      <c r="B636" s="48" t="s">
        <v>60</v>
      </c>
      <c r="C636" s="49" t="s">
        <v>1388</v>
      </c>
      <c r="D636" s="49" t="s">
        <v>1114</v>
      </c>
      <c r="E636" s="50">
        <v>0</v>
      </c>
      <c r="F636" s="50">
        <v>0</v>
      </c>
      <c r="G636" s="61">
        <v>3</v>
      </c>
      <c r="H636" s="16">
        <v>86</v>
      </c>
      <c r="I636" s="48" t="s">
        <v>1040</v>
      </c>
      <c r="J636" s="16" t="s">
        <v>2386</v>
      </c>
      <c r="K636" s="49">
        <v>50</v>
      </c>
      <c r="L636" s="49">
        <v>50</v>
      </c>
      <c r="M636" s="64"/>
      <c r="N636" s="64"/>
      <c r="O636" s="63" t="str">
        <f t="shared" si="92"/>
        <v>YES</v>
      </c>
      <c r="P636" s="147"/>
      <c r="Q636" s="53">
        <f t="shared" si="85"/>
        <v>5000</v>
      </c>
      <c r="R636" s="54" t="str">
        <f t="shared" si="86"/>
        <v xml:space="preserve"> </v>
      </c>
      <c r="S636" s="55" t="str">
        <f t="shared" si="87"/>
        <v xml:space="preserve"> </v>
      </c>
      <c r="T636" s="148"/>
      <c r="U636" s="57" t="str">
        <f t="shared" si="88"/>
        <v xml:space="preserve"> </v>
      </c>
      <c r="V636" s="58" t="str">
        <f t="shared" si="89"/>
        <v xml:space="preserve"> </v>
      </c>
      <c r="W636" s="58" t="str">
        <f t="shared" si="90"/>
        <v xml:space="preserve"> </v>
      </c>
      <c r="X636" s="59" t="str">
        <f t="shared" si="91"/>
        <v>Water criteria (conductivity)</v>
      </c>
      <c r="Y636" s="60"/>
      <c r="Z636" s="64"/>
      <c r="AA636" s="64"/>
      <c r="AB636" s="16" t="s">
        <v>675</v>
      </c>
      <c r="AC636" s="16" t="s">
        <v>675</v>
      </c>
      <c r="AD636" s="16" t="s">
        <v>675</v>
      </c>
      <c r="AE636" s="16" t="s">
        <v>675</v>
      </c>
      <c r="AF636" s="16" t="s">
        <v>675</v>
      </c>
      <c r="AG636" s="64"/>
      <c r="AH636" s="16" t="s">
        <v>675</v>
      </c>
      <c r="AI636" s="16" t="s">
        <v>675</v>
      </c>
      <c r="AJ636" s="64"/>
      <c r="AK636" s="16" t="s">
        <v>675</v>
      </c>
      <c r="AL636" s="16" t="s">
        <v>675</v>
      </c>
      <c r="AM636" s="16" t="s">
        <v>675</v>
      </c>
      <c r="AN636" s="64"/>
      <c r="AO636" s="64"/>
      <c r="AP636" s="64"/>
      <c r="AQ636" s="64"/>
      <c r="AR636" s="64"/>
      <c r="AS636" s="16" t="s">
        <v>675</v>
      </c>
      <c r="AT636" s="16" t="s">
        <v>675</v>
      </c>
      <c r="AU636" s="64"/>
      <c r="AV636" s="64"/>
      <c r="AW636" s="64"/>
      <c r="AX636" s="64"/>
      <c r="AY636" s="64"/>
      <c r="AZ636" s="16" t="s">
        <v>675</v>
      </c>
      <c r="BA636" s="16" t="s">
        <v>675</v>
      </c>
      <c r="BB636" s="16" t="s">
        <v>675</v>
      </c>
      <c r="BC636" s="16" t="s">
        <v>675</v>
      </c>
      <c r="BD636" s="64"/>
      <c r="BE636" s="64"/>
      <c r="BF636" s="64"/>
      <c r="BG636" s="16" t="s">
        <v>675</v>
      </c>
      <c r="BH636" s="64"/>
      <c r="BI636" s="64"/>
      <c r="BJ636" s="64"/>
      <c r="BK636" s="16" t="s">
        <v>675</v>
      </c>
      <c r="BL636" s="64"/>
      <c r="BM636" s="64"/>
      <c r="BN636" s="64"/>
      <c r="BO636" s="64"/>
      <c r="BP636" s="64"/>
      <c r="BQ636" s="64"/>
      <c r="BR636" s="64"/>
      <c r="BS636" s="16" t="s">
        <v>675</v>
      </c>
      <c r="BT636" s="65"/>
    </row>
    <row r="637" spans="1:72" ht="18" customHeight="1" x14ac:dyDescent="0.3">
      <c r="A637" s="84" t="s">
        <v>2</v>
      </c>
      <c r="B637" s="70" t="s">
        <v>3</v>
      </c>
      <c r="C637" s="70" t="s">
        <v>1010</v>
      </c>
      <c r="D637" s="70" t="s">
        <v>1011</v>
      </c>
      <c r="E637" s="50">
        <v>0</v>
      </c>
      <c r="F637" s="50">
        <v>0</v>
      </c>
      <c r="G637" s="61">
        <v>1</v>
      </c>
      <c r="H637" s="16">
        <v>1090</v>
      </c>
      <c r="I637" s="70" t="s">
        <v>1012</v>
      </c>
      <c r="J637" s="16" t="s">
        <v>1013</v>
      </c>
      <c r="K637" s="49">
        <v>8300</v>
      </c>
      <c r="L637" s="49">
        <v>75000</v>
      </c>
      <c r="M637" s="62" t="s">
        <v>1014</v>
      </c>
      <c r="N637" s="51"/>
      <c r="O637" s="63" t="str">
        <f t="shared" si="92"/>
        <v>YES</v>
      </c>
      <c r="P637" s="147"/>
      <c r="Q637" s="53">
        <f t="shared" si="85"/>
        <v>5000</v>
      </c>
      <c r="R637" s="54" t="str">
        <f t="shared" si="86"/>
        <v xml:space="preserve"> </v>
      </c>
      <c r="S637" s="55" t="str">
        <f t="shared" si="87"/>
        <v xml:space="preserve"> </v>
      </c>
      <c r="T637" s="148"/>
      <c r="U637" s="57" t="str">
        <f t="shared" si="88"/>
        <v xml:space="preserve"> </v>
      </c>
      <c r="V637" s="58" t="str">
        <f t="shared" si="89"/>
        <v xml:space="preserve"> </v>
      </c>
      <c r="W637" s="58" t="str">
        <f t="shared" si="90"/>
        <v xml:space="preserve"> </v>
      </c>
      <c r="X637" s="59" t="str">
        <f t="shared" si="91"/>
        <v>Water criteria (conductivity)</v>
      </c>
      <c r="Y637" s="60"/>
      <c r="Z637" s="16" t="s">
        <v>675</v>
      </c>
      <c r="AA637" s="16" t="s">
        <v>675</v>
      </c>
      <c r="AB637" s="16" t="s">
        <v>675</v>
      </c>
      <c r="AC637" s="16" t="s">
        <v>675</v>
      </c>
      <c r="AD637" s="16" t="s">
        <v>675</v>
      </c>
      <c r="AE637" s="16" t="s">
        <v>675</v>
      </c>
      <c r="AF637" s="16" t="s">
        <v>675</v>
      </c>
      <c r="AG637" s="64"/>
      <c r="AH637" s="16" t="s">
        <v>675</v>
      </c>
      <c r="AI637" s="16" t="s">
        <v>675</v>
      </c>
      <c r="AJ637" s="16" t="s">
        <v>675</v>
      </c>
      <c r="AK637" s="16" t="s">
        <v>675</v>
      </c>
      <c r="AL637" s="16" t="s">
        <v>675</v>
      </c>
      <c r="AM637" s="16" t="s">
        <v>675</v>
      </c>
      <c r="AN637" s="16" t="s">
        <v>675</v>
      </c>
      <c r="AO637" s="16" t="s">
        <v>675</v>
      </c>
      <c r="AP637" s="16" t="s">
        <v>675</v>
      </c>
      <c r="AQ637" s="16" t="s">
        <v>675</v>
      </c>
      <c r="AR637" s="16" t="s">
        <v>675</v>
      </c>
      <c r="AS637" s="16" t="s">
        <v>675</v>
      </c>
      <c r="AT637" s="16" t="s">
        <v>675</v>
      </c>
      <c r="AU637" s="16" t="s">
        <v>675</v>
      </c>
      <c r="AV637" s="16" t="s">
        <v>675</v>
      </c>
      <c r="AW637" s="16" t="s">
        <v>675</v>
      </c>
      <c r="AX637" s="16" t="s">
        <v>675</v>
      </c>
      <c r="AY637" s="16" t="s">
        <v>675</v>
      </c>
      <c r="AZ637" s="16" t="s">
        <v>675</v>
      </c>
      <c r="BA637" s="16" t="s">
        <v>675</v>
      </c>
      <c r="BB637" s="16" t="s">
        <v>675</v>
      </c>
      <c r="BC637" s="16" t="s">
        <v>675</v>
      </c>
      <c r="BD637" s="64"/>
      <c r="BE637" s="16" t="s">
        <v>675</v>
      </c>
      <c r="BF637" s="64"/>
      <c r="BG637" s="16" t="s">
        <v>675</v>
      </c>
      <c r="BH637" s="16" t="s">
        <v>675</v>
      </c>
      <c r="BI637" s="64"/>
      <c r="BJ637" s="64"/>
      <c r="BK637" s="64"/>
      <c r="BL637" s="64"/>
      <c r="BM637" s="16" t="s">
        <v>675</v>
      </c>
      <c r="BN637" s="64"/>
      <c r="BO637" s="64"/>
      <c r="BP637" s="64"/>
      <c r="BQ637" s="64"/>
      <c r="BR637" s="64"/>
      <c r="BS637" s="16" t="s">
        <v>675</v>
      </c>
      <c r="BT637" s="65"/>
    </row>
    <row r="638" spans="1:72" ht="18" customHeight="1" x14ac:dyDescent="0.3">
      <c r="A638" s="47" t="s">
        <v>1846</v>
      </c>
      <c r="B638" s="49" t="s">
        <v>404</v>
      </c>
      <c r="C638" s="49" t="s">
        <v>1357</v>
      </c>
      <c r="D638" s="49" t="s">
        <v>1358</v>
      </c>
      <c r="E638" s="142">
        <v>0</v>
      </c>
      <c r="F638" s="142">
        <v>0</v>
      </c>
      <c r="G638" s="61">
        <v>2</v>
      </c>
      <c r="H638" s="16">
        <v>293</v>
      </c>
      <c r="I638" s="145" t="s">
        <v>1012</v>
      </c>
      <c r="J638" s="144" t="s">
        <v>2386</v>
      </c>
      <c r="K638" s="145">
        <v>50</v>
      </c>
      <c r="L638" s="145">
        <v>50</v>
      </c>
      <c r="M638" s="149"/>
      <c r="N638" s="149"/>
      <c r="O638" s="63" t="str">
        <f t="shared" si="92"/>
        <v>YES</v>
      </c>
      <c r="P638" s="157"/>
      <c r="Q638" s="53">
        <f t="shared" si="85"/>
        <v>5000</v>
      </c>
      <c r="R638" s="54" t="str">
        <f t="shared" si="86"/>
        <v xml:space="preserve"> </v>
      </c>
      <c r="S638" s="55" t="str">
        <f t="shared" si="87"/>
        <v xml:space="preserve"> </v>
      </c>
      <c r="T638" s="100"/>
      <c r="U638" s="57" t="str">
        <f t="shared" si="88"/>
        <v xml:space="preserve"> </v>
      </c>
      <c r="V638" s="58" t="str">
        <f t="shared" si="89"/>
        <v xml:space="preserve"> </v>
      </c>
      <c r="W638" s="58" t="str">
        <f t="shared" si="90"/>
        <v xml:space="preserve"> </v>
      </c>
      <c r="X638" s="59" t="str">
        <f t="shared" si="91"/>
        <v>Water criteria (conductivity)</v>
      </c>
      <c r="Y638" s="158"/>
      <c r="Z638" s="149"/>
      <c r="AA638" s="149"/>
      <c r="AB638" s="149"/>
      <c r="AC638" s="149"/>
      <c r="AD638" s="149"/>
      <c r="AE638" s="149"/>
      <c r="AF638" s="149"/>
      <c r="AG638" s="149"/>
      <c r="AH638" s="149"/>
      <c r="AI638" s="149"/>
      <c r="AJ638" s="144" t="s">
        <v>675</v>
      </c>
      <c r="AK638" s="149"/>
      <c r="AL638" s="149"/>
      <c r="AM638" s="16" t="s">
        <v>675</v>
      </c>
      <c r="AN638" s="149"/>
      <c r="AO638" s="149"/>
      <c r="AP638" s="149"/>
      <c r="AQ638" s="149"/>
      <c r="AR638" s="144" t="s">
        <v>675</v>
      </c>
      <c r="AS638" s="144" t="s">
        <v>675</v>
      </c>
      <c r="AT638" s="149"/>
      <c r="AU638" s="144" t="s">
        <v>675</v>
      </c>
      <c r="AV638" s="149"/>
      <c r="AW638" s="16" t="s">
        <v>675</v>
      </c>
      <c r="AX638" s="149"/>
      <c r="AY638" s="149"/>
      <c r="AZ638" s="149"/>
      <c r="BA638" s="149"/>
      <c r="BB638" s="149"/>
      <c r="BC638" s="144" t="s">
        <v>675</v>
      </c>
      <c r="BD638" s="149"/>
      <c r="BE638" s="149"/>
      <c r="BF638" s="149"/>
      <c r="BG638" s="149"/>
      <c r="BH638" s="149"/>
      <c r="BI638" s="149"/>
      <c r="BJ638" s="149"/>
      <c r="BK638" s="149"/>
      <c r="BL638" s="149"/>
      <c r="BM638" s="149"/>
      <c r="BN638" s="149"/>
      <c r="BO638" s="149"/>
      <c r="BP638" s="149"/>
      <c r="BQ638" s="149"/>
      <c r="BR638" s="149"/>
      <c r="BS638" s="149"/>
      <c r="BT638" s="150"/>
    </row>
    <row r="639" spans="1:72" ht="18" hidden="1" customHeight="1" x14ac:dyDescent="0.3">
      <c r="A639" s="47" t="s">
        <v>773</v>
      </c>
      <c r="B639" s="48" t="s">
        <v>774</v>
      </c>
      <c r="C639" s="16" t="s">
        <v>2212</v>
      </c>
      <c r="D639" s="145" t="s">
        <v>1417</v>
      </c>
      <c r="E639" s="142">
        <v>50.57</v>
      </c>
      <c r="F639" s="142">
        <v>0</v>
      </c>
      <c r="G639" s="61">
        <v>3</v>
      </c>
      <c r="H639" s="144" t="s">
        <v>1263</v>
      </c>
      <c r="I639" s="156" t="s">
        <v>1189</v>
      </c>
      <c r="J639" s="144" t="s">
        <v>2386</v>
      </c>
      <c r="K639" s="145">
        <v>50</v>
      </c>
      <c r="L639" s="145">
        <v>50</v>
      </c>
      <c r="M639" s="149"/>
      <c r="N639" s="149"/>
      <c r="O639" s="63" t="str">
        <f t="shared" si="92"/>
        <v>YES</v>
      </c>
      <c r="P639" s="157"/>
      <c r="Q639" s="53">
        <f t="shared" si="85"/>
        <v>5000</v>
      </c>
      <c r="R639" s="54">
        <f t="shared" si="86"/>
        <v>2528.5</v>
      </c>
      <c r="S639" s="55" t="str">
        <f t="shared" si="87"/>
        <v xml:space="preserve"> </v>
      </c>
      <c r="T639" s="100"/>
      <c r="U639" s="57" t="str">
        <f t="shared" si="88"/>
        <v>100µg/100cm²</v>
      </c>
      <c r="V639" s="58">
        <f t="shared" si="89"/>
        <v>2528.5</v>
      </c>
      <c r="W639" s="58" t="str">
        <f t="shared" si="90"/>
        <v xml:space="preserve"> </v>
      </c>
      <c r="X639" s="59" t="str">
        <f t="shared" si="91"/>
        <v/>
      </c>
      <c r="Y639" s="158"/>
      <c r="Z639" s="149"/>
      <c r="AA639" s="144" t="s">
        <v>675</v>
      </c>
      <c r="AB639" s="150"/>
      <c r="AC639" s="150"/>
      <c r="AD639" s="150"/>
      <c r="AE639" s="150"/>
      <c r="AF639" s="150"/>
      <c r="AG639" s="150"/>
      <c r="AH639" s="150"/>
      <c r="AI639" s="150"/>
      <c r="AJ639" s="150"/>
      <c r="AK639" s="150"/>
      <c r="AL639" s="150"/>
      <c r="AM639" s="150"/>
      <c r="AN639" s="150"/>
      <c r="AO639" s="150"/>
      <c r="AP639" s="150"/>
      <c r="AQ639" s="150"/>
      <c r="AR639" s="150"/>
      <c r="AS639" s="150"/>
      <c r="AT639" s="150"/>
      <c r="AU639" s="150"/>
      <c r="AV639" s="150"/>
      <c r="AW639" s="150"/>
      <c r="AX639" s="150"/>
      <c r="AY639" s="150"/>
      <c r="AZ639" s="150"/>
      <c r="BA639" s="150"/>
      <c r="BB639" s="150"/>
      <c r="BC639" s="150"/>
      <c r="BD639" s="150"/>
      <c r="BE639" s="150"/>
      <c r="BF639" s="150"/>
      <c r="BG639" s="150"/>
      <c r="BH639" s="150"/>
      <c r="BI639" s="150"/>
      <c r="BJ639" s="150"/>
      <c r="BK639" s="150"/>
      <c r="BL639" s="150"/>
      <c r="BM639" s="150"/>
      <c r="BN639" s="150"/>
      <c r="BO639" s="150"/>
      <c r="BP639" s="150"/>
      <c r="BQ639" s="150"/>
      <c r="BR639" s="150"/>
      <c r="BS639" s="150"/>
      <c r="BT639" s="150"/>
    </row>
    <row r="640" spans="1:72" ht="18" customHeight="1" x14ac:dyDescent="0.3">
      <c r="A640" s="47" t="s">
        <v>2307</v>
      </c>
      <c r="B640" s="49" t="s">
        <v>2308</v>
      </c>
      <c r="C640" s="49" t="s">
        <v>2342</v>
      </c>
      <c r="D640" s="145" t="s">
        <v>1114</v>
      </c>
      <c r="E640" s="50">
        <v>0</v>
      </c>
      <c r="F640" s="50">
        <v>0</v>
      </c>
      <c r="G640" s="16">
        <v>2</v>
      </c>
      <c r="H640" s="16">
        <v>211</v>
      </c>
      <c r="I640" s="156"/>
      <c r="J640" s="144" t="s">
        <v>2309</v>
      </c>
      <c r="K640" s="145">
        <v>1.5</v>
      </c>
      <c r="L640" s="145">
        <v>1.5</v>
      </c>
      <c r="M640" s="145" t="s">
        <v>1036</v>
      </c>
      <c r="N640" s="149"/>
      <c r="O640" s="63" t="str">
        <f t="shared" si="92"/>
        <v>YES</v>
      </c>
      <c r="P640" s="159"/>
      <c r="Q640" s="53">
        <f t="shared" si="85"/>
        <v>273.7</v>
      </c>
      <c r="R640" s="54" t="str">
        <f t="shared" si="86"/>
        <v xml:space="preserve"> </v>
      </c>
      <c r="S640" s="55" t="str">
        <f t="shared" si="87"/>
        <v xml:space="preserve"> </v>
      </c>
      <c r="T640" s="163"/>
      <c r="U640" s="57" t="str">
        <f t="shared" si="88"/>
        <v xml:space="preserve"> </v>
      </c>
      <c r="V640" s="58" t="str">
        <f t="shared" si="89"/>
        <v xml:space="preserve"> </v>
      </c>
      <c r="W640" s="57" t="str">
        <f t="shared" si="90"/>
        <v xml:space="preserve"> </v>
      </c>
      <c r="X640" s="59" t="str">
        <f t="shared" si="91"/>
        <v>Mitigation</v>
      </c>
      <c r="Y640" s="159"/>
      <c r="Z640" s="144" t="s">
        <v>1987</v>
      </c>
      <c r="AA640" s="144" t="s">
        <v>1987</v>
      </c>
      <c r="AB640" s="144" t="s">
        <v>1987</v>
      </c>
      <c r="AC640" s="144" t="s">
        <v>1987</v>
      </c>
      <c r="AD640" s="144" t="s">
        <v>1987</v>
      </c>
      <c r="AE640" s="144" t="s">
        <v>1987</v>
      </c>
      <c r="AF640" s="144" t="s">
        <v>1987</v>
      </c>
      <c r="AG640" s="144" t="s">
        <v>1987</v>
      </c>
      <c r="AH640" s="144" t="s">
        <v>1987</v>
      </c>
      <c r="AI640" s="144" t="s">
        <v>1987</v>
      </c>
      <c r="AJ640" s="144" t="s">
        <v>1987</v>
      </c>
      <c r="AK640" s="144" t="s">
        <v>1987</v>
      </c>
      <c r="AL640" s="144" t="s">
        <v>1987</v>
      </c>
      <c r="AM640" s="16" t="s">
        <v>1987</v>
      </c>
      <c r="AN640" s="144" t="s">
        <v>1987</v>
      </c>
      <c r="AO640" s="144" t="s">
        <v>1987</v>
      </c>
      <c r="AP640" s="16" t="s">
        <v>1987</v>
      </c>
      <c r="AQ640" s="144" t="s">
        <v>1987</v>
      </c>
      <c r="AR640" s="144" t="s">
        <v>1987</v>
      </c>
      <c r="AS640" s="144" t="s">
        <v>1987</v>
      </c>
      <c r="AT640" s="144" t="s">
        <v>1987</v>
      </c>
      <c r="AU640" s="144" t="s">
        <v>1987</v>
      </c>
      <c r="AV640" s="144" t="s">
        <v>1987</v>
      </c>
      <c r="AW640" s="16" t="s">
        <v>1987</v>
      </c>
      <c r="AX640" s="144" t="s">
        <v>1987</v>
      </c>
      <c r="AY640" s="144" t="s">
        <v>1987</v>
      </c>
      <c r="AZ640" s="144" t="s">
        <v>1987</v>
      </c>
      <c r="BA640" s="144" t="s">
        <v>1987</v>
      </c>
      <c r="BB640" s="16" t="s">
        <v>1987</v>
      </c>
      <c r="BC640" s="144" t="s">
        <v>1987</v>
      </c>
      <c r="BD640" s="144" t="s">
        <v>1987</v>
      </c>
      <c r="BE640" s="144" t="s">
        <v>1987</v>
      </c>
      <c r="BF640" s="144" t="s">
        <v>1987</v>
      </c>
      <c r="BG640" s="144" t="s">
        <v>1987</v>
      </c>
      <c r="BH640" s="144" t="s">
        <v>1987</v>
      </c>
      <c r="BI640" s="144" t="s">
        <v>1987</v>
      </c>
      <c r="BJ640" s="144" t="s">
        <v>1987</v>
      </c>
      <c r="BK640" s="144" t="s">
        <v>1987</v>
      </c>
      <c r="BL640" s="144" t="s">
        <v>1987</v>
      </c>
      <c r="BM640" s="144" t="s">
        <v>1987</v>
      </c>
      <c r="BN640" s="144" t="s">
        <v>1987</v>
      </c>
      <c r="BO640" s="144" t="s">
        <v>1987</v>
      </c>
      <c r="BP640" s="144" t="s">
        <v>1987</v>
      </c>
      <c r="BQ640" s="144" t="s">
        <v>1987</v>
      </c>
      <c r="BR640" s="144" t="s">
        <v>1987</v>
      </c>
      <c r="BS640" s="16" t="s">
        <v>1987</v>
      </c>
      <c r="BT640" s="144" t="s">
        <v>1987</v>
      </c>
    </row>
    <row r="641" spans="1:72" ht="18" customHeight="1" x14ac:dyDescent="0.3">
      <c r="A641" s="47" t="s">
        <v>652</v>
      </c>
      <c r="B641" s="48" t="s">
        <v>488</v>
      </c>
      <c r="C641" s="145" t="s">
        <v>1152</v>
      </c>
      <c r="D641" s="145" t="s">
        <v>1114</v>
      </c>
      <c r="E641" s="142">
        <v>0</v>
      </c>
      <c r="F641" s="142">
        <v>0</v>
      </c>
      <c r="G641" s="143">
        <v>2</v>
      </c>
      <c r="H641" s="144">
        <v>840</v>
      </c>
      <c r="I641" s="156" t="s">
        <v>1016</v>
      </c>
      <c r="J641" s="144" t="s">
        <v>1153</v>
      </c>
      <c r="K641" s="145">
        <v>2.8</v>
      </c>
      <c r="L641" s="145">
        <v>25.2</v>
      </c>
      <c r="M641" s="146" t="s">
        <v>1053</v>
      </c>
      <c r="N641" s="145" t="s">
        <v>2359</v>
      </c>
      <c r="O641" s="63" t="str">
        <f t="shared" si="92"/>
        <v>NO</v>
      </c>
      <c r="P641" s="196"/>
      <c r="Q641" s="53">
        <f t="shared" si="85"/>
        <v>2.8</v>
      </c>
      <c r="R641" s="54" t="str">
        <f t="shared" si="86"/>
        <v xml:space="preserve"> </v>
      </c>
      <c r="S641" s="55" t="str">
        <f t="shared" si="87"/>
        <v xml:space="preserve"> </v>
      </c>
      <c r="T641" s="148"/>
      <c r="U641" s="57" t="str">
        <f t="shared" si="88"/>
        <v xml:space="preserve"> </v>
      </c>
      <c r="V641" s="58" t="str">
        <f t="shared" si="89"/>
        <v xml:space="preserve"> </v>
      </c>
      <c r="W641" s="58" t="str">
        <f t="shared" si="90"/>
        <v xml:space="preserve"> </v>
      </c>
      <c r="X641" s="59" t="str">
        <f t="shared" si="91"/>
        <v>Mitigation</v>
      </c>
      <c r="Y641" s="198"/>
      <c r="Z641" s="144" t="s">
        <v>675</v>
      </c>
      <c r="AA641" s="144" t="s">
        <v>675</v>
      </c>
      <c r="AB641" s="149"/>
      <c r="AC641" s="149"/>
      <c r="AD641" s="149"/>
      <c r="AE641" s="144" t="s">
        <v>675</v>
      </c>
      <c r="AF641" s="149"/>
      <c r="AG641" s="149"/>
      <c r="AH641" s="149"/>
      <c r="AI641" s="149"/>
      <c r="AJ641" s="149"/>
      <c r="AK641" s="149"/>
      <c r="AL641" s="149"/>
      <c r="AM641" s="16" t="s">
        <v>675</v>
      </c>
      <c r="AN641" s="149"/>
      <c r="AO641" s="149"/>
      <c r="AP641" s="149"/>
      <c r="AQ641" s="149"/>
      <c r="AR641" s="149"/>
      <c r="AS641" s="144" t="s">
        <v>675</v>
      </c>
      <c r="AT641" s="149"/>
      <c r="AU641" s="149"/>
      <c r="AV641" s="149"/>
      <c r="AW641" s="149"/>
      <c r="AX641" s="149"/>
      <c r="AY641" s="149"/>
      <c r="AZ641" s="149"/>
      <c r="BA641" s="144" t="s">
        <v>675</v>
      </c>
      <c r="BB641" s="16" t="s">
        <v>675</v>
      </c>
      <c r="BC641" s="149"/>
      <c r="BD641" s="149"/>
      <c r="BE641" s="149"/>
      <c r="BF641" s="149"/>
      <c r="BG641" s="149"/>
      <c r="BH641" s="149"/>
      <c r="BI641" s="149"/>
      <c r="BJ641" s="149"/>
      <c r="BK641" s="149"/>
      <c r="BL641" s="149"/>
      <c r="BM641" s="149"/>
      <c r="BN641" s="149"/>
      <c r="BO641" s="149"/>
      <c r="BP641" s="149"/>
      <c r="BQ641" s="149"/>
      <c r="BR641" s="149"/>
      <c r="BS641" s="149"/>
      <c r="BT641" s="150"/>
    </row>
    <row r="642" spans="1:72" ht="18" hidden="1" customHeight="1" x14ac:dyDescent="0.3">
      <c r="A642" s="66" t="s">
        <v>633</v>
      </c>
      <c r="B642" s="69" t="s">
        <v>634</v>
      </c>
      <c r="C642" s="67" t="s">
        <v>1419</v>
      </c>
      <c r="D642" s="172" t="s">
        <v>1114</v>
      </c>
      <c r="E642" s="142">
        <v>57.8</v>
      </c>
      <c r="F642" s="142">
        <v>0</v>
      </c>
      <c r="G642" s="143">
        <v>3</v>
      </c>
      <c r="H642" s="144">
        <v>50</v>
      </c>
      <c r="I642" s="156" t="s">
        <v>1189</v>
      </c>
      <c r="J642" s="144" t="s">
        <v>2386</v>
      </c>
      <c r="K642" s="49">
        <v>50</v>
      </c>
      <c r="L642" s="49">
        <v>50</v>
      </c>
      <c r="M642" s="64"/>
      <c r="N642" s="64"/>
      <c r="O642" s="63" t="str">
        <f t="shared" si="92"/>
        <v>YES</v>
      </c>
      <c r="P642" s="157"/>
      <c r="Q642" s="53">
        <f t="shared" si="85"/>
        <v>5000</v>
      </c>
      <c r="R642" s="54">
        <f t="shared" si="86"/>
        <v>2890</v>
      </c>
      <c r="S642" s="55" t="str">
        <f t="shared" si="87"/>
        <v xml:space="preserve"> </v>
      </c>
      <c r="T642" s="100"/>
      <c r="U642" s="57" t="str">
        <f t="shared" si="88"/>
        <v>100µg/100cm²</v>
      </c>
      <c r="V642" s="58">
        <f t="shared" si="89"/>
        <v>2890</v>
      </c>
      <c r="W642" s="58" t="str">
        <f t="shared" si="90"/>
        <v xml:space="preserve"> </v>
      </c>
      <c r="X642" s="59" t="str">
        <f t="shared" si="91"/>
        <v/>
      </c>
      <c r="Y642" s="158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  <c r="AV642" s="16" t="s">
        <v>675</v>
      </c>
      <c r="AW642" s="16" t="s">
        <v>675</v>
      </c>
      <c r="AX642" s="64"/>
      <c r="AY642" s="64"/>
      <c r="AZ642" s="64"/>
      <c r="BA642" s="64"/>
      <c r="BB642" s="64"/>
      <c r="BC642" s="64"/>
      <c r="BD642" s="64"/>
      <c r="BE642" s="64"/>
      <c r="BF642" s="64"/>
      <c r="BG642" s="64"/>
      <c r="BH642" s="64"/>
      <c r="BI642" s="64"/>
      <c r="BJ642" s="64"/>
      <c r="BK642" s="64"/>
      <c r="BL642" s="64"/>
      <c r="BM642" s="64"/>
      <c r="BN642" s="64"/>
      <c r="BO642" s="64"/>
      <c r="BP642" s="64"/>
      <c r="BQ642" s="64"/>
      <c r="BR642" s="64"/>
      <c r="BS642" s="64"/>
      <c r="BT642" s="65"/>
    </row>
    <row r="643" spans="1:72" ht="18" customHeight="1" x14ac:dyDescent="0.3">
      <c r="A643" s="192" t="s">
        <v>2310</v>
      </c>
      <c r="B643" s="145" t="s">
        <v>2311</v>
      </c>
      <c r="C643" s="193" t="s">
        <v>2343</v>
      </c>
      <c r="D643" s="145" t="s">
        <v>1114</v>
      </c>
      <c r="E643" s="50">
        <v>0</v>
      </c>
      <c r="F643" s="50">
        <v>0</v>
      </c>
      <c r="G643" s="16">
        <v>2</v>
      </c>
      <c r="H643" s="16">
        <v>549</v>
      </c>
      <c r="I643" s="48"/>
      <c r="J643" s="144" t="s">
        <v>2312</v>
      </c>
      <c r="K643" s="49">
        <v>182</v>
      </c>
      <c r="L643" s="49">
        <v>1640</v>
      </c>
      <c r="M643" s="49" t="s">
        <v>1014</v>
      </c>
      <c r="N643" s="64"/>
      <c r="O643" s="63" t="str">
        <f t="shared" ref="O643:O674" si="93">IF(AND(ISBLANK(K643),ISBLANK(N643))," ",IF(ISBLANK(N643),"YES","NO"))</f>
        <v>YES</v>
      </c>
      <c r="P643" s="159"/>
      <c r="Q643" s="53">
        <f t="shared" si="85"/>
        <v>5000</v>
      </c>
      <c r="R643" s="54" t="str">
        <f t="shared" si="86"/>
        <v xml:space="preserve"> </v>
      </c>
      <c r="S643" s="55" t="str">
        <f t="shared" si="87"/>
        <v xml:space="preserve"> </v>
      </c>
      <c r="T643" s="163"/>
      <c r="U643" s="57" t="str">
        <f t="shared" si="88"/>
        <v xml:space="preserve"> </v>
      </c>
      <c r="V643" s="58" t="str">
        <f t="shared" si="89"/>
        <v xml:space="preserve"> </v>
      </c>
      <c r="W643" s="57" t="str">
        <f t="shared" si="90"/>
        <v xml:space="preserve"> </v>
      </c>
      <c r="X643" s="59" t="str">
        <f t="shared" si="91"/>
        <v>Water criteria (conductivity)</v>
      </c>
      <c r="Y643" s="159"/>
      <c r="Z643" s="16" t="s">
        <v>1987</v>
      </c>
      <c r="AA643" s="16" t="s">
        <v>1987</v>
      </c>
      <c r="AB643" s="16" t="s">
        <v>1987</v>
      </c>
      <c r="AC643" s="16" t="s">
        <v>1987</v>
      </c>
      <c r="AD643" s="16" t="s">
        <v>1987</v>
      </c>
      <c r="AE643" s="16" t="s">
        <v>1987</v>
      </c>
      <c r="AF643" s="16" t="s">
        <v>1987</v>
      </c>
      <c r="AG643" s="16" t="s">
        <v>1987</v>
      </c>
      <c r="AH643" s="16" t="s">
        <v>1987</v>
      </c>
      <c r="AI643" s="16" t="s">
        <v>1987</v>
      </c>
      <c r="AJ643" s="16" t="s">
        <v>1987</v>
      </c>
      <c r="AK643" s="16" t="s">
        <v>1987</v>
      </c>
      <c r="AL643" s="16" t="s">
        <v>1987</v>
      </c>
      <c r="AM643" s="16" t="s">
        <v>1987</v>
      </c>
      <c r="AN643" s="16" t="s">
        <v>1987</v>
      </c>
      <c r="AO643" s="16" t="s">
        <v>1987</v>
      </c>
      <c r="AP643" s="16" t="s">
        <v>1987</v>
      </c>
      <c r="AQ643" s="16" t="s">
        <v>1987</v>
      </c>
      <c r="AR643" s="16" t="s">
        <v>1987</v>
      </c>
      <c r="AS643" s="16" t="s">
        <v>1987</v>
      </c>
      <c r="AT643" s="16" t="s">
        <v>1987</v>
      </c>
      <c r="AU643" s="16" t="s">
        <v>1987</v>
      </c>
      <c r="AV643" s="16" t="s">
        <v>1987</v>
      </c>
      <c r="AW643" s="16" t="s">
        <v>1987</v>
      </c>
      <c r="AX643" s="16" t="s">
        <v>1987</v>
      </c>
      <c r="AY643" s="16" t="s">
        <v>1987</v>
      </c>
      <c r="AZ643" s="16" t="s">
        <v>1987</v>
      </c>
      <c r="BA643" s="16" t="s">
        <v>1987</v>
      </c>
      <c r="BB643" s="16" t="s">
        <v>1987</v>
      </c>
      <c r="BC643" s="16" t="s">
        <v>1987</v>
      </c>
      <c r="BD643" s="16" t="s">
        <v>1987</v>
      </c>
      <c r="BE643" s="16" t="s">
        <v>1987</v>
      </c>
      <c r="BF643" s="16" t="s">
        <v>1987</v>
      </c>
      <c r="BG643" s="16" t="s">
        <v>1987</v>
      </c>
      <c r="BH643" s="16" t="s">
        <v>1987</v>
      </c>
      <c r="BI643" s="16" t="s">
        <v>1987</v>
      </c>
      <c r="BJ643" s="16" t="s">
        <v>1987</v>
      </c>
      <c r="BK643" s="16" t="s">
        <v>1987</v>
      </c>
      <c r="BL643" s="16" t="s">
        <v>1987</v>
      </c>
      <c r="BM643" s="16" t="s">
        <v>1987</v>
      </c>
      <c r="BN643" s="16" t="s">
        <v>1987</v>
      </c>
      <c r="BO643" s="16" t="s">
        <v>1987</v>
      </c>
      <c r="BP643" s="16" t="s">
        <v>1987</v>
      </c>
      <c r="BQ643" s="16" t="s">
        <v>1987</v>
      </c>
      <c r="BR643" s="16" t="s">
        <v>1987</v>
      </c>
      <c r="BS643" s="16" t="s">
        <v>1987</v>
      </c>
      <c r="BT643" s="16" t="s">
        <v>1987</v>
      </c>
    </row>
    <row r="644" spans="1:72" ht="18" hidden="1" customHeight="1" x14ac:dyDescent="0.3">
      <c r="A644" s="47" t="s">
        <v>710</v>
      </c>
      <c r="B644" s="48" t="s">
        <v>711</v>
      </c>
      <c r="C644" s="49" t="s">
        <v>2213</v>
      </c>
      <c r="D644" s="49" t="s">
        <v>1268</v>
      </c>
      <c r="E644" s="50">
        <v>23.46</v>
      </c>
      <c r="F644" s="50">
        <v>0</v>
      </c>
      <c r="G644" s="61">
        <v>2</v>
      </c>
      <c r="H644" s="16" t="s">
        <v>1126</v>
      </c>
      <c r="I644" s="70" t="s">
        <v>1474</v>
      </c>
      <c r="J644" s="16" t="s">
        <v>1213</v>
      </c>
      <c r="K644" s="49">
        <v>7500</v>
      </c>
      <c r="L644" s="49">
        <v>67500</v>
      </c>
      <c r="M644" s="49" t="s">
        <v>1014</v>
      </c>
      <c r="N644" s="51"/>
      <c r="O644" s="63" t="str">
        <f t="shared" si="93"/>
        <v>YES</v>
      </c>
      <c r="P644" s="157"/>
      <c r="Q644" s="53">
        <f t="shared" si="85"/>
        <v>5000</v>
      </c>
      <c r="R644" s="54">
        <f t="shared" si="86"/>
        <v>1173</v>
      </c>
      <c r="S644" s="55" t="str">
        <f t="shared" si="87"/>
        <v xml:space="preserve"> </v>
      </c>
      <c r="T644" s="100"/>
      <c r="U644" s="57" t="str">
        <f t="shared" si="88"/>
        <v>100µg/100cm²</v>
      </c>
      <c r="V644" s="58">
        <f t="shared" si="89"/>
        <v>1173</v>
      </c>
      <c r="W644" s="58" t="str">
        <f t="shared" si="90"/>
        <v xml:space="preserve"> </v>
      </c>
      <c r="X644" s="59" t="str">
        <f t="shared" si="91"/>
        <v/>
      </c>
      <c r="Y644" s="158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16" t="s">
        <v>675</v>
      </c>
      <c r="AK644" s="64"/>
      <c r="AL644" s="64"/>
      <c r="AM644" s="16" t="s">
        <v>675</v>
      </c>
      <c r="AN644" s="64"/>
      <c r="AO644" s="64"/>
      <c r="AP644" s="64"/>
      <c r="AQ644" s="64"/>
      <c r="AR644" s="64"/>
      <c r="AS644" s="64"/>
      <c r="AT644" s="64"/>
      <c r="AU644" s="64"/>
      <c r="AV644" s="64"/>
      <c r="AW644" s="64"/>
      <c r="AX644" s="64"/>
      <c r="AY644" s="64"/>
      <c r="AZ644" s="64"/>
      <c r="BA644" s="64"/>
      <c r="BB644" s="64"/>
      <c r="BC644" s="64"/>
      <c r="BD644" s="64"/>
      <c r="BE644" s="64"/>
      <c r="BF644" s="64"/>
      <c r="BG644" s="64"/>
      <c r="BH644" s="64"/>
      <c r="BI644" s="64"/>
      <c r="BJ644" s="64"/>
      <c r="BK644" s="64"/>
      <c r="BL644" s="64"/>
      <c r="BM644" s="64"/>
      <c r="BN644" s="64"/>
      <c r="BO644" s="64"/>
      <c r="BP644" s="64"/>
      <c r="BQ644" s="64"/>
      <c r="BR644" s="64"/>
      <c r="BS644" s="16" t="s">
        <v>675</v>
      </c>
      <c r="BT644" s="65"/>
    </row>
    <row r="645" spans="1:72" ht="18" customHeight="1" x14ac:dyDescent="0.3">
      <c r="A645" s="127" t="s">
        <v>807</v>
      </c>
      <c r="B645" s="48" t="s">
        <v>808</v>
      </c>
      <c r="C645" s="16" t="s">
        <v>2214</v>
      </c>
      <c r="D645" s="17" t="s">
        <v>1114</v>
      </c>
      <c r="E645" s="50">
        <v>0</v>
      </c>
      <c r="F645" s="50">
        <v>0</v>
      </c>
      <c r="G645" s="151">
        <v>3</v>
      </c>
      <c r="H645" s="17" t="s">
        <v>1263</v>
      </c>
      <c r="I645" s="48" t="s">
        <v>1447</v>
      </c>
      <c r="J645" s="16" t="s">
        <v>2386</v>
      </c>
      <c r="K645" s="49">
        <v>50</v>
      </c>
      <c r="L645" s="49">
        <v>50</v>
      </c>
      <c r="M645" s="64"/>
      <c r="N645" s="16" t="s">
        <v>1476</v>
      </c>
      <c r="O645" s="63" t="str">
        <f t="shared" si="93"/>
        <v>NO</v>
      </c>
      <c r="P645" s="157"/>
      <c r="Q645" s="53">
        <f t="shared" si="85"/>
        <v>50</v>
      </c>
      <c r="R645" s="54" t="str">
        <f t="shared" si="86"/>
        <v xml:space="preserve"> </v>
      </c>
      <c r="S645" s="55" t="str">
        <f t="shared" si="87"/>
        <v xml:space="preserve"> </v>
      </c>
      <c r="T645" s="100"/>
      <c r="U645" s="57" t="str">
        <f t="shared" si="88"/>
        <v xml:space="preserve"> </v>
      </c>
      <c r="V645" s="58" t="str">
        <f t="shared" si="89"/>
        <v xml:space="preserve"> </v>
      </c>
      <c r="W645" s="58" t="str">
        <f t="shared" si="90"/>
        <v xml:space="preserve"> </v>
      </c>
      <c r="X645" s="59" t="str">
        <f t="shared" si="91"/>
        <v>Mitigation</v>
      </c>
      <c r="Y645" s="158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AV645" s="64"/>
      <c r="AW645" s="64"/>
      <c r="AX645" s="64"/>
      <c r="AY645" s="64"/>
      <c r="AZ645" s="64"/>
      <c r="BA645" s="64"/>
      <c r="BB645" s="64"/>
      <c r="BC645" s="64"/>
      <c r="BD645" s="64"/>
      <c r="BE645" s="16" t="s">
        <v>675</v>
      </c>
      <c r="BF645" s="64"/>
      <c r="BG645" s="64"/>
      <c r="BH645" s="64"/>
      <c r="BI645" s="64"/>
      <c r="BJ645" s="64"/>
      <c r="BK645" s="64"/>
      <c r="BL645" s="64"/>
      <c r="BM645" s="64"/>
      <c r="BN645" s="64"/>
      <c r="BO645" s="64"/>
      <c r="BP645" s="64"/>
      <c r="BQ645" s="64"/>
      <c r="BR645" s="64"/>
      <c r="BS645" s="64"/>
      <c r="BT645" s="65"/>
    </row>
    <row r="646" spans="1:72" ht="18" hidden="1" customHeight="1" x14ac:dyDescent="0.3">
      <c r="A646" s="47" t="s">
        <v>292</v>
      </c>
      <c r="B646" s="48" t="s">
        <v>293</v>
      </c>
      <c r="C646" s="16" t="s">
        <v>2215</v>
      </c>
      <c r="D646" s="49" t="s">
        <v>1114</v>
      </c>
      <c r="E646" s="50">
        <v>32.729999999999997</v>
      </c>
      <c r="F646" s="50">
        <v>0</v>
      </c>
      <c r="G646" s="61">
        <v>2</v>
      </c>
      <c r="H646" s="16">
        <v>347</v>
      </c>
      <c r="I646" s="48" t="s">
        <v>1016</v>
      </c>
      <c r="J646" s="16" t="s">
        <v>2386</v>
      </c>
      <c r="K646" s="49">
        <v>50</v>
      </c>
      <c r="L646" s="49">
        <v>50</v>
      </c>
      <c r="M646" s="64"/>
      <c r="N646" s="64"/>
      <c r="O646" s="63" t="str">
        <f t="shared" si="93"/>
        <v>YES</v>
      </c>
      <c r="P646" s="157"/>
      <c r="Q646" s="53">
        <f t="shared" si="85"/>
        <v>5000</v>
      </c>
      <c r="R646" s="54">
        <f t="shared" si="86"/>
        <v>1636.5</v>
      </c>
      <c r="S646" s="55" t="str">
        <f t="shared" si="87"/>
        <v xml:space="preserve"> </v>
      </c>
      <c r="T646" s="100"/>
      <c r="U646" s="57" t="str">
        <f t="shared" si="88"/>
        <v>100µg/100cm²</v>
      </c>
      <c r="V646" s="58">
        <f t="shared" si="89"/>
        <v>1636.5</v>
      </c>
      <c r="W646" s="58" t="str">
        <f t="shared" si="90"/>
        <v xml:space="preserve"> </v>
      </c>
      <c r="X646" s="59" t="str">
        <f t="shared" si="91"/>
        <v/>
      </c>
      <c r="Y646" s="158"/>
      <c r="Z646" s="64"/>
      <c r="AA646" s="64"/>
      <c r="AB646" s="64"/>
      <c r="AC646" s="64"/>
      <c r="AD646" s="64"/>
      <c r="AE646" s="64"/>
      <c r="AF646" s="64"/>
      <c r="AG646" s="64"/>
      <c r="AH646" s="16" t="s">
        <v>675</v>
      </c>
      <c r="AI646" s="64"/>
      <c r="AJ646" s="64"/>
      <c r="AK646" s="16" t="s">
        <v>675</v>
      </c>
      <c r="AL646" s="16" t="s">
        <v>675</v>
      </c>
      <c r="AM646" s="16" t="s">
        <v>675</v>
      </c>
      <c r="AN646" s="64"/>
      <c r="AO646" s="64"/>
      <c r="AP646" s="64"/>
      <c r="AQ646" s="64"/>
      <c r="AR646" s="64"/>
      <c r="AS646" s="16" t="s">
        <v>675</v>
      </c>
      <c r="AT646" s="64"/>
      <c r="AU646" s="64"/>
      <c r="AV646" s="64"/>
      <c r="AW646" s="64"/>
      <c r="AX646" s="64"/>
      <c r="AY646" s="64"/>
      <c r="AZ646" s="64"/>
      <c r="BA646" s="64"/>
      <c r="BB646" s="64"/>
      <c r="BC646" s="64"/>
      <c r="BD646" s="64"/>
      <c r="BE646" s="64"/>
      <c r="BF646" s="64"/>
      <c r="BG646" s="64"/>
      <c r="BH646" s="64"/>
      <c r="BI646" s="64"/>
      <c r="BJ646" s="64"/>
      <c r="BK646" s="64"/>
      <c r="BL646" s="64"/>
      <c r="BM646" s="64"/>
      <c r="BN646" s="64"/>
      <c r="BO646" s="64"/>
      <c r="BP646" s="64"/>
      <c r="BQ646" s="64"/>
      <c r="BR646" s="64"/>
      <c r="BS646" s="64"/>
      <c r="BT646" s="65"/>
    </row>
    <row r="647" spans="1:72" ht="18" customHeight="1" x14ac:dyDescent="0.3">
      <c r="A647" s="47" t="s">
        <v>698</v>
      </c>
      <c r="B647" s="48" t="s">
        <v>699</v>
      </c>
      <c r="C647" s="49" t="s">
        <v>1155</v>
      </c>
      <c r="D647" s="49" t="s">
        <v>1114</v>
      </c>
      <c r="E647" s="50">
        <v>0</v>
      </c>
      <c r="F647" s="50">
        <v>0</v>
      </c>
      <c r="G647" s="61">
        <v>2</v>
      </c>
      <c r="H647" s="16" t="s">
        <v>1126</v>
      </c>
      <c r="I647" s="48" t="s">
        <v>1016</v>
      </c>
      <c r="J647" s="16" t="s">
        <v>1156</v>
      </c>
      <c r="K647" s="49">
        <v>2.5</v>
      </c>
      <c r="L647" s="49">
        <v>5</v>
      </c>
      <c r="M647" s="62" t="s">
        <v>1157</v>
      </c>
      <c r="N647" s="62" t="s">
        <v>1043</v>
      </c>
      <c r="O647" s="63" t="str">
        <f t="shared" si="93"/>
        <v>NO</v>
      </c>
      <c r="P647" s="157"/>
      <c r="Q647" s="53">
        <f t="shared" si="85"/>
        <v>2.5</v>
      </c>
      <c r="R647" s="54" t="str">
        <f t="shared" si="86"/>
        <v xml:space="preserve"> </v>
      </c>
      <c r="S647" s="55" t="str">
        <f t="shared" si="87"/>
        <v xml:space="preserve"> </v>
      </c>
      <c r="T647" s="100"/>
      <c r="U647" s="57" t="str">
        <f t="shared" si="88"/>
        <v xml:space="preserve"> </v>
      </c>
      <c r="V647" s="58" t="str">
        <f t="shared" si="89"/>
        <v xml:space="preserve"> </v>
      </c>
      <c r="W647" s="58" t="str">
        <f t="shared" si="90"/>
        <v xml:space="preserve"> </v>
      </c>
      <c r="X647" s="59" t="str">
        <f t="shared" si="91"/>
        <v>Mitigation</v>
      </c>
      <c r="Y647" s="158"/>
      <c r="Z647" s="64"/>
      <c r="AA647" s="64"/>
      <c r="AB647" s="64"/>
      <c r="AC647" s="64"/>
      <c r="AD647" s="16" t="s">
        <v>675</v>
      </c>
      <c r="AE647" s="64"/>
      <c r="AF647" s="64"/>
      <c r="AG647" s="64"/>
      <c r="AH647" s="64"/>
      <c r="AI647" s="64"/>
      <c r="AJ647" s="64"/>
      <c r="AK647" s="64"/>
      <c r="AL647" s="64"/>
      <c r="AM647" s="16" t="s">
        <v>675</v>
      </c>
      <c r="AN647" s="64"/>
      <c r="AO647" s="64"/>
      <c r="AP647" s="64"/>
      <c r="AQ647" s="64"/>
      <c r="AR647" s="64"/>
      <c r="AS647" s="16" t="s">
        <v>675</v>
      </c>
      <c r="AT647" s="64"/>
      <c r="AU647" s="64"/>
      <c r="AV647" s="64"/>
      <c r="AW647" s="64"/>
      <c r="AX647" s="64"/>
      <c r="AY647" s="64"/>
      <c r="AZ647" s="64"/>
      <c r="BA647" s="64"/>
      <c r="BB647" s="64"/>
      <c r="BC647" s="64"/>
      <c r="BD647" s="64"/>
      <c r="BE647" s="64"/>
      <c r="BF647" s="64"/>
      <c r="BG647" s="64"/>
      <c r="BH647" s="64"/>
      <c r="BI647" s="64"/>
      <c r="BJ647" s="64"/>
      <c r="BK647" s="64"/>
      <c r="BL647" s="64"/>
      <c r="BM647" s="64"/>
      <c r="BN647" s="64"/>
      <c r="BO647" s="64"/>
      <c r="BP647" s="64"/>
      <c r="BQ647" s="64"/>
      <c r="BR647" s="64"/>
      <c r="BS647" s="64"/>
      <c r="BT647" s="65"/>
    </row>
    <row r="648" spans="1:72" ht="18" customHeight="1" x14ac:dyDescent="0.3">
      <c r="A648" s="47" t="s">
        <v>1819</v>
      </c>
      <c r="B648" s="48" t="s">
        <v>284</v>
      </c>
      <c r="C648" s="16" t="s">
        <v>2216</v>
      </c>
      <c r="D648" s="49" t="s">
        <v>1114</v>
      </c>
      <c r="E648" s="50">
        <v>0</v>
      </c>
      <c r="F648" s="50">
        <v>0</v>
      </c>
      <c r="G648" s="61">
        <v>2</v>
      </c>
      <c r="H648" s="16" t="s">
        <v>1126</v>
      </c>
      <c r="I648" s="48" t="s">
        <v>1048</v>
      </c>
      <c r="J648" s="16" t="s">
        <v>1187</v>
      </c>
      <c r="K648" s="49">
        <v>4500</v>
      </c>
      <c r="L648" s="49">
        <v>40900</v>
      </c>
      <c r="M648" s="62" t="s">
        <v>1014</v>
      </c>
      <c r="N648" s="51"/>
      <c r="O648" s="63" t="str">
        <f t="shared" si="93"/>
        <v>YES</v>
      </c>
      <c r="P648" s="157"/>
      <c r="Q648" s="53">
        <f t="shared" ref="Q648:Q711" si="94">IF(K648="Pending","Pending",IF(AND(K648&lt;5000,O648="YES"),MIN(ROUNDDOWN(K648*25550/140,1),5000),IF(AND(K648&lt;5000,O648="NO"),K648,IF(K648&gt;=5000,5000))))</f>
        <v>5000</v>
      </c>
      <c r="R648" s="54" t="str">
        <f t="shared" ref="R648:R711" si="95">IF(Q648="Pending","Pending",IF(E648=0," ",ROUNDDOWN(Q648*E648/100,1)))</f>
        <v xml:space="preserve"> </v>
      </c>
      <c r="S648" s="55" t="str">
        <f t="shared" ref="S648:S711" si="96">IF(Q648="Pending","Pending",IF(F648=0, " ",ROUNDDOWN(Q648*F648/100,1)))</f>
        <v xml:space="preserve"> </v>
      </c>
      <c r="T648" s="100"/>
      <c r="U648" s="57" t="str">
        <f t="shared" ref="U648:U711" si="97">IF(Q648="Pending","Pending",IF(R648= " ", " ", IF(R648&lt;20, "Mitigation", "100µg/100cm²")))</f>
        <v xml:space="preserve"> </v>
      </c>
      <c r="V648" s="58" t="str">
        <f t="shared" ref="V648:V711" si="98">IF(R648=0, " ", R648)</f>
        <v xml:space="preserve"> </v>
      </c>
      <c r="W648" s="58" t="str">
        <f t="shared" ref="W648:W711" si="99">IF(Q648="Pending","Pending",IF(S648= " ", " ", IF(S648&lt;20, "Mitigation", "100µg/100cm²")))</f>
        <v xml:space="preserve"> </v>
      </c>
      <c r="X648" s="59" t="str">
        <f t="shared" ref="X648:X711" si="100">IF(K648="","Pending",IF(AND(Q648=5000,G648&lt;4,SUM(E648,F648)=0),"Water criteria (conductivity)",IF(AND(Q648=5000,G648&gt;3,SUM(E648,F648)=0),"Mitigation",IF(AND(Q648&lt;5000,G648&gt;0,SUM(E648,F648)=0),"Mitigation",""))))</f>
        <v>Water criteria (conductivity)</v>
      </c>
      <c r="Y648" s="158"/>
      <c r="Z648" s="64"/>
      <c r="AA648" s="64"/>
      <c r="AB648" s="64"/>
      <c r="AC648" s="64"/>
      <c r="AD648" s="64"/>
      <c r="AE648" s="64"/>
      <c r="AF648" s="16" t="s">
        <v>675</v>
      </c>
      <c r="AG648" s="64"/>
      <c r="AH648" s="64"/>
      <c r="AI648" s="64"/>
      <c r="AJ648" s="16" t="s">
        <v>675</v>
      </c>
      <c r="AK648" s="64"/>
      <c r="AL648" s="64"/>
      <c r="AM648" s="16" t="s">
        <v>675</v>
      </c>
      <c r="AN648" s="64"/>
      <c r="AO648" s="64"/>
      <c r="AP648" s="64"/>
      <c r="AQ648" s="64"/>
      <c r="AR648" s="64"/>
      <c r="AS648" s="64"/>
      <c r="AT648" s="64"/>
      <c r="AU648" s="64"/>
      <c r="AV648" s="64"/>
      <c r="AW648" s="64"/>
      <c r="AX648" s="64"/>
      <c r="AY648" s="16" t="s">
        <v>675</v>
      </c>
      <c r="AZ648" s="16" t="s">
        <v>675</v>
      </c>
      <c r="BA648" s="16" t="s">
        <v>675</v>
      </c>
      <c r="BB648" s="16" t="s">
        <v>675</v>
      </c>
      <c r="BC648" s="16" t="s">
        <v>675</v>
      </c>
      <c r="BD648" s="64"/>
      <c r="BE648" s="64"/>
      <c r="BF648" s="64"/>
      <c r="BG648" s="64"/>
      <c r="BH648" s="64"/>
      <c r="BI648" s="64"/>
      <c r="BJ648" s="64"/>
      <c r="BK648" s="16" t="s">
        <v>675</v>
      </c>
      <c r="BL648" s="64"/>
      <c r="BM648" s="64"/>
      <c r="BN648" s="64"/>
      <c r="BO648" s="64"/>
      <c r="BP648" s="64"/>
      <c r="BQ648" s="64"/>
      <c r="BR648" s="64"/>
      <c r="BS648" s="16" t="s">
        <v>675</v>
      </c>
      <c r="BT648" s="65"/>
    </row>
    <row r="649" spans="1:72" ht="18" customHeight="1" x14ac:dyDescent="0.3">
      <c r="A649" s="127" t="s">
        <v>673</v>
      </c>
      <c r="B649" s="16" t="s">
        <v>674</v>
      </c>
      <c r="C649" s="17" t="s">
        <v>2217</v>
      </c>
      <c r="D649" s="17" t="s">
        <v>1114</v>
      </c>
      <c r="E649" s="50">
        <v>0</v>
      </c>
      <c r="F649" s="50">
        <v>0</v>
      </c>
      <c r="G649" s="16">
        <v>2</v>
      </c>
      <c r="H649" s="16">
        <v>162</v>
      </c>
      <c r="I649" s="48" t="s">
        <v>1016</v>
      </c>
      <c r="J649" s="16" t="s">
        <v>2386</v>
      </c>
      <c r="K649" s="49">
        <v>50</v>
      </c>
      <c r="L649" s="49">
        <v>50</v>
      </c>
      <c r="M649" s="64"/>
      <c r="N649" s="16" t="s">
        <v>1476</v>
      </c>
      <c r="O649" s="63" t="str">
        <f t="shared" si="93"/>
        <v>NO</v>
      </c>
      <c r="P649" s="157"/>
      <c r="Q649" s="53">
        <f t="shared" si="94"/>
        <v>50</v>
      </c>
      <c r="R649" s="54" t="str">
        <f t="shared" si="95"/>
        <v xml:space="preserve"> </v>
      </c>
      <c r="S649" s="55" t="str">
        <f t="shared" si="96"/>
        <v xml:space="preserve"> </v>
      </c>
      <c r="T649" s="100"/>
      <c r="U649" s="57" t="str">
        <f t="shared" si="97"/>
        <v xml:space="preserve"> </v>
      </c>
      <c r="V649" s="58" t="str">
        <f t="shared" si="98"/>
        <v xml:space="preserve"> </v>
      </c>
      <c r="W649" s="58" t="str">
        <f t="shared" si="99"/>
        <v xml:space="preserve"> </v>
      </c>
      <c r="X649" s="59" t="str">
        <f t="shared" si="100"/>
        <v>Mitigation</v>
      </c>
      <c r="Y649" s="158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  <c r="BB649" s="64"/>
      <c r="BC649" s="16" t="s">
        <v>675</v>
      </c>
      <c r="BD649" s="64"/>
      <c r="BE649" s="16" t="s">
        <v>675</v>
      </c>
      <c r="BF649" s="64"/>
      <c r="BG649" s="64"/>
      <c r="BH649" s="64"/>
      <c r="BI649" s="64"/>
      <c r="BJ649" s="64"/>
      <c r="BK649" s="64"/>
      <c r="BL649" s="64"/>
      <c r="BM649" s="64"/>
      <c r="BN649" s="64"/>
      <c r="BO649" s="64"/>
      <c r="BP649" s="64"/>
      <c r="BQ649" s="64"/>
      <c r="BR649" s="64"/>
      <c r="BS649" s="16" t="s">
        <v>675</v>
      </c>
      <c r="BT649" s="65"/>
    </row>
    <row r="650" spans="1:72" ht="18" customHeight="1" x14ac:dyDescent="0.3">
      <c r="A650" s="89" t="s">
        <v>799</v>
      </c>
      <c r="B650" s="16" t="s">
        <v>800</v>
      </c>
      <c r="C650" s="87" t="s">
        <v>2218</v>
      </c>
      <c r="D650" s="17" t="s">
        <v>1114</v>
      </c>
      <c r="E650" s="50">
        <v>0</v>
      </c>
      <c r="F650" s="50">
        <v>0</v>
      </c>
      <c r="G650" s="151">
        <v>2</v>
      </c>
      <c r="H650" s="17">
        <v>220</v>
      </c>
      <c r="I650" s="48" t="s">
        <v>1447</v>
      </c>
      <c r="J650" s="48" t="s">
        <v>2386</v>
      </c>
      <c r="K650" s="16">
        <v>50</v>
      </c>
      <c r="L650" s="16">
        <v>50</v>
      </c>
      <c r="M650" s="64"/>
      <c r="N650" s="64"/>
      <c r="O650" s="63" t="str">
        <f t="shared" si="93"/>
        <v>YES</v>
      </c>
      <c r="P650" s="157"/>
      <c r="Q650" s="53">
        <f t="shared" si="94"/>
        <v>5000</v>
      </c>
      <c r="R650" s="54" t="str">
        <f t="shared" si="95"/>
        <v xml:space="preserve"> </v>
      </c>
      <c r="S650" s="55" t="str">
        <f t="shared" si="96"/>
        <v xml:space="preserve"> </v>
      </c>
      <c r="T650" s="100"/>
      <c r="U650" s="57" t="str">
        <f t="shared" si="97"/>
        <v xml:space="preserve"> </v>
      </c>
      <c r="V650" s="58" t="str">
        <f t="shared" si="98"/>
        <v xml:space="preserve"> </v>
      </c>
      <c r="W650" s="57" t="str">
        <f t="shared" si="99"/>
        <v xml:space="preserve"> </v>
      </c>
      <c r="X650" s="59" t="str">
        <f t="shared" si="100"/>
        <v>Water criteria (conductivity)</v>
      </c>
      <c r="Y650" s="158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  <c r="BB650" s="64"/>
      <c r="BC650" s="64"/>
      <c r="BD650" s="64"/>
      <c r="BE650" s="16" t="s">
        <v>675</v>
      </c>
      <c r="BF650" s="64"/>
      <c r="BG650" s="64"/>
      <c r="BH650" s="64"/>
      <c r="BI650" s="64"/>
      <c r="BJ650" s="64"/>
      <c r="BK650" s="64"/>
      <c r="BL650" s="64"/>
      <c r="BM650" s="64"/>
      <c r="BN650" s="64"/>
      <c r="BO650" s="64"/>
      <c r="BP650" s="64"/>
      <c r="BQ650" s="64"/>
      <c r="BR650" s="64"/>
      <c r="BS650" s="16" t="s">
        <v>675</v>
      </c>
      <c r="BT650" s="65"/>
    </row>
    <row r="651" spans="1:72" ht="18" hidden="1" customHeight="1" x14ac:dyDescent="0.3">
      <c r="A651" s="77" t="s">
        <v>353</v>
      </c>
      <c r="B651" s="152" t="s">
        <v>354</v>
      </c>
      <c r="C651" s="16" t="s">
        <v>2219</v>
      </c>
      <c r="D651" s="49" t="s">
        <v>1114</v>
      </c>
      <c r="E651" s="50">
        <v>21.05</v>
      </c>
      <c r="F651" s="50">
        <v>0</v>
      </c>
      <c r="G651" s="61">
        <v>2</v>
      </c>
      <c r="H651" s="16">
        <v>114</v>
      </c>
      <c r="I651" s="79" t="s">
        <v>1016</v>
      </c>
      <c r="J651" s="16" t="s">
        <v>1154</v>
      </c>
      <c r="K651" s="49">
        <v>40</v>
      </c>
      <c r="L651" s="49">
        <v>360</v>
      </c>
      <c r="M651" s="62" t="s">
        <v>1014</v>
      </c>
      <c r="N651" s="62" t="s">
        <v>1082</v>
      </c>
      <c r="O651" s="49" t="str">
        <f t="shared" si="93"/>
        <v>NO</v>
      </c>
      <c r="P651" s="157"/>
      <c r="Q651" s="53">
        <f t="shared" si="94"/>
        <v>40</v>
      </c>
      <c r="R651" s="54">
        <f t="shared" si="95"/>
        <v>8.4</v>
      </c>
      <c r="S651" s="55" t="str">
        <f t="shared" si="96"/>
        <v xml:space="preserve"> </v>
      </c>
      <c r="T651" s="100"/>
      <c r="U651" s="57" t="str">
        <f t="shared" si="97"/>
        <v>Mitigation</v>
      </c>
      <c r="V651" s="58">
        <f t="shared" si="98"/>
        <v>8.4</v>
      </c>
      <c r="W651" s="58" t="str">
        <f t="shared" si="99"/>
        <v xml:space="preserve"> </v>
      </c>
      <c r="X651" s="59" t="str">
        <f t="shared" si="100"/>
        <v/>
      </c>
      <c r="Y651" s="158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16" t="s">
        <v>675</v>
      </c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  <c r="BB651" s="64"/>
      <c r="BC651" s="64"/>
      <c r="BD651" s="64"/>
      <c r="BE651" s="64"/>
      <c r="BF651" s="64"/>
      <c r="BG651" s="64"/>
      <c r="BH651" s="64"/>
      <c r="BI651" s="64"/>
      <c r="BJ651" s="64"/>
      <c r="BK651" s="64"/>
      <c r="BL651" s="64"/>
      <c r="BM651" s="64"/>
      <c r="BN651" s="64"/>
      <c r="BO651" s="64"/>
      <c r="BP651" s="64"/>
      <c r="BQ651" s="64"/>
      <c r="BR651" s="64"/>
      <c r="BS651" s="64"/>
      <c r="BT651" s="65"/>
    </row>
    <row r="652" spans="1:72" ht="18" customHeight="1" x14ac:dyDescent="0.3">
      <c r="A652" s="66" t="s">
        <v>781</v>
      </c>
      <c r="B652" s="69" t="s">
        <v>544</v>
      </c>
      <c r="C652" s="16" t="s">
        <v>2220</v>
      </c>
      <c r="D652" s="67" t="s">
        <v>1114</v>
      </c>
      <c r="E652" s="50">
        <v>0</v>
      </c>
      <c r="F652" s="50">
        <v>0</v>
      </c>
      <c r="G652" s="61">
        <v>2</v>
      </c>
      <c r="H652" s="16">
        <v>701</v>
      </c>
      <c r="I652" s="48" t="s">
        <v>1016</v>
      </c>
      <c r="J652" s="16" t="s">
        <v>2386</v>
      </c>
      <c r="K652" s="49">
        <v>50</v>
      </c>
      <c r="L652" s="49">
        <v>50</v>
      </c>
      <c r="M652" s="64"/>
      <c r="N652" s="64"/>
      <c r="O652" s="49" t="str">
        <f t="shared" si="93"/>
        <v>YES</v>
      </c>
      <c r="P652" s="157"/>
      <c r="Q652" s="53">
        <f t="shared" si="94"/>
        <v>5000</v>
      </c>
      <c r="R652" s="54" t="str">
        <f t="shared" si="95"/>
        <v xml:space="preserve"> </v>
      </c>
      <c r="S652" s="55" t="str">
        <f t="shared" si="96"/>
        <v xml:space="preserve"> </v>
      </c>
      <c r="T652" s="100"/>
      <c r="U652" s="57" t="str">
        <f t="shared" si="97"/>
        <v xml:space="preserve"> </v>
      </c>
      <c r="V652" s="58" t="str">
        <f t="shared" si="98"/>
        <v xml:space="preserve"> </v>
      </c>
      <c r="W652" s="58" t="str">
        <f t="shared" si="99"/>
        <v xml:space="preserve"> </v>
      </c>
      <c r="X652" s="59" t="str">
        <f t="shared" si="100"/>
        <v>Water criteria (conductivity)</v>
      </c>
      <c r="Y652" s="158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16" t="s">
        <v>675</v>
      </c>
      <c r="AT652" s="64"/>
      <c r="AU652" s="64"/>
      <c r="AV652" s="64"/>
      <c r="AW652" s="64"/>
      <c r="AX652" s="64"/>
      <c r="AY652" s="64"/>
      <c r="AZ652" s="64"/>
      <c r="BA652" s="64"/>
      <c r="BB652" s="64"/>
      <c r="BC652" s="64"/>
      <c r="BD652" s="64"/>
      <c r="BE652" s="64"/>
      <c r="BF652" s="64"/>
      <c r="BG652" s="64"/>
      <c r="BH652" s="64"/>
      <c r="BI652" s="64"/>
      <c r="BJ652" s="64"/>
      <c r="BK652" s="16" t="s">
        <v>675</v>
      </c>
      <c r="BL652" s="64"/>
      <c r="BM652" s="64"/>
      <c r="BN652" s="64"/>
      <c r="BO652" s="64"/>
      <c r="BP652" s="64"/>
      <c r="BQ652" s="64"/>
      <c r="BR652" s="64"/>
      <c r="BS652" s="16" t="s">
        <v>675</v>
      </c>
      <c r="BT652" s="65"/>
    </row>
    <row r="653" spans="1:72" ht="18" customHeight="1" x14ac:dyDescent="0.3">
      <c r="A653" s="47" t="s">
        <v>667</v>
      </c>
      <c r="B653" s="48" t="s">
        <v>668</v>
      </c>
      <c r="C653" s="16" t="s">
        <v>2221</v>
      </c>
      <c r="D653" s="49" t="s">
        <v>1114</v>
      </c>
      <c r="E653" s="50">
        <v>0</v>
      </c>
      <c r="F653" s="50">
        <v>0</v>
      </c>
      <c r="G653" s="61">
        <v>2</v>
      </c>
      <c r="H653" s="16">
        <v>200</v>
      </c>
      <c r="I653" s="48" t="s">
        <v>1189</v>
      </c>
      <c r="J653" s="16" t="s">
        <v>2386</v>
      </c>
      <c r="K653" s="49">
        <v>50</v>
      </c>
      <c r="L653" s="49">
        <v>50</v>
      </c>
      <c r="M653" s="64"/>
      <c r="N653" s="64"/>
      <c r="O653" s="49" t="str">
        <f t="shared" si="93"/>
        <v>YES</v>
      </c>
      <c r="P653" s="157"/>
      <c r="Q653" s="53">
        <f t="shared" si="94"/>
        <v>5000</v>
      </c>
      <c r="R653" s="54" t="str">
        <f t="shared" si="95"/>
        <v xml:space="preserve"> </v>
      </c>
      <c r="S653" s="55" t="str">
        <f t="shared" si="96"/>
        <v xml:space="preserve"> </v>
      </c>
      <c r="T653" s="100"/>
      <c r="U653" s="57" t="str">
        <f t="shared" si="97"/>
        <v xml:space="preserve"> </v>
      </c>
      <c r="V653" s="58" t="str">
        <f t="shared" si="98"/>
        <v xml:space="preserve"> </v>
      </c>
      <c r="W653" s="58" t="str">
        <f t="shared" si="99"/>
        <v xml:space="preserve"> </v>
      </c>
      <c r="X653" s="59" t="str">
        <f t="shared" si="100"/>
        <v>Water criteria (conductivity)</v>
      </c>
      <c r="Y653" s="158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  <c r="BB653" s="64"/>
      <c r="BC653" s="16" t="s">
        <v>675</v>
      </c>
      <c r="BD653" s="64"/>
      <c r="BE653" s="64"/>
      <c r="BF653" s="16" t="s">
        <v>675</v>
      </c>
      <c r="BG653" s="64"/>
      <c r="BH653" s="64"/>
      <c r="BI653" s="64"/>
      <c r="BJ653" s="64"/>
      <c r="BK653" s="64"/>
      <c r="BL653" s="64"/>
      <c r="BM653" s="64"/>
      <c r="BN653" s="64"/>
      <c r="BO653" s="64"/>
      <c r="BP653" s="64"/>
      <c r="BQ653" s="64"/>
      <c r="BR653" s="64"/>
      <c r="BS653" s="16" t="s">
        <v>675</v>
      </c>
      <c r="BT653" s="65"/>
    </row>
    <row r="654" spans="1:72" ht="18" hidden="1" customHeight="1" x14ac:dyDescent="0.3">
      <c r="A654" s="66" t="s">
        <v>420</v>
      </c>
      <c r="B654" s="49" t="s">
        <v>421</v>
      </c>
      <c r="C654" s="16" t="s">
        <v>2222</v>
      </c>
      <c r="D654" s="67" t="s">
        <v>1291</v>
      </c>
      <c r="E654" s="50">
        <v>46.2</v>
      </c>
      <c r="F654" s="50">
        <v>0</v>
      </c>
      <c r="G654" s="61">
        <v>1</v>
      </c>
      <c r="H654" s="68" t="s">
        <v>1441</v>
      </c>
      <c r="I654" s="48" t="s">
        <v>1189</v>
      </c>
      <c r="J654" s="16" t="s">
        <v>2386</v>
      </c>
      <c r="K654" s="49">
        <v>50</v>
      </c>
      <c r="L654" s="49">
        <v>50</v>
      </c>
      <c r="M654" s="64"/>
      <c r="N654" s="64"/>
      <c r="O654" s="49" t="str">
        <f t="shared" si="93"/>
        <v>YES</v>
      </c>
      <c r="P654" s="157"/>
      <c r="Q654" s="53">
        <f t="shared" si="94"/>
        <v>5000</v>
      </c>
      <c r="R654" s="54">
        <f t="shared" si="95"/>
        <v>2310</v>
      </c>
      <c r="S654" s="55" t="str">
        <f t="shared" si="96"/>
        <v xml:space="preserve"> </v>
      </c>
      <c r="T654" s="100"/>
      <c r="U654" s="57" t="str">
        <f t="shared" si="97"/>
        <v>100µg/100cm²</v>
      </c>
      <c r="V654" s="58">
        <f t="shared" si="98"/>
        <v>2310</v>
      </c>
      <c r="W654" s="58" t="str">
        <f t="shared" si="99"/>
        <v xml:space="preserve"> </v>
      </c>
      <c r="X654" s="59" t="str">
        <f t="shared" si="100"/>
        <v/>
      </c>
      <c r="Y654" s="158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16" t="s">
        <v>675</v>
      </c>
      <c r="AS654" s="64"/>
      <c r="AT654" s="64"/>
      <c r="AU654" s="64"/>
      <c r="AV654" s="64"/>
      <c r="AW654" s="64"/>
      <c r="AX654" s="64"/>
      <c r="AY654" s="64"/>
      <c r="AZ654" s="64"/>
      <c r="BA654" s="64"/>
      <c r="BB654" s="64"/>
      <c r="BC654" s="64"/>
      <c r="BD654" s="64"/>
      <c r="BE654" s="64"/>
      <c r="BF654" s="64"/>
      <c r="BG654" s="64"/>
      <c r="BH654" s="64"/>
      <c r="BI654" s="64"/>
      <c r="BJ654" s="64"/>
      <c r="BK654" s="64"/>
      <c r="BL654" s="64"/>
      <c r="BM654" s="64"/>
      <c r="BN654" s="64"/>
      <c r="BO654" s="64"/>
      <c r="BP654" s="64"/>
      <c r="BQ654" s="64"/>
      <c r="BR654" s="64"/>
      <c r="BS654" s="64"/>
      <c r="BT654" s="65"/>
    </row>
    <row r="655" spans="1:72" ht="18" hidden="1" customHeight="1" x14ac:dyDescent="0.3">
      <c r="A655" s="66" t="s">
        <v>732</v>
      </c>
      <c r="B655" s="69" t="s">
        <v>517</v>
      </c>
      <c r="C655" s="67" t="s">
        <v>1282</v>
      </c>
      <c r="D655" s="49" t="s">
        <v>1060</v>
      </c>
      <c r="E655" s="50">
        <v>32.1</v>
      </c>
      <c r="F655" s="50">
        <v>0</v>
      </c>
      <c r="G655" s="61">
        <v>3</v>
      </c>
      <c r="H655" s="16" t="s">
        <v>1263</v>
      </c>
      <c r="I655" s="48" t="s">
        <v>1016</v>
      </c>
      <c r="J655" s="16" t="s">
        <v>1283</v>
      </c>
      <c r="K655" s="49">
        <v>8300</v>
      </c>
      <c r="L655" s="49">
        <v>74700</v>
      </c>
      <c r="M655" s="62" t="s">
        <v>1014</v>
      </c>
      <c r="N655" s="51"/>
      <c r="O655" s="49" t="str">
        <f t="shared" si="93"/>
        <v>YES</v>
      </c>
      <c r="P655" s="157"/>
      <c r="Q655" s="53">
        <f t="shared" si="94"/>
        <v>5000</v>
      </c>
      <c r="R655" s="54">
        <f t="shared" si="95"/>
        <v>1605</v>
      </c>
      <c r="S655" s="55" t="str">
        <f t="shared" si="96"/>
        <v xml:space="preserve"> </v>
      </c>
      <c r="T655" s="100"/>
      <c r="U655" s="57" t="str">
        <f t="shared" si="97"/>
        <v>100µg/100cm²</v>
      </c>
      <c r="V655" s="58">
        <f t="shared" si="98"/>
        <v>1605</v>
      </c>
      <c r="W655" s="58" t="str">
        <f t="shared" si="99"/>
        <v xml:space="preserve"> </v>
      </c>
      <c r="X655" s="59" t="str">
        <f t="shared" si="100"/>
        <v/>
      </c>
      <c r="Y655" s="158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16" t="s">
        <v>675</v>
      </c>
      <c r="AT655" s="64"/>
      <c r="AU655" s="64"/>
      <c r="AV655" s="64"/>
      <c r="AW655" s="64"/>
      <c r="AX655" s="64"/>
      <c r="AY655" s="64"/>
      <c r="AZ655" s="64"/>
      <c r="BA655" s="64"/>
      <c r="BB655" s="64"/>
      <c r="BC655" s="64"/>
      <c r="BD655" s="64"/>
      <c r="BE655" s="64"/>
      <c r="BF655" s="64"/>
      <c r="BG655" s="64"/>
      <c r="BH655" s="64"/>
      <c r="BI655" s="64"/>
      <c r="BJ655" s="64"/>
      <c r="BK655" s="64"/>
      <c r="BL655" s="64"/>
      <c r="BM655" s="64"/>
      <c r="BN655" s="64"/>
      <c r="BO655" s="64"/>
      <c r="BP655" s="64"/>
      <c r="BQ655" s="64"/>
      <c r="BR655" s="64"/>
      <c r="BS655" s="64"/>
      <c r="BT655" s="65"/>
    </row>
    <row r="656" spans="1:72" ht="18" hidden="1" customHeight="1" x14ac:dyDescent="0.3">
      <c r="A656" s="84" t="s">
        <v>285</v>
      </c>
      <c r="B656" s="139" t="s">
        <v>286</v>
      </c>
      <c r="C656" s="16" t="s">
        <v>2160</v>
      </c>
      <c r="D656" s="49" t="s">
        <v>1028</v>
      </c>
      <c r="E656" s="50">
        <v>39.6</v>
      </c>
      <c r="F656" s="50">
        <v>0</v>
      </c>
      <c r="G656" s="61">
        <v>2</v>
      </c>
      <c r="H656" s="16">
        <v>690</v>
      </c>
      <c r="I656" s="48" t="s">
        <v>1016</v>
      </c>
      <c r="J656" s="16" t="s">
        <v>2386</v>
      </c>
      <c r="K656" s="49">
        <v>50</v>
      </c>
      <c r="L656" s="49">
        <v>50</v>
      </c>
      <c r="M656" s="64"/>
      <c r="N656" s="64"/>
      <c r="O656" s="49" t="str">
        <f t="shared" si="93"/>
        <v>YES</v>
      </c>
      <c r="P656" s="157"/>
      <c r="Q656" s="53">
        <f t="shared" si="94"/>
        <v>5000</v>
      </c>
      <c r="R656" s="54">
        <f t="shared" si="95"/>
        <v>1980</v>
      </c>
      <c r="S656" s="55" t="str">
        <f t="shared" si="96"/>
        <v xml:space="preserve"> </v>
      </c>
      <c r="T656" s="100"/>
      <c r="U656" s="57" t="str">
        <f t="shared" si="97"/>
        <v>100µg/100cm²</v>
      </c>
      <c r="V656" s="58">
        <f t="shared" si="98"/>
        <v>1980</v>
      </c>
      <c r="W656" s="58" t="str">
        <f t="shared" si="99"/>
        <v xml:space="preserve"> </v>
      </c>
      <c r="X656" s="59" t="str">
        <f t="shared" si="100"/>
        <v/>
      </c>
      <c r="Y656" s="158"/>
      <c r="Z656" s="64"/>
      <c r="AA656" s="64"/>
      <c r="AB656" s="64"/>
      <c r="AC656" s="64"/>
      <c r="AD656" s="64"/>
      <c r="AE656" s="64"/>
      <c r="AF656" s="16" t="s">
        <v>675</v>
      </c>
      <c r="AG656" s="64"/>
      <c r="AH656" s="64"/>
      <c r="AI656" s="64"/>
      <c r="AJ656" s="64"/>
      <c r="AK656" s="16" t="s">
        <v>675</v>
      </c>
      <c r="AL656" s="16" t="s">
        <v>675</v>
      </c>
      <c r="AM656" s="16" t="s">
        <v>675</v>
      </c>
      <c r="AN656" s="64"/>
      <c r="AO656" s="64"/>
      <c r="AP656" s="64"/>
      <c r="AQ656" s="64"/>
      <c r="AR656" s="64"/>
      <c r="AS656" s="64"/>
      <c r="AT656" s="16" t="s">
        <v>675</v>
      </c>
      <c r="AU656" s="64"/>
      <c r="AV656" s="64"/>
      <c r="AW656" s="64"/>
      <c r="AX656" s="64"/>
      <c r="AY656" s="64"/>
      <c r="AZ656" s="64"/>
      <c r="BA656" s="64"/>
      <c r="BB656" s="64"/>
      <c r="BC656" s="64"/>
      <c r="BD656" s="64"/>
      <c r="BE656" s="16" t="s">
        <v>675</v>
      </c>
      <c r="BF656" s="64"/>
      <c r="BG656" s="16" t="s">
        <v>675</v>
      </c>
      <c r="BH656" s="64"/>
      <c r="BI656" s="64"/>
      <c r="BJ656" s="64"/>
      <c r="BK656" s="64"/>
      <c r="BL656" s="64"/>
      <c r="BM656" s="64"/>
      <c r="BN656" s="64"/>
      <c r="BO656" s="64"/>
      <c r="BP656" s="64"/>
      <c r="BQ656" s="64"/>
      <c r="BR656" s="64"/>
      <c r="BS656" s="16" t="s">
        <v>675</v>
      </c>
      <c r="BT656" s="65"/>
    </row>
    <row r="657" spans="1:72" ht="18" hidden="1" customHeight="1" x14ac:dyDescent="0.3">
      <c r="A657" s="153" t="s">
        <v>1508</v>
      </c>
      <c r="B657" s="154" t="s">
        <v>1507</v>
      </c>
      <c r="C657" s="16" t="s">
        <v>1504</v>
      </c>
      <c r="D657" s="16" t="s">
        <v>1486</v>
      </c>
      <c r="E657" s="50">
        <v>50</v>
      </c>
      <c r="F657" s="50">
        <v>0</v>
      </c>
      <c r="G657" s="16">
        <v>4</v>
      </c>
      <c r="H657" s="16">
        <v>20</v>
      </c>
      <c r="I657" s="16" t="s">
        <v>1016</v>
      </c>
      <c r="J657" s="16" t="s">
        <v>2382</v>
      </c>
      <c r="K657" s="16">
        <v>50</v>
      </c>
      <c r="L657" s="16">
        <v>50</v>
      </c>
      <c r="M657" s="64"/>
      <c r="N657" s="64"/>
      <c r="O657" s="49" t="str">
        <f t="shared" si="93"/>
        <v>YES</v>
      </c>
      <c r="P657" s="157"/>
      <c r="Q657" s="53">
        <f t="shared" si="94"/>
        <v>5000</v>
      </c>
      <c r="R657" s="54">
        <f t="shared" si="95"/>
        <v>2500</v>
      </c>
      <c r="S657" s="55" t="str">
        <f t="shared" si="96"/>
        <v xml:space="preserve"> </v>
      </c>
      <c r="T657" s="100"/>
      <c r="U657" s="57" t="str">
        <f t="shared" si="97"/>
        <v>100µg/100cm²</v>
      </c>
      <c r="V657" s="58">
        <f t="shared" si="98"/>
        <v>2500</v>
      </c>
      <c r="W657" s="58" t="str">
        <f t="shared" si="99"/>
        <v xml:space="preserve"> </v>
      </c>
      <c r="X657" s="59" t="str">
        <f t="shared" si="100"/>
        <v/>
      </c>
      <c r="Y657" s="158"/>
      <c r="Z657" s="64"/>
      <c r="AA657" s="64"/>
      <c r="AB657" s="64"/>
      <c r="AC657" s="64"/>
      <c r="AD657" s="64"/>
      <c r="AE657" s="16" t="s">
        <v>675</v>
      </c>
      <c r="AF657" s="64"/>
      <c r="AG657" s="64"/>
      <c r="AH657" s="64"/>
      <c r="AI657" s="64"/>
      <c r="AJ657" s="64"/>
      <c r="AK657" s="64"/>
      <c r="AL657" s="64"/>
      <c r="AM657" s="16" t="s">
        <v>675</v>
      </c>
      <c r="AN657" s="64"/>
      <c r="AO657" s="64"/>
      <c r="AP657" s="64"/>
      <c r="AQ657" s="16" t="s">
        <v>675</v>
      </c>
      <c r="AR657" s="64"/>
      <c r="AS657" s="16" t="s">
        <v>675</v>
      </c>
      <c r="AT657" s="16" t="s">
        <v>675</v>
      </c>
      <c r="AU657" s="83" t="s">
        <v>675</v>
      </c>
      <c r="AV657" s="83" t="s">
        <v>675</v>
      </c>
      <c r="AW657" s="16" t="s">
        <v>675</v>
      </c>
      <c r="AX657" s="64"/>
      <c r="AY657" s="64"/>
      <c r="AZ657" s="64"/>
      <c r="BA657" s="64"/>
      <c r="BB657" s="64"/>
      <c r="BC657" s="64"/>
      <c r="BD657" s="16" t="s">
        <v>675</v>
      </c>
      <c r="BE657" s="16" t="s">
        <v>675</v>
      </c>
      <c r="BF657" s="64"/>
      <c r="BG657" s="64"/>
      <c r="BH657" s="16" t="s">
        <v>675</v>
      </c>
      <c r="BI657" s="64"/>
      <c r="BJ657" s="64"/>
      <c r="BK657" s="64"/>
      <c r="BL657" s="64"/>
      <c r="BM657" s="64"/>
      <c r="BN657" s="64"/>
      <c r="BO657" s="64"/>
      <c r="BP657" s="64"/>
      <c r="BQ657" s="64"/>
      <c r="BR657" s="64"/>
      <c r="BS657" s="16" t="s">
        <v>675</v>
      </c>
      <c r="BT657" s="65"/>
    </row>
    <row r="658" spans="1:72" ht="18" hidden="1" customHeight="1" x14ac:dyDescent="0.3">
      <c r="A658" s="81" t="s">
        <v>955</v>
      </c>
      <c r="B658" s="16" t="s">
        <v>459</v>
      </c>
      <c r="C658" s="16" t="s">
        <v>1505</v>
      </c>
      <c r="D658" s="16" t="s">
        <v>1486</v>
      </c>
      <c r="E658" s="50">
        <v>50</v>
      </c>
      <c r="F658" s="50">
        <v>0</v>
      </c>
      <c r="G658" s="16">
        <v>3</v>
      </c>
      <c r="H658" s="16">
        <v>50</v>
      </c>
      <c r="I658" s="16" t="s">
        <v>1016</v>
      </c>
      <c r="J658" s="16" t="s">
        <v>2382</v>
      </c>
      <c r="K658" s="16">
        <v>50</v>
      </c>
      <c r="L658" s="16">
        <v>50</v>
      </c>
      <c r="M658" s="64"/>
      <c r="N658" s="64"/>
      <c r="O658" s="49" t="str">
        <f t="shared" si="93"/>
        <v>YES</v>
      </c>
      <c r="P658" s="157"/>
      <c r="Q658" s="53">
        <f t="shared" si="94"/>
        <v>5000</v>
      </c>
      <c r="R658" s="54">
        <f t="shared" si="95"/>
        <v>2500</v>
      </c>
      <c r="S658" s="55" t="str">
        <f t="shared" si="96"/>
        <v xml:space="preserve"> </v>
      </c>
      <c r="T658" s="100"/>
      <c r="U658" s="57" t="str">
        <f t="shared" si="97"/>
        <v>100µg/100cm²</v>
      </c>
      <c r="V658" s="58">
        <f t="shared" si="98"/>
        <v>2500</v>
      </c>
      <c r="W658" s="58" t="str">
        <f t="shared" si="99"/>
        <v xml:space="preserve"> </v>
      </c>
      <c r="X658" s="59" t="str">
        <f t="shared" si="100"/>
        <v/>
      </c>
      <c r="Y658" s="158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83" t="s">
        <v>675</v>
      </c>
      <c r="AV658" s="83" t="s">
        <v>675</v>
      </c>
      <c r="AW658" s="16" t="s">
        <v>675</v>
      </c>
      <c r="AX658" s="64"/>
      <c r="AY658" s="64"/>
      <c r="AZ658" s="64"/>
      <c r="BA658" s="64"/>
      <c r="BB658" s="64"/>
      <c r="BC658" s="64"/>
      <c r="BD658" s="16" t="s">
        <v>675</v>
      </c>
      <c r="BE658" s="64"/>
      <c r="BF658" s="64"/>
      <c r="BG658" s="64"/>
      <c r="BH658" s="64"/>
      <c r="BI658" s="64"/>
      <c r="BJ658" s="64"/>
      <c r="BK658" s="64"/>
      <c r="BL658" s="64"/>
      <c r="BM658" s="64"/>
      <c r="BN658" s="64"/>
      <c r="BO658" s="64"/>
      <c r="BP658" s="64"/>
      <c r="BQ658" s="64"/>
      <c r="BR658" s="64"/>
      <c r="BS658" s="64"/>
      <c r="BT658" s="65"/>
    </row>
    <row r="659" spans="1:72" ht="18" hidden="1" customHeight="1" x14ac:dyDescent="0.3">
      <c r="A659" s="47" t="s">
        <v>797</v>
      </c>
      <c r="B659" s="48" t="s">
        <v>798</v>
      </c>
      <c r="C659" s="49" t="s">
        <v>1807</v>
      </c>
      <c r="D659" s="16" t="s">
        <v>1104</v>
      </c>
      <c r="E659" s="50">
        <v>76.17</v>
      </c>
      <c r="F659" s="50">
        <v>0</v>
      </c>
      <c r="G659" s="16">
        <v>7</v>
      </c>
      <c r="H659" s="16" t="s">
        <v>1192</v>
      </c>
      <c r="I659" s="70" t="s">
        <v>1474</v>
      </c>
      <c r="J659" s="16" t="s">
        <v>2386</v>
      </c>
      <c r="K659" s="49">
        <v>50</v>
      </c>
      <c r="L659" s="49">
        <v>50</v>
      </c>
      <c r="M659" s="64"/>
      <c r="N659" s="64"/>
      <c r="O659" s="49" t="str">
        <f t="shared" si="93"/>
        <v>YES</v>
      </c>
      <c r="P659" s="157"/>
      <c r="Q659" s="53">
        <f t="shared" si="94"/>
        <v>5000</v>
      </c>
      <c r="R659" s="54">
        <f t="shared" si="95"/>
        <v>3808.5</v>
      </c>
      <c r="S659" s="55" t="str">
        <f t="shared" si="96"/>
        <v xml:space="preserve"> </v>
      </c>
      <c r="T659" s="100"/>
      <c r="U659" s="57" t="str">
        <f t="shared" si="97"/>
        <v>100µg/100cm²</v>
      </c>
      <c r="V659" s="58">
        <f t="shared" si="98"/>
        <v>3808.5</v>
      </c>
      <c r="W659" s="58" t="str">
        <f t="shared" si="99"/>
        <v xml:space="preserve"> </v>
      </c>
      <c r="X659" s="59" t="str">
        <f t="shared" si="100"/>
        <v/>
      </c>
      <c r="Y659" s="158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16" t="s">
        <v>675</v>
      </c>
      <c r="AK659" s="64"/>
      <c r="AL659" s="64"/>
      <c r="AM659" s="16" t="s">
        <v>675</v>
      </c>
      <c r="AN659" s="64"/>
      <c r="AO659" s="64"/>
      <c r="AP659" s="64"/>
      <c r="AQ659" s="64"/>
      <c r="AR659" s="64"/>
      <c r="AS659" s="64"/>
      <c r="AT659" s="64"/>
      <c r="AU659" s="64"/>
      <c r="AV659" s="64"/>
      <c r="AW659" s="64"/>
      <c r="AX659" s="64"/>
      <c r="AY659" s="64"/>
      <c r="AZ659" s="64"/>
      <c r="BA659" s="64"/>
      <c r="BB659" s="64"/>
      <c r="BC659" s="16" t="s">
        <v>675</v>
      </c>
      <c r="BD659" s="64"/>
      <c r="BE659" s="64"/>
      <c r="BF659" s="64"/>
      <c r="BG659" s="64"/>
      <c r="BH659" s="64"/>
      <c r="BI659" s="64"/>
      <c r="BJ659" s="64"/>
      <c r="BK659" s="64"/>
      <c r="BL659" s="64"/>
      <c r="BM659" s="64"/>
      <c r="BN659" s="64"/>
      <c r="BO659" s="64"/>
      <c r="BP659" s="64"/>
      <c r="BQ659" s="64"/>
      <c r="BR659" s="64"/>
      <c r="BS659" s="64"/>
      <c r="BT659" s="65"/>
    </row>
    <row r="660" spans="1:72" ht="18" hidden="1" customHeight="1" x14ac:dyDescent="0.3">
      <c r="A660" s="47" t="s">
        <v>156</v>
      </c>
      <c r="B660" s="49" t="s">
        <v>118</v>
      </c>
      <c r="C660" s="16" t="s">
        <v>1595</v>
      </c>
      <c r="D660" s="83" t="s">
        <v>1305</v>
      </c>
      <c r="E660" s="50">
        <v>53.3</v>
      </c>
      <c r="F660" s="50">
        <v>0</v>
      </c>
      <c r="G660" s="61">
        <v>7</v>
      </c>
      <c r="H660" s="16" t="s">
        <v>1105</v>
      </c>
      <c r="I660" s="48" t="s">
        <v>1016</v>
      </c>
      <c r="J660" s="16" t="s">
        <v>2386</v>
      </c>
      <c r="K660" s="49">
        <v>50</v>
      </c>
      <c r="L660" s="49">
        <v>50</v>
      </c>
      <c r="M660" s="64"/>
      <c r="N660" s="64"/>
      <c r="O660" s="49" t="str">
        <f t="shared" si="93"/>
        <v>YES</v>
      </c>
      <c r="P660" s="157"/>
      <c r="Q660" s="53">
        <f t="shared" si="94"/>
        <v>5000</v>
      </c>
      <c r="R660" s="54">
        <f t="shared" si="95"/>
        <v>2665</v>
      </c>
      <c r="S660" s="55" t="str">
        <f t="shared" si="96"/>
        <v xml:space="preserve"> </v>
      </c>
      <c r="T660" s="100"/>
      <c r="U660" s="57" t="str">
        <f t="shared" si="97"/>
        <v>100µg/100cm²</v>
      </c>
      <c r="V660" s="58">
        <f t="shared" si="98"/>
        <v>2665</v>
      </c>
      <c r="W660" s="58" t="str">
        <f t="shared" si="99"/>
        <v xml:space="preserve"> </v>
      </c>
      <c r="X660" s="59" t="str">
        <f t="shared" si="100"/>
        <v/>
      </c>
      <c r="Y660" s="158"/>
      <c r="Z660" s="64"/>
      <c r="AA660" s="64"/>
      <c r="AB660" s="64"/>
      <c r="AC660" s="64"/>
      <c r="AD660" s="16" t="s">
        <v>675</v>
      </c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16" t="s">
        <v>675</v>
      </c>
      <c r="BB660" s="16" t="s">
        <v>675</v>
      </c>
      <c r="BC660" s="64"/>
      <c r="BD660" s="64"/>
      <c r="BE660" s="64"/>
      <c r="BF660" s="64"/>
      <c r="BG660" s="64"/>
      <c r="BH660" s="64"/>
      <c r="BI660" s="64"/>
      <c r="BJ660" s="64"/>
      <c r="BK660" s="64"/>
      <c r="BL660" s="64"/>
      <c r="BM660" s="64"/>
      <c r="BN660" s="64"/>
      <c r="BO660" s="64"/>
      <c r="BP660" s="64"/>
      <c r="BQ660" s="64"/>
      <c r="BR660" s="64"/>
      <c r="BS660" s="64"/>
      <c r="BT660" s="65"/>
    </row>
    <row r="661" spans="1:72" ht="18" hidden="1" customHeight="1" x14ac:dyDescent="0.3">
      <c r="A661" s="81" t="s">
        <v>984</v>
      </c>
      <c r="B661" s="87" t="s">
        <v>1932</v>
      </c>
      <c r="C661" s="87" t="s">
        <v>1931</v>
      </c>
      <c r="D661" s="16" t="s">
        <v>1073</v>
      </c>
      <c r="E661" s="50">
        <v>50.55</v>
      </c>
      <c r="F661" s="50">
        <v>0</v>
      </c>
      <c r="G661" s="16">
        <v>3</v>
      </c>
      <c r="H661" s="16" t="s">
        <v>1955</v>
      </c>
      <c r="I661" s="16" t="s">
        <v>1573</v>
      </c>
      <c r="J661" s="17" t="s">
        <v>2373</v>
      </c>
      <c r="K661" s="16">
        <v>1000</v>
      </c>
      <c r="L661" s="16">
        <v>9000</v>
      </c>
      <c r="M661" s="64"/>
      <c r="N661" s="16" t="s">
        <v>2380</v>
      </c>
      <c r="O661" s="49" t="str">
        <f t="shared" si="93"/>
        <v>NO</v>
      </c>
      <c r="P661" s="159"/>
      <c r="Q661" s="53">
        <f t="shared" si="94"/>
        <v>1000</v>
      </c>
      <c r="R661" s="54">
        <f t="shared" si="95"/>
        <v>505.5</v>
      </c>
      <c r="S661" s="55" t="str">
        <f t="shared" si="96"/>
        <v xml:space="preserve"> </v>
      </c>
      <c r="T661" s="163"/>
      <c r="U661" s="57" t="str">
        <f t="shared" si="97"/>
        <v>100µg/100cm²</v>
      </c>
      <c r="V661" s="58">
        <f t="shared" si="98"/>
        <v>505.5</v>
      </c>
      <c r="W661" s="58" t="str">
        <f t="shared" si="99"/>
        <v xml:space="preserve"> </v>
      </c>
      <c r="X661" s="59" t="str">
        <f t="shared" si="100"/>
        <v/>
      </c>
      <c r="Y661" s="159"/>
      <c r="Z661" s="16" t="s">
        <v>1987</v>
      </c>
      <c r="AA661" s="16" t="s">
        <v>1987</v>
      </c>
      <c r="AB661" s="16" t="s">
        <v>1987</v>
      </c>
      <c r="AC661" s="16" t="s">
        <v>1987</v>
      </c>
      <c r="AD661" s="16" t="s">
        <v>1987</v>
      </c>
      <c r="AE661" s="16" t="s">
        <v>1987</v>
      </c>
      <c r="AF661" s="16" t="s">
        <v>1987</v>
      </c>
      <c r="AG661" s="16" t="s">
        <v>1987</v>
      </c>
      <c r="AH661" s="16" t="s">
        <v>1987</v>
      </c>
      <c r="AI661" s="16" t="s">
        <v>1987</v>
      </c>
      <c r="AJ661" s="16" t="s">
        <v>1987</v>
      </c>
      <c r="AK661" s="16" t="s">
        <v>1987</v>
      </c>
      <c r="AL661" s="16" t="s">
        <v>1987</v>
      </c>
      <c r="AM661" s="16" t="s">
        <v>1987</v>
      </c>
      <c r="AN661" s="16" t="s">
        <v>1987</v>
      </c>
      <c r="AO661" s="16" t="s">
        <v>1987</v>
      </c>
      <c r="AP661" s="16" t="s">
        <v>1987</v>
      </c>
      <c r="AQ661" s="16" t="s">
        <v>1987</v>
      </c>
      <c r="AR661" s="16" t="s">
        <v>1987</v>
      </c>
      <c r="AS661" s="16" t="s">
        <v>1987</v>
      </c>
      <c r="AT661" s="16" t="s">
        <v>1987</v>
      </c>
      <c r="AU661" s="16" t="s">
        <v>1987</v>
      </c>
      <c r="AV661" s="16" t="s">
        <v>1987</v>
      </c>
      <c r="AW661" s="16" t="s">
        <v>1987</v>
      </c>
      <c r="AX661" s="16" t="s">
        <v>1987</v>
      </c>
      <c r="AY661" s="16" t="s">
        <v>1987</v>
      </c>
      <c r="AZ661" s="16" t="s">
        <v>1987</v>
      </c>
      <c r="BA661" s="16" t="s">
        <v>1987</v>
      </c>
      <c r="BB661" s="16" t="s">
        <v>1987</v>
      </c>
      <c r="BC661" s="16" t="s">
        <v>1987</v>
      </c>
      <c r="BD661" s="16" t="s">
        <v>1987</v>
      </c>
      <c r="BE661" s="16" t="s">
        <v>1987</v>
      </c>
      <c r="BF661" s="16" t="s">
        <v>1987</v>
      </c>
      <c r="BG661" s="16" t="s">
        <v>1987</v>
      </c>
      <c r="BH661" s="16" t="s">
        <v>1987</v>
      </c>
      <c r="BI661" s="16" t="s">
        <v>1987</v>
      </c>
      <c r="BJ661" s="16" t="s">
        <v>1987</v>
      </c>
      <c r="BK661" s="16" t="s">
        <v>1987</v>
      </c>
      <c r="BL661" s="16" t="s">
        <v>1987</v>
      </c>
      <c r="BM661" s="16" t="s">
        <v>1987</v>
      </c>
      <c r="BN661" s="16" t="s">
        <v>1987</v>
      </c>
      <c r="BO661" s="16" t="s">
        <v>1987</v>
      </c>
      <c r="BP661" s="16" t="s">
        <v>1987</v>
      </c>
      <c r="BQ661" s="16" t="s">
        <v>1987</v>
      </c>
      <c r="BR661" s="16" t="s">
        <v>1987</v>
      </c>
      <c r="BS661" s="16" t="s">
        <v>1987</v>
      </c>
      <c r="BT661" s="16" t="s">
        <v>1987</v>
      </c>
    </row>
    <row r="662" spans="1:72" ht="18" hidden="1" customHeight="1" x14ac:dyDescent="0.3">
      <c r="A662" s="155" t="s">
        <v>1997</v>
      </c>
      <c r="B662" s="76" t="s">
        <v>985</v>
      </c>
      <c r="C662" s="16" t="s">
        <v>1641</v>
      </c>
      <c r="D662" s="16" t="s">
        <v>1073</v>
      </c>
      <c r="E662" s="50">
        <v>33.92</v>
      </c>
      <c r="F662" s="50">
        <v>0</v>
      </c>
      <c r="G662" s="16">
        <v>3</v>
      </c>
      <c r="H662" s="16">
        <v>50</v>
      </c>
      <c r="I662" s="16" t="s">
        <v>1016</v>
      </c>
      <c r="J662" s="17" t="s">
        <v>2373</v>
      </c>
      <c r="K662" s="16">
        <v>1000</v>
      </c>
      <c r="L662" s="16">
        <v>9000</v>
      </c>
      <c r="M662" s="64"/>
      <c r="N662" s="16" t="s">
        <v>2380</v>
      </c>
      <c r="O662" s="49" t="str">
        <f t="shared" si="93"/>
        <v>NO</v>
      </c>
      <c r="P662" s="157"/>
      <c r="Q662" s="53">
        <f t="shared" si="94"/>
        <v>1000</v>
      </c>
      <c r="R662" s="54">
        <f t="shared" si="95"/>
        <v>339.2</v>
      </c>
      <c r="S662" s="55" t="str">
        <f t="shared" si="96"/>
        <v xml:space="preserve"> </v>
      </c>
      <c r="T662" s="100"/>
      <c r="U662" s="57" t="str">
        <f t="shared" si="97"/>
        <v>100µg/100cm²</v>
      </c>
      <c r="V662" s="58">
        <f t="shared" si="98"/>
        <v>339.2</v>
      </c>
      <c r="W662" s="58" t="str">
        <f t="shared" si="99"/>
        <v xml:space="preserve"> </v>
      </c>
      <c r="X662" s="59" t="str">
        <f t="shared" si="100"/>
        <v/>
      </c>
      <c r="Y662" s="158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82"/>
      <c r="AV662" s="82"/>
      <c r="AW662" s="82"/>
      <c r="AX662" s="64"/>
      <c r="AY662" s="64"/>
      <c r="AZ662" s="64"/>
      <c r="BA662" s="64"/>
      <c r="BB662" s="64"/>
      <c r="BC662" s="64"/>
      <c r="BD662" s="16" t="s">
        <v>675</v>
      </c>
      <c r="BE662" s="64"/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  <c r="BQ662" s="64"/>
      <c r="BR662" s="64"/>
      <c r="BS662" s="64"/>
      <c r="BT662" s="65"/>
    </row>
    <row r="663" spans="1:72" ht="18" hidden="1" customHeight="1" x14ac:dyDescent="0.3">
      <c r="A663" s="80" t="s">
        <v>1883</v>
      </c>
      <c r="B663" s="76" t="s">
        <v>1899</v>
      </c>
      <c r="C663" s="87" t="s">
        <v>1930</v>
      </c>
      <c r="D663" s="16" t="s">
        <v>1929</v>
      </c>
      <c r="E663" s="50">
        <v>57.83</v>
      </c>
      <c r="F663" s="50">
        <v>0</v>
      </c>
      <c r="G663" s="16">
        <v>2</v>
      </c>
      <c r="H663" s="16" t="s">
        <v>1884</v>
      </c>
      <c r="I663" s="16" t="s">
        <v>1016</v>
      </c>
      <c r="J663" s="17" t="s">
        <v>2386</v>
      </c>
      <c r="K663" s="16">
        <v>50</v>
      </c>
      <c r="L663" s="16">
        <v>50</v>
      </c>
      <c r="M663" s="16" t="s">
        <v>1992</v>
      </c>
      <c r="N663" s="64"/>
      <c r="O663" s="49" t="str">
        <f t="shared" si="93"/>
        <v>YES</v>
      </c>
      <c r="P663" s="157"/>
      <c r="Q663" s="53">
        <f t="shared" si="94"/>
        <v>5000</v>
      </c>
      <c r="R663" s="54">
        <f t="shared" si="95"/>
        <v>2891.5</v>
      </c>
      <c r="S663" s="55" t="str">
        <f t="shared" si="96"/>
        <v xml:space="preserve"> </v>
      </c>
      <c r="T663" s="100"/>
      <c r="U663" s="57" t="str">
        <f t="shared" si="97"/>
        <v>100µg/100cm²</v>
      </c>
      <c r="V663" s="58">
        <f t="shared" si="98"/>
        <v>2891.5</v>
      </c>
      <c r="W663" s="58" t="str">
        <f t="shared" si="99"/>
        <v xml:space="preserve"> </v>
      </c>
      <c r="X663" s="59" t="str">
        <f t="shared" si="100"/>
        <v/>
      </c>
      <c r="Y663" s="158"/>
      <c r="Z663" s="16" t="s">
        <v>1987</v>
      </c>
      <c r="AA663" s="16" t="s">
        <v>1987</v>
      </c>
      <c r="AB663" s="16" t="s">
        <v>1987</v>
      </c>
      <c r="AC663" s="16" t="s">
        <v>1987</v>
      </c>
      <c r="AD663" s="16" t="s">
        <v>1987</v>
      </c>
      <c r="AE663" s="16" t="s">
        <v>1987</v>
      </c>
      <c r="AF663" s="16" t="s">
        <v>1987</v>
      </c>
      <c r="AG663" s="16" t="s">
        <v>1987</v>
      </c>
      <c r="AH663" s="16" t="s">
        <v>1987</v>
      </c>
      <c r="AI663" s="16" t="s">
        <v>1987</v>
      </c>
      <c r="AJ663" s="16" t="s">
        <v>1987</v>
      </c>
      <c r="AK663" s="16" t="s">
        <v>1987</v>
      </c>
      <c r="AL663" s="16" t="s">
        <v>1987</v>
      </c>
      <c r="AM663" s="16" t="s">
        <v>1987</v>
      </c>
      <c r="AN663" s="16" t="s">
        <v>1987</v>
      </c>
      <c r="AO663" s="16" t="s">
        <v>1987</v>
      </c>
      <c r="AP663" s="16" t="s">
        <v>1987</v>
      </c>
      <c r="AQ663" s="16" t="s">
        <v>1987</v>
      </c>
      <c r="AR663" s="16" t="s">
        <v>1987</v>
      </c>
      <c r="AS663" s="16" t="s">
        <v>1987</v>
      </c>
      <c r="AT663" s="16" t="s">
        <v>1987</v>
      </c>
      <c r="AU663" s="16" t="s">
        <v>1987</v>
      </c>
      <c r="AV663" s="16" t="s">
        <v>1987</v>
      </c>
      <c r="AW663" s="16" t="s">
        <v>1987</v>
      </c>
      <c r="AX663" s="16" t="s">
        <v>1987</v>
      </c>
      <c r="AY663" s="16" t="s">
        <v>1987</v>
      </c>
      <c r="AZ663" s="16" t="s">
        <v>1987</v>
      </c>
      <c r="BA663" s="16" t="s">
        <v>1987</v>
      </c>
      <c r="BB663" s="16" t="s">
        <v>1987</v>
      </c>
      <c r="BC663" s="16" t="s">
        <v>1987</v>
      </c>
      <c r="BD663" s="16" t="s">
        <v>1987</v>
      </c>
      <c r="BE663" s="16" t="s">
        <v>1987</v>
      </c>
      <c r="BF663" s="16" t="s">
        <v>1987</v>
      </c>
      <c r="BG663" s="16" t="s">
        <v>1987</v>
      </c>
      <c r="BH663" s="16" t="s">
        <v>1987</v>
      </c>
      <c r="BI663" s="16" t="s">
        <v>1987</v>
      </c>
      <c r="BJ663" s="16" t="s">
        <v>1987</v>
      </c>
      <c r="BK663" s="16" t="s">
        <v>1987</v>
      </c>
      <c r="BL663" s="16" t="s">
        <v>1987</v>
      </c>
      <c r="BM663" s="16" t="s">
        <v>1987</v>
      </c>
      <c r="BN663" s="16" t="s">
        <v>1987</v>
      </c>
      <c r="BO663" s="16" t="s">
        <v>1987</v>
      </c>
      <c r="BP663" s="16" t="s">
        <v>1987</v>
      </c>
      <c r="BQ663" s="16" t="s">
        <v>1987</v>
      </c>
      <c r="BR663" s="16" t="s">
        <v>1987</v>
      </c>
      <c r="BS663" s="16" t="s">
        <v>1987</v>
      </c>
      <c r="BT663" s="16" t="s">
        <v>1987</v>
      </c>
    </row>
    <row r="664" spans="1:72" ht="18" hidden="1" customHeight="1" x14ac:dyDescent="0.3">
      <c r="A664" s="47" t="s">
        <v>746</v>
      </c>
      <c r="B664" s="49" t="s">
        <v>1580</v>
      </c>
      <c r="C664" s="16" t="s">
        <v>1595</v>
      </c>
      <c r="D664" s="83" t="s">
        <v>1305</v>
      </c>
      <c r="E664" s="50">
        <v>53.3</v>
      </c>
      <c r="F664" s="50">
        <v>0</v>
      </c>
      <c r="G664" s="61">
        <v>7</v>
      </c>
      <c r="H664" s="16" t="s">
        <v>1105</v>
      </c>
      <c r="I664" s="48" t="s">
        <v>1016</v>
      </c>
      <c r="J664" s="16" t="s">
        <v>2386</v>
      </c>
      <c r="K664" s="49">
        <v>50</v>
      </c>
      <c r="L664" s="49">
        <v>50</v>
      </c>
      <c r="M664" s="64"/>
      <c r="N664" s="64"/>
      <c r="O664" s="49" t="str">
        <f t="shared" si="93"/>
        <v>YES</v>
      </c>
      <c r="P664" s="157"/>
      <c r="Q664" s="53">
        <f t="shared" si="94"/>
        <v>5000</v>
      </c>
      <c r="R664" s="54">
        <f t="shared" si="95"/>
        <v>2665</v>
      </c>
      <c r="S664" s="55" t="str">
        <f t="shared" si="96"/>
        <v xml:space="preserve"> </v>
      </c>
      <c r="T664" s="100"/>
      <c r="U664" s="57" t="str">
        <f t="shared" si="97"/>
        <v>100µg/100cm²</v>
      </c>
      <c r="V664" s="58">
        <f t="shared" si="98"/>
        <v>2665</v>
      </c>
      <c r="W664" s="58" t="str">
        <f t="shared" si="99"/>
        <v xml:space="preserve"> </v>
      </c>
      <c r="X664" s="59" t="str">
        <f t="shared" si="100"/>
        <v/>
      </c>
      <c r="Y664" s="158"/>
      <c r="Z664" s="64"/>
      <c r="AA664" s="64"/>
      <c r="AB664" s="64"/>
      <c r="AC664" s="16" t="s">
        <v>675</v>
      </c>
      <c r="AD664" s="64"/>
      <c r="AE664" s="64"/>
      <c r="AF664" s="64"/>
      <c r="AG664" s="64"/>
      <c r="AH664" s="64"/>
      <c r="AI664" s="64"/>
      <c r="AJ664" s="64"/>
      <c r="AK664" s="64"/>
      <c r="AL664" s="64"/>
      <c r="AM664" s="16" t="s">
        <v>675</v>
      </c>
      <c r="AN664" s="64"/>
      <c r="AO664" s="64"/>
      <c r="AP664" s="64"/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  <c r="BB664" s="64"/>
      <c r="BC664" s="64"/>
      <c r="BD664" s="64"/>
      <c r="BE664" s="64"/>
      <c r="BF664" s="64"/>
      <c r="BG664" s="64"/>
      <c r="BH664" s="64"/>
      <c r="BI664" s="64"/>
      <c r="BJ664" s="64"/>
      <c r="BK664" s="64"/>
      <c r="BL664" s="64"/>
      <c r="BM664" s="64"/>
      <c r="BN664" s="64"/>
      <c r="BO664" s="64"/>
      <c r="BP664" s="64"/>
      <c r="BQ664" s="64"/>
      <c r="BR664" s="64"/>
      <c r="BS664" s="64"/>
      <c r="BT664" s="65"/>
    </row>
    <row r="665" spans="1:72" ht="18" hidden="1" customHeight="1" x14ac:dyDescent="0.3">
      <c r="A665" s="47" t="s">
        <v>685</v>
      </c>
      <c r="B665" s="48" t="s">
        <v>686</v>
      </c>
      <c r="C665" s="49" t="s">
        <v>1109</v>
      </c>
      <c r="D665" s="49" t="s">
        <v>1104</v>
      </c>
      <c r="E665" s="50">
        <v>87.7</v>
      </c>
      <c r="F665" s="50">
        <v>0</v>
      </c>
      <c r="G665" s="61">
        <v>7</v>
      </c>
      <c r="H665" s="16" t="s">
        <v>1105</v>
      </c>
      <c r="I665" s="48" t="s">
        <v>1016</v>
      </c>
      <c r="J665" s="16" t="s">
        <v>1110</v>
      </c>
      <c r="K665" s="62">
        <v>10000</v>
      </c>
      <c r="L665" s="62">
        <v>90000</v>
      </c>
      <c r="M665" s="62" t="s">
        <v>1014</v>
      </c>
      <c r="N665" s="51"/>
      <c r="O665" s="49" t="str">
        <f t="shared" si="93"/>
        <v>YES</v>
      </c>
      <c r="P665" s="157"/>
      <c r="Q665" s="53">
        <f t="shared" si="94"/>
        <v>5000</v>
      </c>
      <c r="R665" s="54">
        <f t="shared" si="95"/>
        <v>4385</v>
      </c>
      <c r="S665" s="55" t="str">
        <f t="shared" si="96"/>
        <v xml:space="preserve"> </v>
      </c>
      <c r="T665" s="100"/>
      <c r="U665" s="57" t="str">
        <f t="shared" si="97"/>
        <v>100µg/100cm²</v>
      </c>
      <c r="V665" s="58">
        <f t="shared" si="98"/>
        <v>4385</v>
      </c>
      <c r="W665" s="58" t="str">
        <f t="shared" si="99"/>
        <v xml:space="preserve"> </v>
      </c>
      <c r="X665" s="59" t="str">
        <f t="shared" si="100"/>
        <v/>
      </c>
      <c r="Y665" s="158"/>
      <c r="Z665" s="64"/>
      <c r="AA665" s="64"/>
      <c r="AB665" s="64"/>
      <c r="AC665" s="64"/>
      <c r="AD665" s="64"/>
      <c r="AE665" s="16" t="s">
        <v>675</v>
      </c>
      <c r="AF665" s="16" t="s">
        <v>675</v>
      </c>
      <c r="AG665" s="64"/>
      <c r="AH665" s="64"/>
      <c r="AI665" s="64"/>
      <c r="AJ665" s="64"/>
      <c r="AK665" s="64"/>
      <c r="AL665" s="64"/>
      <c r="AM665" s="16" t="s">
        <v>675</v>
      </c>
      <c r="AN665" s="64"/>
      <c r="AO665" s="64"/>
      <c r="AP665" s="64"/>
      <c r="AQ665" s="64"/>
      <c r="AR665" s="64"/>
      <c r="AS665" s="64"/>
      <c r="AT665" s="64"/>
      <c r="AU665" s="64"/>
      <c r="AV665" s="64"/>
      <c r="AW665" s="64"/>
      <c r="AX665" s="16" t="s">
        <v>675</v>
      </c>
      <c r="AY665" s="64"/>
      <c r="AZ665" s="64"/>
      <c r="BA665" s="64"/>
      <c r="BB665" s="64"/>
      <c r="BC665" s="16" t="s">
        <v>675</v>
      </c>
      <c r="BD665" s="64"/>
      <c r="BE665" s="64"/>
      <c r="BF665" s="64"/>
      <c r="BG665" s="64"/>
      <c r="BH665" s="64"/>
      <c r="BI665" s="64"/>
      <c r="BJ665" s="64"/>
      <c r="BK665" s="64"/>
      <c r="BL665" s="64"/>
      <c r="BM665" s="64"/>
      <c r="BN665" s="64"/>
      <c r="BO665" s="64"/>
      <c r="BP665" s="64"/>
      <c r="BQ665" s="64"/>
      <c r="BR665" s="64"/>
      <c r="BS665" s="64"/>
      <c r="BT665" s="65"/>
    </row>
    <row r="666" spans="1:72" ht="15.75" x14ac:dyDescent="0.3">
      <c r="A666" s="47" t="s">
        <v>833</v>
      </c>
      <c r="B666" s="49" t="s">
        <v>834</v>
      </c>
      <c r="C666" s="16" t="s">
        <v>1642</v>
      </c>
      <c r="D666" s="16" t="s">
        <v>1498</v>
      </c>
      <c r="E666" s="50">
        <v>0</v>
      </c>
      <c r="F666" s="50">
        <v>0</v>
      </c>
      <c r="G666" s="16">
        <v>1</v>
      </c>
      <c r="H666" s="16">
        <v>1187</v>
      </c>
      <c r="I666" s="16" t="s">
        <v>1016</v>
      </c>
      <c r="J666" s="17" t="s">
        <v>2355</v>
      </c>
      <c r="K666" s="16">
        <v>1.5</v>
      </c>
      <c r="L666" s="16">
        <v>1.5</v>
      </c>
      <c r="M666" s="16" t="s">
        <v>1036</v>
      </c>
      <c r="N666" s="64"/>
      <c r="O666" s="49" t="str">
        <f t="shared" si="93"/>
        <v>YES</v>
      </c>
      <c r="P666" s="157"/>
      <c r="Q666" s="53">
        <f t="shared" si="94"/>
        <v>273.7</v>
      </c>
      <c r="R666" s="54" t="str">
        <f t="shared" si="95"/>
        <v xml:space="preserve"> </v>
      </c>
      <c r="S666" s="55" t="str">
        <f t="shared" si="96"/>
        <v xml:space="preserve"> </v>
      </c>
      <c r="T666" s="100"/>
      <c r="U666" s="57" t="str">
        <f t="shared" si="97"/>
        <v xml:space="preserve"> </v>
      </c>
      <c r="V666" s="58" t="str">
        <f t="shared" si="98"/>
        <v xml:space="preserve"> </v>
      </c>
      <c r="W666" s="57" t="str">
        <f t="shared" si="99"/>
        <v xml:space="preserve"> </v>
      </c>
      <c r="X666" s="59" t="str">
        <f t="shared" si="100"/>
        <v>Mitigation</v>
      </c>
      <c r="Y666" s="158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16" t="s">
        <v>675</v>
      </c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  <c r="BB666" s="64"/>
      <c r="BC666" s="64"/>
      <c r="BD666" s="64"/>
      <c r="BE666" s="64"/>
      <c r="BF666" s="64"/>
      <c r="BG666" s="64"/>
      <c r="BH666" s="64"/>
      <c r="BI666" s="64"/>
      <c r="BJ666" s="64"/>
      <c r="BK666" s="64"/>
      <c r="BL666" s="64"/>
      <c r="BM666" s="64"/>
      <c r="BN666" s="64"/>
      <c r="BO666" s="64"/>
      <c r="BP666" s="64"/>
      <c r="BQ666" s="64"/>
      <c r="BR666" s="64"/>
      <c r="BS666" s="64"/>
      <c r="BT666" s="65"/>
    </row>
    <row r="667" spans="1:72" ht="18" hidden="1" customHeight="1" x14ac:dyDescent="0.3">
      <c r="A667" s="89" t="s">
        <v>627</v>
      </c>
      <c r="B667" s="48" t="s">
        <v>628</v>
      </c>
      <c r="C667" s="67" t="s">
        <v>1322</v>
      </c>
      <c r="D667" s="67" t="s">
        <v>1605</v>
      </c>
      <c r="E667" s="50">
        <v>44.4</v>
      </c>
      <c r="F667" s="50">
        <v>0</v>
      </c>
      <c r="G667" s="61">
        <v>1</v>
      </c>
      <c r="H667" s="16" t="s">
        <v>1259</v>
      </c>
      <c r="I667" s="48" t="s">
        <v>1016</v>
      </c>
      <c r="J667" s="16" t="s">
        <v>1323</v>
      </c>
      <c r="K667" s="62">
        <v>35500</v>
      </c>
      <c r="L667" s="62">
        <v>319500</v>
      </c>
      <c r="M667" s="49" t="s">
        <v>1053</v>
      </c>
      <c r="N667" s="64"/>
      <c r="O667" s="49" t="str">
        <f t="shared" si="93"/>
        <v>YES</v>
      </c>
      <c r="P667" s="157"/>
      <c r="Q667" s="53">
        <f t="shared" si="94"/>
        <v>5000</v>
      </c>
      <c r="R667" s="54">
        <f t="shared" si="95"/>
        <v>2220</v>
      </c>
      <c r="S667" s="55" t="str">
        <f t="shared" si="96"/>
        <v xml:space="preserve"> </v>
      </c>
      <c r="T667" s="100"/>
      <c r="U667" s="57" t="str">
        <f t="shared" si="97"/>
        <v>100µg/100cm²</v>
      </c>
      <c r="V667" s="58">
        <f t="shared" si="98"/>
        <v>2220</v>
      </c>
      <c r="W667" s="58" t="str">
        <f t="shared" si="99"/>
        <v xml:space="preserve"> </v>
      </c>
      <c r="X667" s="59" t="str">
        <f t="shared" si="100"/>
        <v/>
      </c>
      <c r="Y667" s="158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87" t="s">
        <v>675</v>
      </c>
      <c r="AV667" s="64"/>
      <c r="AW667" s="16" t="s">
        <v>675</v>
      </c>
      <c r="AX667" s="64"/>
      <c r="AY667" s="64"/>
      <c r="AZ667" s="64"/>
      <c r="BA667" s="64"/>
      <c r="BB667" s="64"/>
      <c r="BC667" s="64"/>
      <c r="BD667" s="64"/>
      <c r="BE667" s="64"/>
      <c r="BF667" s="64"/>
      <c r="BG667" s="64"/>
      <c r="BH667" s="64"/>
      <c r="BI667" s="64"/>
      <c r="BJ667" s="64"/>
      <c r="BK667" s="64"/>
      <c r="BL667" s="64"/>
      <c r="BM667" s="64"/>
      <c r="BN667" s="64"/>
      <c r="BO667" s="64"/>
      <c r="BP667" s="64"/>
      <c r="BQ667" s="64"/>
      <c r="BR667" s="64"/>
      <c r="BS667" s="64"/>
      <c r="BT667" s="65"/>
    </row>
    <row r="668" spans="1:72" ht="18" hidden="1" customHeight="1" x14ac:dyDescent="0.3">
      <c r="A668" s="47" t="s">
        <v>108</v>
      </c>
      <c r="B668" s="48" t="s">
        <v>109</v>
      </c>
      <c r="C668" s="16" t="s">
        <v>2223</v>
      </c>
      <c r="D668" s="49" t="s">
        <v>1104</v>
      </c>
      <c r="E668" s="50">
        <v>76.06</v>
      </c>
      <c r="F668" s="50">
        <v>0</v>
      </c>
      <c r="G668" s="61">
        <v>6</v>
      </c>
      <c r="H668" s="16" t="s">
        <v>1087</v>
      </c>
      <c r="I668" s="48" t="s">
        <v>1016</v>
      </c>
      <c r="J668" s="16" t="s">
        <v>1111</v>
      </c>
      <c r="K668" s="62">
        <v>830</v>
      </c>
      <c r="L668" s="62">
        <v>7500</v>
      </c>
      <c r="M668" s="62" t="s">
        <v>1053</v>
      </c>
      <c r="N668" s="51"/>
      <c r="O668" s="49" t="str">
        <f t="shared" si="93"/>
        <v>YES</v>
      </c>
      <c r="P668" s="157"/>
      <c r="Q668" s="53">
        <f t="shared" si="94"/>
        <v>5000</v>
      </c>
      <c r="R668" s="54">
        <f t="shared" si="95"/>
        <v>3803</v>
      </c>
      <c r="S668" s="55" t="str">
        <f t="shared" si="96"/>
        <v xml:space="preserve"> </v>
      </c>
      <c r="T668" s="100"/>
      <c r="U668" s="57" t="str">
        <f t="shared" si="97"/>
        <v>100µg/100cm²</v>
      </c>
      <c r="V668" s="58">
        <f t="shared" si="98"/>
        <v>3803</v>
      </c>
      <c r="W668" s="58" t="str">
        <f t="shared" si="99"/>
        <v xml:space="preserve"> </v>
      </c>
      <c r="X668" s="59" t="str">
        <f t="shared" si="100"/>
        <v/>
      </c>
      <c r="Y668" s="158"/>
      <c r="Z668" s="64"/>
      <c r="AA668" s="64"/>
      <c r="AB668" s="64"/>
      <c r="AC668" s="16" t="s">
        <v>675</v>
      </c>
      <c r="AD668" s="16" t="s">
        <v>675</v>
      </c>
      <c r="AE668" s="64"/>
      <c r="AF668" s="64"/>
      <c r="AG668" s="64"/>
      <c r="AH668" s="64"/>
      <c r="AI668" s="64"/>
      <c r="AJ668" s="64"/>
      <c r="AK668" s="64"/>
      <c r="AL668" s="64"/>
      <c r="AM668" s="16" t="s">
        <v>675</v>
      </c>
      <c r="AN668" s="64"/>
      <c r="AO668" s="64"/>
      <c r="AP668" s="64"/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  <c r="BB668" s="64"/>
      <c r="BC668" s="64"/>
      <c r="BD668" s="64"/>
      <c r="BE668" s="64"/>
      <c r="BF668" s="64"/>
      <c r="BG668" s="64"/>
      <c r="BH668" s="64"/>
      <c r="BI668" s="64"/>
      <c r="BJ668" s="64"/>
      <c r="BK668" s="16" t="s">
        <v>675</v>
      </c>
      <c r="BL668" s="64"/>
      <c r="BM668" s="64"/>
      <c r="BN668" s="64"/>
      <c r="BO668" s="64"/>
      <c r="BP668" s="64"/>
      <c r="BQ668" s="64"/>
      <c r="BR668" s="64"/>
      <c r="BS668" s="16" t="s">
        <v>675</v>
      </c>
      <c r="BT668" s="65"/>
    </row>
    <row r="669" spans="1:72" ht="18" hidden="1" customHeight="1" x14ac:dyDescent="0.3">
      <c r="A669" s="81" t="s">
        <v>478</v>
      </c>
      <c r="B669" s="76" t="s">
        <v>459</v>
      </c>
      <c r="C669" s="16" t="s">
        <v>1503</v>
      </c>
      <c r="D669" s="16" t="s">
        <v>1489</v>
      </c>
      <c r="E669" s="50">
        <v>50</v>
      </c>
      <c r="F669" s="50">
        <v>0</v>
      </c>
      <c r="G669" s="16">
        <v>1</v>
      </c>
      <c r="H669" s="16" t="s">
        <v>1023</v>
      </c>
      <c r="I669" s="16" t="s">
        <v>1016</v>
      </c>
      <c r="J669" s="16" t="s">
        <v>2382</v>
      </c>
      <c r="K669" s="16">
        <v>50</v>
      </c>
      <c r="L669" s="16">
        <v>50</v>
      </c>
      <c r="M669" s="64"/>
      <c r="N669" s="64"/>
      <c r="O669" s="49" t="str">
        <f t="shared" si="93"/>
        <v>YES</v>
      </c>
      <c r="P669" s="157"/>
      <c r="Q669" s="53">
        <f t="shared" si="94"/>
        <v>5000</v>
      </c>
      <c r="R669" s="54">
        <f t="shared" si="95"/>
        <v>2500</v>
      </c>
      <c r="S669" s="55" t="str">
        <f t="shared" si="96"/>
        <v xml:space="preserve"> </v>
      </c>
      <c r="T669" s="100"/>
      <c r="U669" s="57" t="str">
        <f t="shared" si="97"/>
        <v>100µg/100cm²</v>
      </c>
      <c r="V669" s="58">
        <f t="shared" si="98"/>
        <v>2500</v>
      </c>
      <c r="W669" s="58" t="str">
        <f t="shared" si="99"/>
        <v xml:space="preserve"> </v>
      </c>
      <c r="X669" s="59" t="str">
        <f t="shared" si="100"/>
        <v/>
      </c>
      <c r="Y669" s="158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16" t="s">
        <v>675</v>
      </c>
      <c r="AT669" s="64"/>
      <c r="AU669" s="82"/>
      <c r="AV669" s="82"/>
      <c r="AW669" s="82"/>
      <c r="AX669" s="64"/>
      <c r="AY669" s="64"/>
      <c r="AZ669" s="64"/>
      <c r="BA669" s="64"/>
      <c r="BB669" s="64"/>
      <c r="BC669" s="64"/>
      <c r="BD669" s="64"/>
      <c r="BE669" s="64"/>
      <c r="BF669" s="64"/>
      <c r="BG669" s="64"/>
      <c r="BH669" s="64"/>
      <c r="BI669" s="64"/>
      <c r="BJ669" s="64"/>
      <c r="BK669" s="64"/>
      <c r="BL669" s="64"/>
      <c r="BM669" s="64"/>
      <c r="BN669" s="64"/>
      <c r="BO669" s="64"/>
      <c r="BP669" s="64"/>
      <c r="BQ669" s="64"/>
      <c r="BR669" s="64"/>
      <c r="BS669" s="64"/>
      <c r="BT669" s="65"/>
    </row>
    <row r="670" spans="1:72" ht="18" hidden="1" customHeight="1" x14ac:dyDescent="0.3">
      <c r="A670" s="81" t="s">
        <v>956</v>
      </c>
      <c r="B670" s="76" t="s">
        <v>459</v>
      </c>
      <c r="C670" s="16" t="s">
        <v>1501</v>
      </c>
      <c r="D670" s="16" t="s">
        <v>1490</v>
      </c>
      <c r="E670" s="50">
        <v>50</v>
      </c>
      <c r="F670" s="50">
        <v>0</v>
      </c>
      <c r="G670" s="16">
        <v>1</v>
      </c>
      <c r="H670" s="16" t="s">
        <v>1023</v>
      </c>
      <c r="I670" s="16" t="s">
        <v>1016</v>
      </c>
      <c r="J670" s="16" t="s">
        <v>2382</v>
      </c>
      <c r="K670" s="16">
        <v>50</v>
      </c>
      <c r="L670" s="16">
        <v>50</v>
      </c>
      <c r="M670" s="64"/>
      <c r="N670" s="64"/>
      <c r="O670" s="49" t="str">
        <f t="shared" si="93"/>
        <v>YES</v>
      </c>
      <c r="P670" s="157"/>
      <c r="Q670" s="53">
        <f t="shared" si="94"/>
        <v>5000</v>
      </c>
      <c r="R670" s="54">
        <f t="shared" si="95"/>
        <v>2500</v>
      </c>
      <c r="S670" s="55" t="str">
        <f t="shared" si="96"/>
        <v xml:space="preserve"> </v>
      </c>
      <c r="T670" s="100"/>
      <c r="U670" s="57" t="str">
        <f t="shared" si="97"/>
        <v>100µg/100cm²</v>
      </c>
      <c r="V670" s="58">
        <f t="shared" si="98"/>
        <v>2500</v>
      </c>
      <c r="W670" s="58" t="str">
        <f t="shared" si="99"/>
        <v xml:space="preserve"> </v>
      </c>
      <c r="X670" s="59" t="str">
        <f t="shared" si="100"/>
        <v/>
      </c>
      <c r="Y670" s="158"/>
      <c r="Z670" s="64"/>
      <c r="AA670" s="64"/>
      <c r="AB670" s="64"/>
      <c r="AC670" s="64"/>
      <c r="AD670" s="64"/>
      <c r="AE670" s="16" t="s">
        <v>675</v>
      </c>
      <c r="AF670" s="64"/>
      <c r="AG670" s="64"/>
      <c r="AH670" s="64"/>
      <c r="AI670" s="64"/>
      <c r="AJ670" s="64"/>
      <c r="AK670" s="64"/>
      <c r="AL670" s="64"/>
      <c r="AM670" s="16" t="s">
        <v>675</v>
      </c>
      <c r="AN670" s="64"/>
      <c r="AO670" s="64"/>
      <c r="AP670" s="64"/>
      <c r="AQ670" s="64"/>
      <c r="AR670" s="64"/>
      <c r="AS670" s="64"/>
      <c r="AT670" s="64"/>
      <c r="AU670" s="82"/>
      <c r="AV670" s="82"/>
      <c r="AW670" s="82"/>
      <c r="AX670" s="64"/>
      <c r="AY670" s="16" t="s">
        <v>675</v>
      </c>
      <c r="AZ670" s="16" t="s">
        <v>675</v>
      </c>
      <c r="BA670" s="16" t="s">
        <v>675</v>
      </c>
      <c r="BB670" s="16" t="s">
        <v>675</v>
      </c>
      <c r="BC670" s="64"/>
      <c r="BD670" s="64"/>
      <c r="BE670" s="64"/>
      <c r="BF670" s="64"/>
      <c r="BG670" s="64"/>
      <c r="BH670" s="64"/>
      <c r="BI670" s="64"/>
      <c r="BJ670" s="64"/>
      <c r="BK670" s="64"/>
      <c r="BL670" s="64"/>
      <c r="BM670" s="64"/>
      <c r="BN670" s="64"/>
      <c r="BO670" s="64"/>
      <c r="BP670" s="64"/>
      <c r="BQ670" s="64"/>
      <c r="BR670" s="64"/>
      <c r="BS670" s="64"/>
      <c r="BT670" s="65"/>
    </row>
    <row r="671" spans="1:72" ht="18" hidden="1" customHeight="1" x14ac:dyDescent="0.3">
      <c r="A671" s="81" t="s">
        <v>957</v>
      </c>
      <c r="B671" s="76" t="s">
        <v>459</v>
      </c>
      <c r="C671" s="16" t="s">
        <v>1501</v>
      </c>
      <c r="D671" s="16" t="s">
        <v>1490</v>
      </c>
      <c r="E671" s="50">
        <v>50</v>
      </c>
      <c r="F671" s="50">
        <v>0</v>
      </c>
      <c r="G671" s="16">
        <v>1</v>
      </c>
      <c r="H671" s="16" t="s">
        <v>1023</v>
      </c>
      <c r="I671" s="16" t="s">
        <v>1016</v>
      </c>
      <c r="J671" s="16" t="s">
        <v>2382</v>
      </c>
      <c r="K671" s="16">
        <v>50</v>
      </c>
      <c r="L671" s="16">
        <v>50</v>
      </c>
      <c r="M671" s="64"/>
      <c r="N671" s="64"/>
      <c r="O671" s="49" t="str">
        <f t="shared" si="93"/>
        <v>YES</v>
      </c>
      <c r="P671" s="157"/>
      <c r="Q671" s="53">
        <f t="shared" si="94"/>
        <v>5000</v>
      </c>
      <c r="R671" s="54">
        <f t="shared" si="95"/>
        <v>2500</v>
      </c>
      <c r="S671" s="55" t="str">
        <f t="shared" si="96"/>
        <v xml:space="preserve"> </v>
      </c>
      <c r="T671" s="100"/>
      <c r="U671" s="57" t="str">
        <f t="shared" si="97"/>
        <v>100µg/100cm²</v>
      </c>
      <c r="V671" s="58">
        <f t="shared" si="98"/>
        <v>2500</v>
      </c>
      <c r="W671" s="58" t="str">
        <f t="shared" si="99"/>
        <v xml:space="preserve"> </v>
      </c>
      <c r="X671" s="59" t="str">
        <f t="shared" si="100"/>
        <v/>
      </c>
      <c r="Y671" s="158"/>
      <c r="Z671" s="64"/>
      <c r="AA671" s="64"/>
      <c r="AB671" s="64"/>
      <c r="AC671" s="64"/>
      <c r="AD671" s="64"/>
      <c r="AE671" s="16" t="s">
        <v>675</v>
      </c>
      <c r="AF671" s="64"/>
      <c r="AG671" s="64"/>
      <c r="AH671" s="64"/>
      <c r="AI671" s="64"/>
      <c r="AJ671" s="64"/>
      <c r="AK671" s="64"/>
      <c r="AL671" s="64"/>
      <c r="AM671" s="16" t="s">
        <v>675</v>
      </c>
      <c r="AN671" s="64"/>
      <c r="AO671" s="64"/>
      <c r="AP671" s="64"/>
      <c r="AQ671" s="64"/>
      <c r="AR671" s="64"/>
      <c r="AS671" s="64"/>
      <c r="AT671" s="64"/>
      <c r="AU671" s="82"/>
      <c r="AV671" s="82"/>
      <c r="AW671" s="82"/>
      <c r="AX671" s="64"/>
      <c r="AY671" s="16" t="s">
        <v>675</v>
      </c>
      <c r="AZ671" s="16" t="s">
        <v>675</v>
      </c>
      <c r="BA671" s="16" t="s">
        <v>675</v>
      </c>
      <c r="BB671" s="16" t="s">
        <v>675</v>
      </c>
      <c r="BC671" s="64"/>
      <c r="BD671" s="64"/>
      <c r="BE671" s="64"/>
      <c r="BF671" s="64"/>
      <c r="BG671" s="64"/>
      <c r="BH671" s="64"/>
      <c r="BI671" s="64"/>
      <c r="BJ671" s="64"/>
      <c r="BK671" s="64"/>
      <c r="BL671" s="64"/>
      <c r="BM671" s="64"/>
      <c r="BN671" s="64"/>
      <c r="BO671" s="64"/>
      <c r="BP671" s="64"/>
      <c r="BQ671" s="64"/>
      <c r="BR671" s="64"/>
      <c r="BS671" s="64"/>
      <c r="BT671" s="65"/>
    </row>
    <row r="672" spans="1:72" ht="18" hidden="1" customHeight="1" x14ac:dyDescent="0.3">
      <c r="A672" s="81" t="s">
        <v>958</v>
      </c>
      <c r="B672" s="76" t="s">
        <v>459</v>
      </c>
      <c r="C672" s="16" t="s">
        <v>1501</v>
      </c>
      <c r="D672" s="16" t="s">
        <v>1490</v>
      </c>
      <c r="E672" s="50">
        <v>50</v>
      </c>
      <c r="F672" s="50">
        <v>0</v>
      </c>
      <c r="G672" s="16">
        <v>1</v>
      </c>
      <c r="H672" s="16" t="s">
        <v>1023</v>
      </c>
      <c r="I672" s="16" t="s">
        <v>1016</v>
      </c>
      <c r="J672" s="16" t="s">
        <v>2382</v>
      </c>
      <c r="K672" s="16">
        <v>50</v>
      </c>
      <c r="L672" s="16">
        <v>50</v>
      </c>
      <c r="M672" s="64"/>
      <c r="N672" s="64"/>
      <c r="O672" s="49" t="str">
        <f t="shared" si="93"/>
        <v>YES</v>
      </c>
      <c r="P672" s="157"/>
      <c r="Q672" s="53">
        <f t="shared" si="94"/>
        <v>5000</v>
      </c>
      <c r="R672" s="54">
        <f t="shared" si="95"/>
        <v>2500</v>
      </c>
      <c r="S672" s="55" t="str">
        <f t="shared" si="96"/>
        <v xml:space="preserve"> </v>
      </c>
      <c r="T672" s="100"/>
      <c r="U672" s="57" t="str">
        <f t="shared" si="97"/>
        <v>100µg/100cm²</v>
      </c>
      <c r="V672" s="58">
        <f t="shared" si="98"/>
        <v>2500</v>
      </c>
      <c r="W672" s="58" t="str">
        <f t="shared" si="99"/>
        <v xml:space="preserve"> </v>
      </c>
      <c r="X672" s="59" t="str">
        <f t="shared" si="100"/>
        <v/>
      </c>
      <c r="Y672" s="158"/>
      <c r="Z672" s="64"/>
      <c r="AA672" s="64"/>
      <c r="AB672" s="64"/>
      <c r="AC672" s="64"/>
      <c r="AD672" s="64"/>
      <c r="AE672" s="16" t="s">
        <v>675</v>
      </c>
      <c r="AF672" s="64"/>
      <c r="AG672" s="64"/>
      <c r="AH672" s="64"/>
      <c r="AI672" s="64"/>
      <c r="AJ672" s="64"/>
      <c r="AK672" s="64"/>
      <c r="AL672" s="64"/>
      <c r="AM672" s="16" t="s">
        <v>675</v>
      </c>
      <c r="AN672" s="64"/>
      <c r="AO672" s="64"/>
      <c r="AP672" s="64"/>
      <c r="AQ672" s="64"/>
      <c r="AR672" s="64"/>
      <c r="AS672" s="64"/>
      <c r="AT672" s="64"/>
      <c r="AU672" s="82"/>
      <c r="AV672" s="82"/>
      <c r="AW672" s="82"/>
      <c r="AX672" s="64"/>
      <c r="AY672" s="16" t="s">
        <v>675</v>
      </c>
      <c r="AZ672" s="16" t="s">
        <v>675</v>
      </c>
      <c r="BA672" s="16" t="s">
        <v>675</v>
      </c>
      <c r="BB672" s="16" t="s">
        <v>675</v>
      </c>
      <c r="BC672" s="64"/>
      <c r="BD672" s="64"/>
      <c r="BE672" s="64"/>
      <c r="BF672" s="64"/>
      <c r="BG672" s="64"/>
      <c r="BH672" s="64"/>
      <c r="BI672" s="64"/>
      <c r="BJ672" s="64"/>
      <c r="BK672" s="64"/>
      <c r="BL672" s="64"/>
      <c r="BM672" s="64"/>
      <c r="BN672" s="64"/>
      <c r="BO672" s="64"/>
      <c r="BP672" s="64"/>
      <c r="BQ672" s="64"/>
      <c r="BR672" s="64"/>
      <c r="BS672" s="64"/>
      <c r="BT672" s="65"/>
    </row>
    <row r="673" spans="1:72" ht="18" hidden="1" customHeight="1" x14ac:dyDescent="0.3">
      <c r="A673" s="81" t="s">
        <v>959</v>
      </c>
      <c r="B673" s="76" t="s">
        <v>459</v>
      </c>
      <c r="C673" s="16" t="s">
        <v>1501</v>
      </c>
      <c r="D673" s="16" t="s">
        <v>1490</v>
      </c>
      <c r="E673" s="50">
        <v>50</v>
      </c>
      <c r="F673" s="50">
        <v>0</v>
      </c>
      <c r="G673" s="16">
        <v>1</v>
      </c>
      <c r="H673" s="16" t="s">
        <v>1023</v>
      </c>
      <c r="I673" s="16" t="s">
        <v>1016</v>
      </c>
      <c r="J673" s="16" t="s">
        <v>2382</v>
      </c>
      <c r="K673" s="16">
        <v>50</v>
      </c>
      <c r="L673" s="16">
        <v>50</v>
      </c>
      <c r="M673" s="64"/>
      <c r="N673" s="64"/>
      <c r="O673" s="49" t="str">
        <f t="shared" si="93"/>
        <v>YES</v>
      </c>
      <c r="P673" s="157"/>
      <c r="Q673" s="53">
        <f t="shared" si="94"/>
        <v>5000</v>
      </c>
      <c r="R673" s="54">
        <f t="shared" si="95"/>
        <v>2500</v>
      </c>
      <c r="S673" s="55" t="str">
        <f t="shared" si="96"/>
        <v xml:space="preserve"> </v>
      </c>
      <c r="T673" s="100"/>
      <c r="U673" s="57" t="str">
        <f t="shared" si="97"/>
        <v>100µg/100cm²</v>
      </c>
      <c r="V673" s="58">
        <f t="shared" si="98"/>
        <v>2500</v>
      </c>
      <c r="W673" s="58" t="str">
        <f t="shared" si="99"/>
        <v xml:space="preserve"> </v>
      </c>
      <c r="X673" s="59" t="str">
        <f t="shared" si="100"/>
        <v/>
      </c>
      <c r="Y673" s="158"/>
      <c r="Z673" s="64"/>
      <c r="AA673" s="64"/>
      <c r="AB673" s="64"/>
      <c r="AC673" s="64"/>
      <c r="AD673" s="64"/>
      <c r="AE673" s="16" t="s">
        <v>675</v>
      </c>
      <c r="AF673" s="64"/>
      <c r="AG673" s="64"/>
      <c r="AH673" s="64"/>
      <c r="AI673" s="64"/>
      <c r="AJ673" s="64"/>
      <c r="AK673" s="64"/>
      <c r="AL673" s="64"/>
      <c r="AM673" s="16" t="s">
        <v>675</v>
      </c>
      <c r="AN673" s="64"/>
      <c r="AO673" s="64"/>
      <c r="AP673" s="64"/>
      <c r="AQ673" s="64"/>
      <c r="AR673" s="64"/>
      <c r="AS673" s="64"/>
      <c r="AT673" s="64"/>
      <c r="AU673" s="82"/>
      <c r="AV673" s="82"/>
      <c r="AW673" s="82"/>
      <c r="AX673" s="64"/>
      <c r="AY673" s="16" t="s">
        <v>675</v>
      </c>
      <c r="AZ673" s="16" t="s">
        <v>675</v>
      </c>
      <c r="BA673" s="16" t="s">
        <v>675</v>
      </c>
      <c r="BB673" s="16" t="s">
        <v>675</v>
      </c>
      <c r="BC673" s="64"/>
      <c r="BD673" s="64"/>
      <c r="BE673" s="64"/>
      <c r="BF673" s="64"/>
      <c r="BG673" s="64"/>
      <c r="BH673" s="64"/>
      <c r="BI673" s="64"/>
      <c r="BJ673" s="64"/>
      <c r="BK673" s="64"/>
      <c r="BL673" s="64"/>
      <c r="BM673" s="64"/>
      <c r="BN673" s="64"/>
      <c r="BO673" s="64"/>
      <c r="BP673" s="64"/>
      <c r="BQ673" s="64"/>
      <c r="BR673" s="64"/>
      <c r="BS673" s="64"/>
      <c r="BT673" s="65"/>
    </row>
    <row r="674" spans="1:72" ht="18" hidden="1" customHeight="1" x14ac:dyDescent="0.3">
      <c r="A674" s="81" t="s">
        <v>960</v>
      </c>
      <c r="B674" s="76" t="s">
        <v>459</v>
      </c>
      <c r="C674" s="16" t="s">
        <v>1501</v>
      </c>
      <c r="D674" s="16" t="s">
        <v>1490</v>
      </c>
      <c r="E674" s="50">
        <v>50</v>
      </c>
      <c r="F674" s="50">
        <v>0</v>
      </c>
      <c r="G674" s="16">
        <v>1</v>
      </c>
      <c r="H674" s="16" t="s">
        <v>1023</v>
      </c>
      <c r="I674" s="16" t="s">
        <v>1016</v>
      </c>
      <c r="J674" s="16" t="s">
        <v>2382</v>
      </c>
      <c r="K674" s="16">
        <v>50</v>
      </c>
      <c r="L674" s="16">
        <v>50</v>
      </c>
      <c r="M674" s="64"/>
      <c r="N674" s="64"/>
      <c r="O674" s="49" t="str">
        <f t="shared" si="93"/>
        <v>YES</v>
      </c>
      <c r="P674" s="157"/>
      <c r="Q674" s="53">
        <f t="shared" si="94"/>
        <v>5000</v>
      </c>
      <c r="R674" s="54">
        <f t="shared" si="95"/>
        <v>2500</v>
      </c>
      <c r="S674" s="55" t="str">
        <f t="shared" si="96"/>
        <v xml:space="preserve"> </v>
      </c>
      <c r="T674" s="100"/>
      <c r="U674" s="57" t="str">
        <f t="shared" si="97"/>
        <v>100µg/100cm²</v>
      </c>
      <c r="V674" s="58">
        <f t="shared" si="98"/>
        <v>2500</v>
      </c>
      <c r="W674" s="58" t="str">
        <f t="shared" si="99"/>
        <v xml:space="preserve"> </v>
      </c>
      <c r="X674" s="59" t="str">
        <f t="shared" si="100"/>
        <v/>
      </c>
      <c r="Y674" s="158"/>
      <c r="Z674" s="64"/>
      <c r="AA674" s="64"/>
      <c r="AB674" s="64"/>
      <c r="AC674" s="64"/>
      <c r="AD674" s="64"/>
      <c r="AE674" s="16" t="s">
        <v>675</v>
      </c>
      <c r="AF674" s="64"/>
      <c r="AG674" s="64"/>
      <c r="AH674" s="64"/>
      <c r="AI674" s="64"/>
      <c r="AJ674" s="64"/>
      <c r="AK674" s="64"/>
      <c r="AL674" s="64"/>
      <c r="AM674" s="16" t="s">
        <v>675</v>
      </c>
      <c r="AN674" s="64"/>
      <c r="AO674" s="64"/>
      <c r="AP674" s="64"/>
      <c r="AQ674" s="64"/>
      <c r="AR674" s="64"/>
      <c r="AS674" s="64"/>
      <c r="AT674" s="64"/>
      <c r="AU674" s="82"/>
      <c r="AV674" s="82"/>
      <c r="AW674" s="82"/>
      <c r="AX674" s="64"/>
      <c r="AY674" s="16" t="s">
        <v>675</v>
      </c>
      <c r="AZ674" s="16" t="s">
        <v>675</v>
      </c>
      <c r="BA674" s="16" t="s">
        <v>675</v>
      </c>
      <c r="BB674" s="16" t="s">
        <v>675</v>
      </c>
      <c r="BC674" s="64"/>
      <c r="BD674" s="64"/>
      <c r="BE674" s="64"/>
      <c r="BF674" s="64"/>
      <c r="BG674" s="64"/>
      <c r="BH674" s="64"/>
      <c r="BI674" s="64"/>
      <c r="BJ674" s="64"/>
      <c r="BK674" s="64"/>
      <c r="BL674" s="64"/>
      <c r="BM674" s="64"/>
      <c r="BN674" s="64"/>
      <c r="BO674" s="64"/>
      <c r="BP674" s="64"/>
      <c r="BQ674" s="64"/>
      <c r="BR674" s="64"/>
      <c r="BS674" s="64"/>
      <c r="BT674" s="65"/>
    </row>
    <row r="675" spans="1:72" ht="18" hidden="1" customHeight="1" x14ac:dyDescent="0.3">
      <c r="A675" s="81" t="s">
        <v>961</v>
      </c>
      <c r="B675" s="76" t="s">
        <v>459</v>
      </c>
      <c r="C675" s="16" t="s">
        <v>1501</v>
      </c>
      <c r="D675" s="16" t="s">
        <v>1490</v>
      </c>
      <c r="E675" s="50">
        <v>50</v>
      </c>
      <c r="F675" s="50">
        <v>0</v>
      </c>
      <c r="G675" s="16">
        <v>1</v>
      </c>
      <c r="H675" s="16" t="s">
        <v>1023</v>
      </c>
      <c r="I675" s="16" t="s">
        <v>1016</v>
      </c>
      <c r="J675" s="16" t="s">
        <v>2382</v>
      </c>
      <c r="K675" s="16">
        <v>50</v>
      </c>
      <c r="L675" s="16">
        <v>50</v>
      </c>
      <c r="M675" s="64"/>
      <c r="N675" s="64"/>
      <c r="O675" s="49" t="str">
        <f t="shared" ref="O675:O694" si="101">IF(AND(ISBLANK(K675),ISBLANK(N675))," ",IF(ISBLANK(N675),"YES","NO"))</f>
        <v>YES</v>
      </c>
      <c r="P675" s="157"/>
      <c r="Q675" s="53">
        <f t="shared" si="94"/>
        <v>5000</v>
      </c>
      <c r="R675" s="54">
        <f t="shared" si="95"/>
        <v>2500</v>
      </c>
      <c r="S675" s="55" t="str">
        <f t="shared" si="96"/>
        <v xml:space="preserve"> </v>
      </c>
      <c r="T675" s="100"/>
      <c r="U675" s="57" t="str">
        <f t="shared" si="97"/>
        <v>100µg/100cm²</v>
      </c>
      <c r="V675" s="58">
        <f t="shared" si="98"/>
        <v>2500</v>
      </c>
      <c r="W675" s="58" t="str">
        <f t="shared" si="99"/>
        <v xml:space="preserve"> </v>
      </c>
      <c r="X675" s="59" t="str">
        <f t="shared" si="100"/>
        <v/>
      </c>
      <c r="Y675" s="158"/>
      <c r="Z675" s="64"/>
      <c r="AA675" s="64"/>
      <c r="AB675" s="64"/>
      <c r="AC675" s="64"/>
      <c r="AD675" s="64"/>
      <c r="AE675" s="16" t="s">
        <v>675</v>
      </c>
      <c r="AF675" s="64"/>
      <c r="AG675" s="64"/>
      <c r="AH675" s="64"/>
      <c r="AI675" s="64"/>
      <c r="AJ675" s="64"/>
      <c r="AK675" s="64"/>
      <c r="AL675" s="64"/>
      <c r="AM675" s="16" t="s">
        <v>675</v>
      </c>
      <c r="AN675" s="64"/>
      <c r="AO675" s="64"/>
      <c r="AP675" s="64"/>
      <c r="AQ675" s="64"/>
      <c r="AR675" s="64"/>
      <c r="AS675" s="64"/>
      <c r="AT675" s="64"/>
      <c r="AU675" s="82"/>
      <c r="AV675" s="82"/>
      <c r="AW675" s="82"/>
      <c r="AX675" s="64"/>
      <c r="AY675" s="16" t="s">
        <v>675</v>
      </c>
      <c r="AZ675" s="16" t="s">
        <v>675</v>
      </c>
      <c r="BA675" s="16" t="s">
        <v>675</v>
      </c>
      <c r="BB675" s="16" t="s">
        <v>675</v>
      </c>
      <c r="BC675" s="64"/>
      <c r="BD675" s="64"/>
      <c r="BE675" s="64"/>
      <c r="BF675" s="64"/>
      <c r="BG675" s="64"/>
      <c r="BH675" s="64"/>
      <c r="BI675" s="64"/>
      <c r="BJ675" s="64"/>
      <c r="BK675" s="64"/>
      <c r="BL675" s="64"/>
      <c r="BM675" s="64"/>
      <c r="BN675" s="64"/>
      <c r="BO675" s="64"/>
      <c r="BP675" s="64"/>
      <c r="BQ675" s="64"/>
      <c r="BR675" s="64"/>
      <c r="BS675" s="64"/>
      <c r="BT675" s="65"/>
    </row>
    <row r="676" spans="1:72" ht="18" hidden="1" customHeight="1" x14ac:dyDescent="0.3">
      <c r="A676" s="81" t="s">
        <v>962</v>
      </c>
      <c r="B676" s="76" t="s">
        <v>459</v>
      </c>
      <c r="C676" s="16" t="s">
        <v>1501</v>
      </c>
      <c r="D676" s="16" t="s">
        <v>1490</v>
      </c>
      <c r="E676" s="50">
        <v>50</v>
      </c>
      <c r="F676" s="50">
        <v>0</v>
      </c>
      <c r="G676" s="16">
        <v>1</v>
      </c>
      <c r="H676" s="16" t="s">
        <v>1023</v>
      </c>
      <c r="I676" s="16" t="s">
        <v>1016</v>
      </c>
      <c r="J676" s="16" t="s">
        <v>2382</v>
      </c>
      <c r="K676" s="16">
        <v>50</v>
      </c>
      <c r="L676" s="16">
        <v>50</v>
      </c>
      <c r="M676" s="64"/>
      <c r="N676" s="64"/>
      <c r="O676" s="49" t="str">
        <f t="shared" si="101"/>
        <v>YES</v>
      </c>
      <c r="P676" s="157"/>
      <c r="Q676" s="53">
        <f t="shared" si="94"/>
        <v>5000</v>
      </c>
      <c r="R676" s="54">
        <f t="shared" si="95"/>
        <v>2500</v>
      </c>
      <c r="S676" s="55" t="str">
        <f t="shared" si="96"/>
        <v xml:space="preserve"> </v>
      </c>
      <c r="T676" s="100"/>
      <c r="U676" s="57" t="str">
        <f t="shared" si="97"/>
        <v>100µg/100cm²</v>
      </c>
      <c r="V676" s="58">
        <f t="shared" si="98"/>
        <v>2500</v>
      </c>
      <c r="W676" s="58" t="str">
        <f t="shared" si="99"/>
        <v xml:space="preserve"> </v>
      </c>
      <c r="X676" s="59" t="str">
        <f t="shared" si="100"/>
        <v/>
      </c>
      <c r="Y676" s="158"/>
      <c r="Z676" s="64"/>
      <c r="AA676" s="64"/>
      <c r="AB676" s="64"/>
      <c r="AC676" s="64"/>
      <c r="AD676" s="64"/>
      <c r="AE676" s="16" t="s">
        <v>675</v>
      </c>
      <c r="AF676" s="64"/>
      <c r="AG676" s="64"/>
      <c r="AH676" s="64"/>
      <c r="AI676" s="64"/>
      <c r="AJ676" s="64"/>
      <c r="AK676" s="64"/>
      <c r="AL676" s="64"/>
      <c r="AM676" s="16" t="s">
        <v>675</v>
      </c>
      <c r="AN676" s="64"/>
      <c r="AO676" s="64"/>
      <c r="AP676" s="64"/>
      <c r="AQ676" s="64"/>
      <c r="AR676" s="64"/>
      <c r="AS676" s="64"/>
      <c r="AT676" s="64"/>
      <c r="AU676" s="82"/>
      <c r="AV676" s="82"/>
      <c r="AW676" s="82"/>
      <c r="AX676" s="64"/>
      <c r="AY676" s="16" t="s">
        <v>675</v>
      </c>
      <c r="AZ676" s="16" t="s">
        <v>675</v>
      </c>
      <c r="BA676" s="16" t="s">
        <v>675</v>
      </c>
      <c r="BB676" s="16" t="s">
        <v>675</v>
      </c>
      <c r="BC676" s="64"/>
      <c r="BD676" s="64"/>
      <c r="BE676" s="64"/>
      <c r="BF676" s="64"/>
      <c r="BG676" s="64"/>
      <c r="BH676" s="64"/>
      <c r="BI676" s="64"/>
      <c r="BJ676" s="64"/>
      <c r="BK676" s="64"/>
      <c r="BL676" s="64"/>
      <c r="BM676" s="64"/>
      <c r="BN676" s="64"/>
      <c r="BO676" s="64"/>
      <c r="BP676" s="64"/>
      <c r="BQ676" s="64"/>
      <c r="BR676" s="64"/>
      <c r="BS676" s="64"/>
      <c r="BT676" s="65"/>
    </row>
    <row r="677" spans="1:72" ht="18" hidden="1" customHeight="1" x14ac:dyDescent="0.3">
      <c r="A677" s="81" t="s">
        <v>963</v>
      </c>
      <c r="B677" s="76" t="s">
        <v>459</v>
      </c>
      <c r="C677" s="16" t="s">
        <v>1501</v>
      </c>
      <c r="D677" s="16" t="s">
        <v>1490</v>
      </c>
      <c r="E677" s="50">
        <v>50</v>
      </c>
      <c r="F677" s="50">
        <v>0</v>
      </c>
      <c r="G677" s="16">
        <v>1</v>
      </c>
      <c r="H677" s="16" t="s">
        <v>1023</v>
      </c>
      <c r="I677" s="16" t="s">
        <v>1016</v>
      </c>
      <c r="J677" s="16" t="s">
        <v>2382</v>
      </c>
      <c r="K677" s="16">
        <v>50</v>
      </c>
      <c r="L677" s="16">
        <v>50</v>
      </c>
      <c r="M677" s="64"/>
      <c r="N677" s="64"/>
      <c r="O677" s="49" t="str">
        <f t="shared" si="101"/>
        <v>YES</v>
      </c>
      <c r="P677" s="157"/>
      <c r="Q677" s="53">
        <f t="shared" si="94"/>
        <v>5000</v>
      </c>
      <c r="R677" s="54">
        <f t="shared" si="95"/>
        <v>2500</v>
      </c>
      <c r="S677" s="55" t="str">
        <f t="shared" si="96"/>
        <v xml:space="preserve"> </v>
      </c>
      <c r="T677" s="100"/>
      <c r="U677" s="57" t="str">
        <f t="shared" si="97"/>
        <v>100µg/100cm²</v>
      </c>
      <c r="V677" s="58">
        <f t="shared" si="98"/>
        <v>2500</v>
      </c>
      <c r="W677" s="58" t="str">
        <f t="shared" si="99"/>
        <v xml:space="preserve"> </v>
      </c>
      <c r="X677" s="59" t="str">
        <f t="shared" si="100"/>
        <v/>
      </c>
      <c r="Y677" s="158"/>
      <c r="Z677" s="64"/>
      <c r="AA677" s="64"/>
      <c r="AB677" s="64"/>
      <c r="AC677" s="64"/>
      <c r="AD677" s="64"/>
      <c r="AE677" s="16" t="s">
        <v>675</v>
      </c>
      <c r="AF677" s="64"/>
      <c r="AG677" s="64"/>
      <c r="AH677" s="64"/>
      <c r="AI677" s="64"/>
      <c r="AJ677" s="64"/>
      <c r="AK677" s="64"/>
      <c r="AL677" s="64"/>
      <c r="AM677" s="16" t="s">
        <v>675</v>
      </c>
      <c r="AN677" s="64"/>
      <c r="AO677" s="64"/>
      <c r="AP677" s="64"/>
      <c r="AQ677" s="64"/>
      <c r="AR677" s="64"/>
      <c r="AS677" s="64"/>
      <c r="AT677" s="64"/>
      <c r="AU677" s="82"/>
      <c r="AV677" s="82"/>
      <c r="AW677" s="82"/>
      <c r="AX677" s="64"/>
      <c r="AY677" s="16" t="s">
        <v>675</v>
      </c>
      <c r="AZ677" s="16" t="s">
        <v>675</v>
      </c>
      <c r="BA677" s="16" t="s">
        <v>675</v>
      </c>
      <c r="BB677" s="16" t="s">
        <v>675</v>
      </c>
      <c r="BC677" s="64"/>
      <c r="BD677" s="64"/>
      <c r="BE677" s="64"/>
      <c r="BF677" s="64"/>
      <c r="BG677" s="64"/>
      <c r="BH677" s="64"/>
      <c r="BI677" s="64"/>
      <c r="BJ677" s="64"/>
      <c r="BK677" s="64"/>
      <c r="BL677" s="64"/>
      <c r="BM677" s="64"/>
      <c r="BN677" s="64"/>
      <c r="BO677" s="64"/>
      <c r="BP677" s="64"/>
      <c r="BQ677" s="64"/>
      <c r="BR677" s="64"/>
      <c r="BS677" s="64"/>
      <c r="BT677" s="65"/>
    </row>
    <row r="678" spans="1:72" ht="18" hidden="1" customHeight="1" x14ac:dyDescent="0.3">
      <c r="A678" s="81" t="s">
        <v>964</v>
      </c>
      <c r="B678" s="76" t="s">
        <v>459</v>
      </c>
      <c r="C678" s="16" t="s">
        <v>1501</v>
      </c>
      <c r="D678" s="16" t="s">
        <v>1490</v>
      </c>
      <c r="E678" s="50">
        <v>50</v>
      </c>
      <c r="F678" s="50">
        <v>0</v>
      </c>
      <c r="G678" s="16">
        <v>1</v>
      </c>
      <c r="H678" s="16" t="s">
        <v>1023</v>
      </c>
      <c r="I678" s="16" t="s">
        <v>1016</v>
      </c>
      <c r="J678" s="16" t="s">
        <v>2382</v>
      </c>
      <c r="K678" s="16">
        <v>50</v>
      </c>
      <c r="L678" s="16">
        <v>50</v>
      </c>
      <c r="M678" s="64"/>
      <c r="N678" s="64"/>
      <c r="O678" s="49" t="str">
        <f t="shared" si="101"/>
        <v>YES</v>
      </c>
      <c r="P678" s="157"/>
      <c r="Q678" s="53">
        <f t="shared" si="94"/>
        <v>5000</v>
      </c>
      <c r="R678" s="54">
        <f t="shared" si="95"/>
        <v>2500</v>
      </c>
      <c r="S678" s="55" t="str">
        <f t="shared" si="96"/>
        <v xml:space="preserve"> </v>
      </c>
      <c r="T678" s="100"/>
      <c r="U678" s="57" t="str">
        <f t="shared" si="97"/>
        <v>100µg/100cm²</v>
      </c>
      <c r="V678" s="58">
        <f t="shared" si="98"/>
        <v>2500</v>
      </c>
      <c r="W678" s="58" t="str">
        <f t="shared" si="99"/>
        <v xml:space="preserve"> </v>
      </c>
      <c r="X678" s="59" t="str">
        <f t="shared" si="100"/>
        <v/>
      </c>
      <c r="Y678" s="158"/>
      <c r="Z678" s="64"/>
      <c r="AA678" s="64"/>
      <c r="AB678" s="64"/>
      <c r="AC678" s="64"/>
      <c r="AD678" s="64"/>
      <c r="AE678" s="16" t="s">
        <v>675</v>
      </c>
      <c r="AF678" s="64"/>
      <c r="AG678" s="64"/>
      <c r="AH678" s="64"/>
      <c r="AI678" s="64"/>
      <c r="AJ678" s="64"/>
      <c r="AK678" s="64"/>
      <c r="AL678" s="64"/>
      <c r="AM678" s="16" t="s">
        <v>675</v>
      </c>
      <c r="AN678" s="64"/>
      <c r="AO678" s="64"/>
      <c r="AP678" s="64"/>
      <c r="AQ678" s="64"/>
      <c r="AR678" s="64"/>
      <c r="AS678" s="64"/>
      <c r="AT678" s="64"/>
      <c r="AU678" s="82"/>
      <c r="AV678" s="82"/>
      <c r="AW678" s="82"/>
      <c r="AX678" s="64"/>
      <c r="AY678" s="16" t="s">
        <v>675</v>
      </c>
      <c r="AZ678" s="16" t="s">
        <v>675</v>
      </c>
      <c r="BA678" s="16" t="s">
        <v>675</v>
      </c>
      <c r="BB678" s="16" t="s">
        <v>675</v>
      </c>
      <c r="BC678" s="64"/>
      <c r="BD678" s="64"/>
      <c r="BE678" s="64"/>
      <c r="BF678" s="64"/>
      <c r="BG678" s="64"/>
      <c r="BH678" s="64"/>
      <c r="BI678" s="64"/>
      <c r="BJ678" s="64"/>
      <c r="BK678" s="64"/>
      <c r="BL678" s="64"/>
      <c r="BM678" s="64"/>
      <c r="BN678" s="64"/>
      <c r="BO678" s="64"/>
      <c r="BP678" s="64"/>
      <c r="BQ678" s="64"/>
      <c r="BR678" s="64"/>
      <c r="BS678" s="64"/>
      <c r="BT678" s="65"/>
    </row>
    <row r="679" spans="1:72" ht="18" hidden="1" customHeight="1" x14ac:dyDescent="0.3">
      <c r="A679" s="81" t="s">
        <v>965</v>
      </c>
      <c r="B679" s="76" t="s">
        <v>459</v>
      </c>
      <c r="C679" s="16" t="s">
        <v>1501</v>
      </c>
      <c r="D679" s="16" t="s">
        <v>1490</v>
      </c>
      <c r="E679" s="50">
        <v>50</v>
      </c>
      <c r="F679" s="50">
        <v>0</v>
      </c>
      <c r="G679" s="16">
        <v>1</v>
      </c>
      <c r="H679" s="16" t="s">
        <v>1023</v>
      </c>
      <c r="I679" s="16" t="s">
        <v>1016</v>
      </c>
      <c r="J679" s="109" t="s">
        <v>2382</v>
      </c>
      <c r="K679" s="16">
        <v>50</v>
      </c>
      <c r="L679" s="16">
        <v>50</v>
      </c>
      <c r="M679" s="64"/>
      <c r="N679" s="64"/>
      <c r="O679" s="49" t="str">
        <f t="shared" si="101"/>
        <v>YES</v>
      </c>
      <c r="P679" s="157"/>
      <c r="Q679" s="53">
        <f t="shared" si="94"/>
        <v>5000</v>
      </c>
      <c r="R679" s="54">
        <f t="shared" si="95"/>
        <v>2500</v>
      </c>
      <c r="S679" s="55" t="str">
        <f t="shared" si="96"/>
        <v xml:space="preserve"> </v>
      </c>
      <c r="T679" s="100"/>
      <c r="U679" s="57" t="str">
        <f t="shared" si="97"/>
        <v>100µg/100cm²</v>
      </c>
      <c r="V679" s="58">
        <f t="shared" si="98"/>
        <v>2500</v>
      </c>
      <c r="W679" s="58" t="str">
        <f t="shared" si="99"/>
        <v xml:space="preserve"> </v>
      </c>
      <c r="X679" s="59" t="str">
        <f t="shared" si="100"/>
        <v/>
      </c>
      <c r="Y679" s="158"/>
      <c r="Z679" s="64"/>
      <c r="AA679" s="64"/>
      <c r="AB679" s="64"/>
      <c r="AC679" s="64"/>
      <c r="AD679" s="64"/>
      <c r="AE679" s="16" t="s">
        <v>675</v>
      </c>
      <c r="AF679" s="64"/>
      <c r="AG679" s="64"/>
      <c r="AH679" s="64"/>
      <c r="AI679" s="64"/>
      <c r="AJ679" s="64"/>
      <c r="AK679" s="64"/>
      <c r="AL679" s="64"/>
      <c r="AM679" s="16" t="s">
        <v>675</v>
      </c>
      <c r="AN679" s="64"/>
      <c r="AO679" s="64"/>
      <c r="AP679" s="64"/>
      <c r="AQ679" s="64"/>
      <c r="AR679" s="64"/>
      <c r="AS679" s="64"/>
      <c r="AT679" s="64"/>
      <c r="AU679" s="82"/>
      <c r="AV679" s="82"/>
      <c r="AW679" s="82"/>
      <c r="AX679" s="64"/>
      <c r="AY679" s="16" t="s">
        <v>675</v>
      </c>
      <c r="AZ679" s="16" t="s">
        <v>675</v>
      </c>
      <c r="BA679" s="16" t="s">
        <v>675</v>
      </c>
      <c r="BB679" s="16" t="s">
        <v>675</v>
      </c>
      <c r="BC679" s="64"/>
      <c r="BD679" s="64"/>
      <c r="BE679" s="64"/>
      <c r="BF679" s="64"/>
      <c r="BG679" s="64"/>
      <c r="BH679" s="64"/>
      <c r="BI679" s="64"/>
      <c r="BJ679" s="64"/>
      <c r="BK679" s="64"/>
      <c r="BL679" s="64"/>
      <c r="BM679" s="64"/>
      <c r="BN679" s="64"/>
      <c r="BO679" s="64"/>
      <c r="BP679" s="64"/>
      <c r="BQ679" s="64"/>
      <c r="BR679" s="64"/>
      <c r="BS679" s="64"/>
      <c r="BT679" s="65"/>
    </row>
    <row r="680" spans="1:72" ht="18" hidden="1" customHeight="1" x14ac:dyDescent="0.3">
      <c r="A680" s="81" t="s">
        <v>966</v>
      </c>
      <c r="B680" s="76" t="s">
        <v>459</v>
      </c>
      <c r="C680" s="16" t="s">
        <v>1501</v>
      </c>
      <c r="D680" s="16" t="s">
        <v>1490</v>
      </c>
      <c r="E680" s="50">
        <v>50</v>
      </c>
      <c r="F680" s="50">
        <v>0</v>
      </c>
      <c r="G680" s="16">
        <v>1</v>
      </c>
      <c r="H680" s="16" t="s">
        <v>1023</v>
      </c>
      <c r="I680" s="16" t="s">
        <v>1016</v>
      </c>
      <c r="J680" s="16" t="s">
        <v>2382</v>
      </c>
      <c r="K680" s="16">
        <v>50</v>
      </c>
      <c r="L680" s="16">
        <v>50</v>
      </c>
      <c r="M680" s="64"/>
      <c r="N680" s="64"/>
      <c r="O680" s="49" t="str">
        <f t="shared" si="101"/>
        <v>YES</v>
      </c>
      <c r="P680" s="157"/>
      <c r="Q680" s="53">
        <f t="shared" si="94"/>
        <v>5000</v>
      </c>
      <c r="R680" s="54">
        <f t="shared" si="95"/>
        <v>2500</v>
      </c>
      <c r="S680" s="55" t="str">
        <f t="shared" si="96"/>
        <v xml:space="preserve"> </v>
      </c>
      <c r="T680" s="100"/>
      <c r="U680" s="57" t="str">
        <f t="shared" si="97"/>
        <v>100µg/100cm²</v>
      </c>
      <c r="V680" s="58">
        <f t="shared" si="98"/>
        <v>2500</v>
      </c>
      <c r="W680" s="58" t="str">
        <f t="shared" si="99"/>
        <v xml:space="preserve"> </v>
      </c>
      <c r="X680" s="59" t="str">
        <f t="shared" si="100"/>
        <v/>
      </c>
      <c r="Y680" s="158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82"/>
      <c r="AV680" s="82"/>
      <c r="AW680" s="82"/>
      <c r="AX680" s="64"/>
      <c r="AY680" s="16" t="s">
        <v>675</v>
      </c>
      <c r="AZ680" s="16" t="s">
        <v>675</v>
      </c>
      <c r="BA680" s="16" t="s">
        <v>675</v>
      </c>
      <c r="BB680" s="16" t="s">
        <v>675</v>
      </c>
      <c r="BC680" s="64"/>
      <c r="BD680" s="64"/>
      <c r="BE680" s="64"/>
      <c r="BF680" s="64"/>
      <c r="BG680" s="64"/>
      <c r="BH680" s="64"/>
      <c r="BI680" s="64"/>
      <c r="BJ680" s="64"/>
      <c r="BK680" s="64"/>
      <c r="BL680" s="64"/>
      <c r="BM680" s="64"/>
      <c r="BN680" s="64"/>
      <c r="BO680" s="64"/>
      <c r="BP680" s="64"/>
      <c r="BQ680" s="64"/>
      <c r="BR680" s="64"/>
      <c r="BS680" s="64"/>
      <c r="BT680" s="65"/>
    </row>
    <row r="681" spans="1:72" ht="18" hidden="1" customHeight="1" x14ac:dyDescent="0.3">
      <c r="A681" s="81" t="s">
        <v>967</v>
      </c>
      <c r="B681" s="76" t="s">
        <v>459</v>
      </c>
      <c r="C681" s="16" t="s">
        <v>1501</v>
      </c>
      <c r="D681" s="16" t="s">
        <v>1490</v>
      </c>
      <c r="E681" s="50">
        <v>50</v>
      </c>
      <c r="F681" s="50">
        <v>0</v>
      </c>
      <c r="G681" s="16">
        <v>1</v>
      </c>
      <c r="H681" s="16" t="s">
        <v>1023</v>
      </c>
      <c r="I681" s="16" t="s">
        <v>1016</v>
      </c>
      <c r="J681" s="16" t="s">
        <v>2382</v>
      </c>
      <c r="K681" s="16">
        <v>50</v>
      </c>
      <c r="L681" s="16">
        <v>50</v>
      </c>
      <c r="M681" s="64"/>
      <c r="N681" s="64"/>
      <c r="O681" s="49" t="str">
        <f t="shared" si="101"/>
        <v>YES</v>
      </c>
      <c r="P681" s="157"/>
      <c r="Q681" s="53">
        <f t="shared" si="94"/>
        <v>5000</v>
      </c>
      <c r="R681" s="54">
        <f t="shared" si="95"/>
        <v>2500</v>
      </c>
      <c r="S681" s="55" t="str">
        <f t="shared" si="96"/>
        <v xml:space="preserve"> </v>
      </c>
      <c r="T681" s="100"/>
      <c r="U681" s="57" t="str">
        <f t="shared" si="97"/>
        <v>100µg/100cm²</v>
      </c>
      <c r="V681" s="58">
        <f t="shared" si="98"/>
        <v>2500</v>
      </c>
      <c r="W681" s="58" t="str">
        <f t="shared" si="99"/>
        <v xml:space="preserve"> </v>
      </c>
      <c r="X681" s="59" t="str">
        <f t="shared" si="100"/>
        <v/>
      </c>
      <c r="Y681" s="158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82"/>
      <c r="AV681" s="82"/>
      <c r="AW681" s="82"/>
      <c r="AX681" s="64"/>
      <c r="AY681" s="16" t="s">
        <v>675</v>
      </c>
      <c r="AZ681" s="16" t="s">
        <v>675</v>
      </c>
      <c r="BA681" s="16" t="s">
        <v>675</v>
      </c>
      <c r="BB681" s="16" t="s">
        <v>675</v>
      </c>
      <c r="BC681" s="64"/>
      <c r="BD681" s="64"/>
      <c r="BE681" s="64"/>
      <c r="BF681" s="64"/>
      <c r="BG681" s="64"/>
      <c r="BH681" s="64"/>
      <c r="BI681" s="64"/>
      <c r="BJ681" s="64"/>
      <c r="BK681" s="64"/>
      <c r="BL681" s="64"/>
      <c r="BM681" s="64"/>
      <c r="BN681" s="64"/>
      <c r="BO681" s="64"/>
      <c r="BP681" s="64"/>
      <c r="BQ681" s="64"/>
      <c r="BR681" s="64"/>
      <c r="BS681" s="64"/>
      <c r="BT681" s="65"/>
    </row>
    <row r="682" spans="1:72" ht="18" hidden="1" customHeight="1" x14ac:dyDescent="0.3">
      <c r="A682" s="81" t="s">
        <v>968</v>
      </c>
      <c r="B682" s="76" t="s">
        <v>459</v>
      </c>
      <c r="C682" s="16" t="s">
        <v>1501</v>
      </c>
      <c r="D682" s="16" t="s">
        <v>1490</v>
      </c>
      <c r="E682" s="50">
        <v>50</v>
      </c>
      <c r="F682" s="50">
        <v>0</v>
      </c>
      <c r="G682" s="16">
        <v>1</v>
      </c>
      <c r="H682" s="16" t="s">
        <v>1023</v>
      </c>
      <c r="I682" s="16" t="s">
        <v>1016</v>
      </c>
      <c r="J682" s="16" t="s">
        <v>2382</v>
      </c>
      <c r="K682" s="16">
        <v>50</v>
      </c>
      <c r="L682" s="16">
        <v>50</v>
      </c>
      <c r="M682" s="64"/>
      <c r="N682" s="64"/>
      <c r="O682" s="49" t="str">
        <f t="shared" si="101"/>
        <v>YES</v>
      </c>
      <c r="P682" s="157"/>
      <c r="Q682" s="53">
        <f t="shared" si="94"/>
        <v>5000</v>
      </c>
      <c r="R682" s="54">
        <f t="shared" si="95"/>
        <v>2500</v>
      </c>
      <c r="S682" s="55" t="str">
        <f t="shared" si="96"/>
        <v xml:space="preserve"> </v>
      </c>
      <c r="T682" s="100"/>
      <c r="U682" s="57" t="str">
        <f t="shared" si="97"/>
        <v>100µg/100cm²</v>
      </c>
      <c r="V682" s="58">
        <f t="shared" si="98"/>
        <v>2500</v>
      </c>
      <c r="W682" s="58" t="str">
        <f t="shared" si="99"/>
        <v xml:space="preserve"> </v>
      </c>
      <c r="X682" s="59" t="str">
        <f t="shared" si="100"/>
        <v/>
      </c>
      <c r="Y682" s="158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82"/>
      <c r="AV682" s="82"/>
      <c r="AW682" s="82"/>
      <c r="AX682" s="64"/>
      <c r="AY682" s="16" t="s">
        <v>675</v>
      </c>
      <c r="AZ682" s="16" t="s">
        <v>675</v>
      </c>
      <c r="BA682" s="16" t="s">
        <v>675</v>
      </c>
      <c r="BB682" s="16" t="s">
        <v>675</v>
      </c>
      <c r="BC682" s="64"/>
      <c r="BD682" s="64"/>
      <c r="BE682" s="64"/>
      <c r="BF682" s="64"/>
      <c r="BG682" s="64"/>
      <c r="BH682" s="64"/>
      <c r="BI682" s="64"/>
      <c r="BJ682" s="64"/>
      <c r="BK682" s="64"/>
      <c r="BL682" s="64"/>
      <c r="BM682" s="64"/>
      <c r="BN682" s="64"/>
      <c r="BO682" s="64"/>
      <c r="BP682" s="64"/>
      <c r="BQ682" s="64"/>
      <c r="BR682" s="64"/>
      <c r="BS682" s="64"/>
      <c r="BT682" s="65"/>
    </row>
    <row r="683" spans="1:72" ht="18" hidden="1" customHeight="1" x14ac:dyDescent="0.3">
      <c r="A683" s="81" t="s">
        <v>969</v>
      </c>
      <c r="B683" s="76" t="s">
        <v>459</v>
      </c>
      <c r="C683" s="16" t="s">
        <v>1501</v>
      </c>
      <c r="D683" s="16" t="s">
        <v>1490</v>
      </c>
      <c r="E683" s="50">
        <v>50</v>
      </c>
      <c r="F683" s="50">
        <v>0</v>
      </c>
      <c r="G683" s="16">
        <v>1</v>
      </c>
      <c r="H683" s="16" t="s">
        <v>1023</v>
      </c>
      <c r="I683" s="16" t="s">
        <v>1016</v>
      </c>
      <c r="J683" s="16" t="s">
        <v>2382</v>
      </c>
      <c r="K683" s="16">
        <v>50</v>
      </c>
      <c r="L683" s="16">
        <v>50</v>
      </c>
      <c r="M683" s="64"/>
      <c r="N683" s="64"/>
      <c r="O683" s="49" t="str">
        <f t="shared" si="101"/>
        <v>YES</v>
      </c>
      <c r="P683" s="157"/>
      <c r="Q683" s="53">
        <f t="shared" si="94"/>
        <v>5000</v>
      </c>
      <c r="R683" s="54">
        <f t="shared" si="95"/>
        <v>2500</v>
      </c>
      <c r="S683" s="55" t="str">
        <f t="shared" si="96"/>
        <v xml:space="preserve"> </v>
      </c>
      <c r="T683" s="100"/>
      <c r="U683" s="57" t="str">
        <f t="shared" si="97"/>
        <v>100µg/100cm²</v>
      </c>
      <c r="V683" s="58">
        <f t="shared" si="98"/>
        <v>2500</v>
      </c>
      <c r="W683" s="58" t="str">
        <f t="shared" si="99"/>
        <v xml:space="preserve"> </v>
      </c>
      <c r="X683" s="59" t="str">
        <f t="shared" si="100"/>
        <v/>
      </c>
      <c r="Y683" s="158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82"/>
      <c r="AV683" s="82"/>
      <c r="AW683" s="82"/>
      <c r="AX683" s="64"/>
      <c r="AY683" s="16" t="s">
        <v>675</v>
      </c>
      <c r="AZ683" s="16" t="s">
        <v>675</v>
      </c>
      <c r="BA683" s="16" t="s">
        <v>675</v>
      </c>
      <c r="BB683" s="16" t="s">
        <v>675</v>
      </c>
      <c r="BC683" s="64"/>
      <c r="BD683" s="64"/>
      <c r="BE683" s="64"/>
      <c r="BF683" s="64"/>
      <c r="BG683" s="64"/>
      <c r="BH683" s="64"/>
      <c r="BI683" s="64"/>
      <c r="BJ683" s="64"/>
      <c r="BK683" s="64"/>
      <c r="BL683" s="64"/>
      <c r="BM683" s="64"/>
      <c r="BN683" s="64"/>
      <c r="BO683" s="64"/>
      <c r="BP683" s="64"/>
      <c r="BQ683" s="64"/>
      <c r="BR683" s="64"/>
      <c r="BS683" s="64"/>
      <c r="BT683" s="65"/>
    </row>
    <row r="684" spans="1:72" ht="18" hidden="1" customHeight="1" x14ac:dyDescent="0.3">
      <c r="A684" s="81" t="s">
        <v>970</v>
      </c>
      <c r="B684" s="76" t="s">
        <v>459</v>
      </c>
      <c r="C684" s="16" t="s">
        <v>1501</v>
      </c>
      <c r="D684" s="16" t="s">
        <v>1490</v>
      </c>
      <c r="E684" s="50">
        <v>50</v>
      </c>
      <c r="F684" s="50">
        <v>0</v>
      </c>
      <c r="G684" s="16">
        <v>1</v>
      </c>
      <c r="H684" s="16" t="s">
        <v>1023</v>
      </c>
      <c r="I684" s="16" t="s">
        <v>1016</v>
      </c>
      <c r="J684" s="16" t="s">
        <v>2382</v>
      </c>
      <c r="K684" s="16">
        <v>50</v>
      </c>
      <c r="L684" s="16">
        <v>50</v>
      </c>
      <c r="M684" s="64"/>
      <c r="N684" s="64"/>
      <c r="O684" s="49" t="str">
        <f t="shared" si="101"/>
        <v>YES</v>
      </c>
      <c r="P684" s="157"/>
      <c r="Q684" s="53">
        <f t="shared" si="94"/>
        <v>5000</v>
      </c>
      <c r="R684" s="54">
        <f t="shared" si="95"/>
        <v>2500</v>
      </c>
      <c r="S684" s="55" t="str">
        <f t="shared" si="96"/>
        <v xml:space="preserve"> </v>
      </c>
      <c r="T684" s="100"/>
      <c r="U684" s="57" t="str">
        <f t="shared" si="97"/>
        <v>100µg/100cm²</v>
      </c>
      <c r="V684" s="58">
        <f t="shared" si="98"/>
        <v>2500</v>
      </c>
      <c r="W684" s="58" t="str">
        <f t="shared" si="99"/>
        <v xml:space="preserve"> </v>
      </c>
      <c r="X684" s="59" t="str">
        <f t="shared" si="100"/>
        <v/>
      </c>
      <c r="Y684" s="158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82"/>
      <c r="AV684" s="82"/>
      <c r="AW684" s="82"/>
      <c r="AX684" s="64"/>
      <c r="AY684" s="16" t="s">
        <v>675</v>
      </c>
      <c r="AZ684" s="16" t="s">
        <v>675</v>
      </c>
      <c r="BA684" s="16" t="s">
        <v>675</v>
      </c>
      <c r="BB684" s="16" t="s">
        <v>675</v>
      </c>
      <c r="BC684" s="64"/>
      <c r="BD684" s="64"/>
      <c r="BE684" s="64"/>
      <c r="BF684" s="64"/>
      <c r="BG684" s="64"/>
      <c r="BH684" s="64"/>
      <c r="BI684" s="64"/>
      <c r="BJ684" s="64"/>
      <c r="BK684" s="64"/>
      <c r="BL684" s="64"/>
      <c r="BM684" s="64"/>
      <c r="BN684" s="64"/>
      <c r="BO684" s="64"/>
      <c r="BP684" s="64"/>
      <c r="BQ684" s="64"/>
      <c r="BR684" s="64"/>
      <c r="BS684" s="64"/>
      <c r="BT684" s="65"/>
    </row>
    <row r="685" spans="1:72" ht="18" hidden="1" customHeight="1" x14ac:dyDescent="0.3">
      <c r="A685" s="81" t="s">
        <v>971</v>
      </c>
      <c r="B685" s="76" t="s">
        <v>459</v>
      </c>
      <c r="C685" s="16" t="s">
        <v>1501</v>
      </c>
      <c r="D685" s="16" t="s">
        <v>1490</v>
      </c>
      <c r="E685" s="50">
        <v>50</v>
      </c>
      <c r="F685" s="50">
        <v>0</v>
      </c>
      <c r="G685" s="16">
        <v>1</v>
      </c>
      <c r="H685" s="16" t="s">
        <v>1023</v>
      </c>
      <c r="I685" s="16" t="s">
        <v>1016</v>
      </c>
      <c r="J685" s="16" t="s">
        <v>2382</v>
      </c>
      <c r="K685" s="16">
        <v>50</v>
      </c>
      <c r="L685" s="16">
        <v>50</v>
      </c>
      <c r="M685" s="64"/>
      <c r="N685" s="64"/>
      <c r="O685" s="49" t="str">
        <f t="shared" si="101"/>
        <v>YES</v>
      </c>
      <c r="P685" s="157"/>
      <c r="Q685" s="53">
        <f t="shared" si="94"/>
        <v>5000</v>
      </c>
      <c r="R685" s="54">
        <f t="shared" si="95"/>
        <v>2500</v>
      </c>
      <c r="S685" s="55" t="str">
        <f t="shared" si="96"/>
        <v xml:space="preserve"> </v>
      </c>
      <c r="T685" s="100"/>
      <c r="U685" s="57" t="str">
        <f t="shared" si="97"/>
        <v>100µg/100cm²</v>
      </c>
      <c r="V685" s="58">
        <f t="shared" si="98"/>
        <v>2500</v>
      </c>
      <c r="W685" s="58" t="str">
        <f t="shared" si="99"/>
        <v xml:space="preserve"> </v>
      </c>
      <c r="X685" s="59" t="str">
        <f t="shared" si="100"/>
        <v/>
      </c>
      <c r="Y685" s="158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82"/>
      <c r="AV685" s="82"/>
      <c r="AW685" s="82"/>
      <c r="AX685" s="64"/>
      <c r="AY685" s="16" t="s">
        <v>675</v>
      </c>
      <c r="AZ685" s="16" t="s">
        <v>675</v>
      </c>
      <c r="BA685" s="16" t="s">
        <v>675</v>
      </c>
      <c r="BB685" s="16" t="s">
        <v>675</v>
      </c>
      <c r="BC685" s="64"/>
      <c r="BD685" s="64"/>
      <c r="BE685" s="64"/>
      <c r="BF685" s="64"/>
      <c r="BG685" s="64"/>
      <c r="BH685" s="64"/>
      <c r="BI685" s="64"/>
      <c r="BJ685" s="64"/>
      <c r="BK685" s="64"/>
      <c r="BL685" s="64"/>
      <c r="BM685" s="64"/>
      <c r="BN685" s="64"/>
      <c r="BO685" s="64"/>
      <c r="BP685" s="64"/>
      <c r="BQ685" s="64"/>
      <c r="BR685" s="64"/>
      <c r="BS685" s="64"/>
      <c r="BT685" s="65"/>
    </row>
    <row r="686" spans="1:72" ht="18" hidden="1" customHeight="1" x14ac:dyDescent="0.3">
      <c r="A686" s="81" t="s">
        <v>972</v>
      </c>
      <c r="B686" s="76" t="s">
        <v>459</v>
      </c>
      <c r="C686" s="16" t="s">
        <v>1501</v>
      </c>
      <c r="D686" s="16" t="s">
        <v>1490</v>
      </c>
      <c r="E686" s="50">
        <v>50</v>
      </c>
      <c r="F686" s="50">
        <v>0</v>
      </c>
      <c r="G686" s="16">
        <v>1</v>
      </c>
      <c r="H686" s="16" t="s">
        <v>1023</v>
      </c>
      <c r="I686" s="16" t="s">
        <v>1016</v>
      </c>
      <c r="J686" s="16" t="s">
        <v>2382</v>
      </c>
      <c r="K686" s="16">
        <v>50</v>
      </c>
      <c r="L686" s="16">
        <v>50</v>
      </c>
      <c r="M686" s="64"/>
      <c r="N686" s="64"/>
      <c r="O686" s="49" t="str">
        <f t="shared" si="101"/>
        <v>YES</v>
      </c>
      <c r="P686" s="157"/>
      <c r="Q686" s="53">
        <f t="shared" si="94"/>
        <v>5000</v>
      </c>
      <c r="R686" s="54">
        <f t="shared" si="95"/>
        <v>2500</v>
      </c>
      <c r="S686" s="55" t="str">
        <f t="shared" si="96"/>
        <v xml:space="preserve"> </v>
      </c>
      <c r="T686" s="100"/>
      <c r="U686" s="57" t="str">
        <f t="shared" si="97"/>
        <v>100µg/100cm²</v>
      </c>
      <c r="V686" s="58">
        <f t="shared" si="98"/>
        <v>2500</v>
      </c>
      <c r="W686" s="58" t="str">
        <f t="shared" si="99"/>
        <v xml:space="preserve"> </v>
      </c>
      <c r="X686" s="59" t="str">
        <f t="shared" si="100"/>
        <v/>
      </c>
      <c r="Y686" s="158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82"/>
      <c r="AV686" s="82"/>
      <c r="AW686" s="82"/>
      <c r="AX686" s="64"/>
      <c r="AY686" s="16" t="s">
        <v>675</v>
      </c>
      <c r="AZ686" s="16" t="s">
        <v>675</v>
      </c>
      <c r="BA686" s="16" t="s">
        <v>675</v>
      </c>
      <c r="BB686" s="16" t="s">
        <v>675</v>
      </c>
      <c r="BC686" s="64"/>
      <c r="BD686" s="64"/>
      <c r="BE686" s="64"/>
      <c r="BF686" s="64"/>
      <c r="BG686" s="64"/>
      <c r="BH686" s="64"/>
      <c r="BI686" s="64"/>
      <c r="BJ686" s="64"/>
      <c r="BK686" s="64"/>
      <c r="BL686" s="64"/>
      <c r="BM686" s="64"/>
      <c r="BN686" s="64"/>
      <c r="BO686" s="64"/>
      <c r="BP686" s="64"/>
      <c r="BQ686" s="64"/>
      <c r="BR686" s="64"/>
      <c r="BS686" s="64"/>
      <c r="BT686" s="65"/>
    </row>
    <row r="687" spans="1:72" ht="18" hidden="1" customHeight="1" x14ac:dyDescent="0.3">
      <c r="A687" s="81" t="s">
        <v>973</v>
      </c>
      <c r="B687" s="76" t="s">
        <v>459</v>
      </c>
      <c r="C687" s="16" t="s">
        <v>1501</v>
      </c>
      <c r="D687" s="16" t="s">
        <v>1490</v>
      </c>
      <c r="E687" s="50">
        <v>50</v>
      </c>
      <c r="F687" s="50">
        <v>0</v>
      </c>
      <c r="G687" s="16">
        <v>1</v>
      </c>
      <c r="H687" s="16" t="s">
        <v>1023</v>
      </c>
      <c r="I687" s="16" t="s">
        <v>1016</v>
      </c>
      <c r="J687" s="16" t="s">
        <v>2382</v>
      </c>
      <c r="K687" s="16">
        <v>50</v>
      </c>
      <c r="L687" s="16">
        <v>50</v>
      </c>
      <c r="M687" s="64"/>
      <c r="N687" s="64"/>
      <c r="O687" s="49" t="str">
        <f t="shared" si="101"/>
        <v>YES</v>
      </c>
      <c r="P687" s="157"/>
      <c r="Q687" s="53">
        <f t="shared" si="94"/>
        <v>5000</v>
      </c>
      <c r="R687" s="54">
        <f t="shared" si="95"/>
        <v>2500</v>
      </c>
      <c r="S687" s="55" t="str">
        <f t="shared" si="96"/>
        <v xml:space="preserve"> </v>
      </c>
      <c r="T687" s="100"/>
      <c r="U687" s="57" t="str">
        <f t="shared" si="97"/>
        <v>100µg/100cm²</v>
      </c>
      <c r="V687" s="58">
        <f t="shared" si="98"/>
        <v>2500</v>
      </c>
      <c r="W687" s="58" t="str">
        <f t="shared" si="99"/>
        <v xml:space="preserve"> </v>
      </c>
      <c r="X687" s="59" t="str">
        <f t="shared" si="100"/>
        <v/>
      </c>
      <c r="Y687" s="158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  <c r="AU687" s="82"/>
      <c r="AV687" s="82"/>
      <c r="AW687" s="82"/>
      <c r="AX687" s="64"/>
      <c r="AY687" s="16" t="s">
        <v>675</v>
      </c>
      <c r="AZ687" s="16" t="s">
        <v>675</v>
      </c>
      <c r="BA687" s="16" t="s">
        <v>675</v>
      </c>
      <c r="BB687" s="16" t="s">
        <v>675</v>
      </c>
      <c r="BC687" s="64"/>
      <c r="BD687" s="64"/>
      <c r="BE687" s="64"/>
      <c r="BF687" s="64"/>
      <c r="BG687" s="64"/>
      <c r="BH687" s="64"/>
      <c r="BI687" s="64"/>
      <c r="BJ687" s="64"/>
      <c r="BK687" s="64"/>
      <c r="BL687" s="64"/>
      <c r="BM687" s="64"/>
      <c r="BN687" s="64"/>
      <c r="BO687" s="64"/>
      <c r="BP687" s="64"/>
      <c r="BQ687" s="64"/>
      <c r="BR687" s="64"/>
      <c r="BS687" s="64"/>
      <c r="BT687" s="65"/>
    </row>
    <row r="688" spans="1:72" ht="18" hidden="1" customHeight="1" x14ac:dyDescent="0.3">
      <c r="A688" s="81" t="s">
        <v>974</v>
      </c>
      <c r="B688" s="76" t="s">
        <v>459</v>
      </c>
      <c r="C688" s="16" t="s">
        <v>1501</v>
      </c>
      <c r="D688" s="16" t="s">
        <v>1490</v>
      </c>
      <c r="E688" s="50">
        <v>50</v>
      </c>
      <c r="F688" s="50">
        <v>0</v>
      </c>
      <c r="G688" s="16">
        <v>1</v>
      </c>
      <c r="H688" s="16" t="s">
        <v>1023</v>
      </c>
      <c r="I688" s="16" t="s">
        <v>1016</v>
      </c>
      <c r="J688" s="16" t="s">
        <v>2382</v>
      </c>
      <c r="K688" s="16">
        <v>50</v>
      </c>
      <c r="L688" s="16">
        <v>50</v>
      </c>
      <c r="M688" s="64"/>
      <c r="N688" s="64"/>
      <c r="O688" s="49" t="str">
        <f t="shared" si="101"/>
        <v>YES</v>
      </c>
      <c r="P688" s="157"/>
      <c r="Q688" s="53">
        <f t="shared" si="94"/>
        <v>5000</v>
      </c>
      <c r="R688" s="54">
        <f t="shared" si="95"/>
        <v>2500</v>
      </c>
      <c r="S688" s="55" t="str">
        <f t="shared" si="96"/>
        <v xml:space="preserve"> </v>
      </c>
      <c r="T688" s="100"/>
      <c r="U688" s="57" t="str">
        <f t="shared" si="97"/>
        <v>100µg/100cm²</v>
      </c>
      <c r="V688" s="58">
        <f t="shared" si="98"/>
        <v>2500</v>
      </c>
      <c r="W688" s="58" t="str">
        <f t="shared" si="99"/>
        <v xml:space="preserve"> </v>
      </c>
      <c r="X688" s="59" t="str">
        <f t="shared" si="100"/>
        <v/>
      </c>
      <c r="Y688" s="158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82"/>
      <c r="AV688" s="82"/>
      <c r="AW688" s="82"/>
      <c r="AX688" s="64"/>
      <c r="AY688" s="16" t="s">
        <v>675</v>
      </c>
      <c r="AZ688" s="16" t="s">
        <v>675</v>
      </c>
      <c r="BA688" s="16" t="s">
        <v>675</v>
      </c>
      <c r="BB688" s="16" t="s">
        <v>675</v>
      </c>
      <c r="BC688" s="64"/>
      <c r="BD688" s="64"/>
      <c r="BE688" s="64"/>
      <c r="BF688" s="64"/>
      <c r="BG688" s="64"/>
      <c r="BH688" s="64"/>
      <c r="BI688" s="64"/>
      <c r="BJ688" s="64"/>
      <c r="BK688" s="64"/>
      <c r="BL688" s="64"/>
      <c r="BM688" s="64"/>
      <c r="BN688" s="64"/>
      <c r="BO688" s="64"/>
      <c r="BP688" s="64"/>
      <c r="BQ688" s="64"/>
      <c r="BR688" s="64"/>
      <c r="BS688" s="64"/>
      <c r="BT688" s="65"/>
    </row>
    <row r="689" spans="1:72" ht="18" hidden="1" customHeight="1" x14ac:dyDescent="0.3">
      <c r="A689" s="81" t="s">
        <v>975</v>
      </c>
      <c r="B689" s="76" t="s">
        <v>459</v>
      </c>
      <c r="C689" s="16" t="s">
        <v>1501</v>
      </c>
      <c r="D689" s="16" t="s">
        <v>1490</v>
      </c>
      <c r="E689" s="50">
        <v>50</v>
      </c>
      <c r="F689" s="50">
        <v>0</v>
      </c>
      <c r="G689" s="16">
        <v>1</v>
      </c>
      <c r="H689" s="16" t="s">
        <v>1023</v>
      </c>
      <c r="I689" s="16" t="s">
        <v>1016</v>
      </c>
      <c r="J689" s="16" t="s">
        <v>2382</v>
      </c>
      <c r="K689" s="16">
        <v>50</v>
      </c>
      <c r="L689" s="16">
        <v>50</v>
      </c>
      <c r="M689" s="64"/>
      <c r="N689" s="64"/>
      <c r="O689" s="49" t="str">
        <f t="shared" si="101"/>
        <v>YES</v>
      </c>
      <c r="P689" s="157"/>
      <c r="Q689" s="53">
        <f t="shared" si="94"/>
        <v>5000</v>
      </c>
      <c r="R689" s="54">
        <f t="shared" si="95"/>
        <v>2500</v>
      </c>
      <c r="S689" s="55" t="str">
        <f t="shared" si="96"/>
        <v xml:space="preserve"> </v>
      </c>
      <c r="T689" s="100"/>
      <c r="U689" s="57" t="str">
        <f t="shared" si="97"/>
        <v>100µg/100cm²</v>
      </c>
      <c r="V689" s="58">
        <f t="shared" si="98"/>
        <v>2500</v>
      </c>
      <c r="W689" s="58" t="str">
        <f t="shared" si="99"/>
        <v xml:space="preserve"> </v>
      </c>
      <c r="X689" s="59" t="str">
        <f t="shared" si="100"/>
        <v/>
      </c>
      <c r="Y689" s="158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82"/>
      <c r="AV689" s="82"/>
      <c r="AW689" s="82"/>
      <c r="AX689" s="64"/>
      <c r="AY689" s="16" t="s">
        <v>675</v>
      </c>
      <c r="AZ689" s="16" t="s">
        <v>675</v>
      </c>
      <c r="BA689" s="16" t="s">
        <v>675</v>
      </c>
      <c r="BB689" s="16" t="s">
        <v>675</v>
      </c>
      <c r="BC689" s="64"/>
      <c r="BD689" s="64"/>
      <c r="BE689" s="64"/>
      <c r="BF689" s="64"/>
      <c r="BG689" s="64"/>
      <c r="BH689" s="64"/>
      <c r="BI689" s="64"/>
      <c r="BJ689" s="64"/>
      <c r="BK689" s="64"/>
      <c r="BL689" s="64"/>
      <c r="BM689" s="64"/>
      <c r="BN689" s="64"/>
      <c r="BO689" s="64"/>
      <c r="BP689" s="64"/>
      <c r="BQ689" s="64"/>
      <c r="BR689" s="64"/>
      <c r="BS689" s="64"/>
      <c r="BT689" s="65"/>
    </row>
    <row r="690" spans="1:72" ht="18" hidden="1" customHeight="1" x14ac:dyDescent="0.3">
      <c r="A690" s="90" t="s">
        <v>2313</v>
      </c>
      <c r="B690" s="49" t="s">
        <v>2314</v>
      </c>
      <c r="C690" s="48" t="s">
        <v>2344</v>
      </c>
      <c r="D690" s="16" t="s">
        <v>1073</v>
      </c>
      <c r="E690" s="50">
        <v>43.4</v>
      </c>
      <c r="F690" s="50">
        <v>0</v>
      </c>
      <c r="G690" s="16">
        <v>4</v>
      </c>
      <c r="H690" s="16">
        <v>20</v>
      </c>
      <c r="I690" s="179" t="s">
        <v>2247</v>
      </c>
      <c r="J690" s="16" t="s">
        <v>2315</v>
      </c>
      <c r="K690" s="49">
        <v>25</v>
      </c>
      <c r="L690" s="49">
        <v>225</v>
      </c>
      <c r="M690" s="49" t="s">
        <v>1027</v>
      </c>
      <c r="N690" s="64"/>
      <c r="O690" s="49" t="str">
        <f t="shared" si="101"/>
        <v>YES</v>
      </c>
      <c r="P690" s="159"/>
      <c r="Q690" s="53">
        <f t="shared" si="94"/>
        <v>4562.5</v>
      </c>
      <c r="R690" s="54">
        <f t="shared" si="95"/>
        <v>1980.1</v>
      </c>
      <c r="S690" s="55" t="str">
        <f t="shared" si="96"/>
        <v xml:space="preserve"> </v>
      </c>
      <c r="T690" s="163"/>
      <c r="U690" s="57" t="str">
        <f t="shared" si="97"/>
        <v>100µg/100cm²</v>
      </c>
      <c r="V690" s="58">
        <f t="shared" si="98"/>
        <v>1980.1</v>
      </c>
      <c r="W690" s="57" t="str">
        <f t="shared" si="99"/>
        <v xml:space="preserve"> </v>
      </c>
      <c r="X690" s="59" t="str">
        <f t="shared" si="100"/>
        <v/>
      </c>
      <c r="Y690" s="159"/>
      <c r="Z690" s="16" t="s">
        <v>1987</v>
      </c>
      <c r="AA690" s="16" t="s">
        <v>1987</v>
      </c>
      <c r="AB690" s="16" t="s">
        <v>1987</v>
      </c>
      <c r="AC690" s="16" t="s">
        <v>1987</v>
      </c>
      <c r="AD690" s="16" t="s">
        <v>1987</v>
      </c>
      <c r="AE690" s="16" t="s">
        <v>1987</v>
      </c>
      <c r="AF690" s="16" t="s">
        <v>1987</v>
      </c>
      <c r="AG690" s="16" t="s">
        <v>1987</v>
      </c>
      <c r="AH690" s="16" t="s">
        <v>1987</v>
      </c>
      <c r="AI690" s="16" t="s">
        <v>1987</v>
      </c>
      <c r="AJ690" s="16" t="s">
        <v>1987</v>
      </c>
      <c r="AK690" s="16" t="s">
        <v>1987</v>
      </c>
      <c r="AL690" s="16" t="s">
        <v>1987</v>
      </c>
      <c r="AM690" s="16" t="s">
        <v>1987</v>
      </c>
      <c r="AN690" s="16" t="s">
        <v>1987</v>
      </c>
      <c r="AO690" s="16" t="s">
        <v>1987</v>
      </c>
      <c r="AP690" s="16" t="s">
        <v>1987</v>
      </c>
      <c r="AQ690" s="16" t="s">
        <v>1987</v>
      </c>
      <c r="AR690" s="16" t="s">
        <v>1987</v>
      </c>
      <c r="AS690" s="16" t="s">
        <v>1987</v>
      </c>
      <c r="AT690" s="16" t="s">
        <v>1987</v>
      </c>
      <c r="AU690" s="16" t="s">
        <v>1987</v>
      </c>
      <c r="AV690" s="16" t="s">
        <v>1987</v>
      </c>
      <c r="AW690" s="16" t="s">
        <v>1987</v>
      </c>
      <c r="AX690" s="16" t="s">
        <v>1987</v>
      </c>
      <c r="AY690" s="16" t="s">
        <v>1987</v>
      </c>
      <c r="AZ690" s="16" t="s">
        <v>1987</v>
      </c>
      <c r="BA690" s="16" t="s">
        <v>1987</v>
      </c>
      <c r="BB690" s="16" t="s">
        <v>1987</v>
      </c>
      <c r="BC690" s="16" t="s">
        <v>1987</v>
      </c>
      <c r="BD690" s="16" t="s">
        <v>1987</v>
      </c>
      <c r="BE690" s="16" t="s">
        <v>1987</v>
      </c>
      <c r="BF690" s="16" t="s">
        <v>1987</v>
      </c>
      <c r="BG690" s="16" t="s">
        <v>1987</v>
      </c>
      <c r="BH690" s="16" t="s">
        <v>1987</v>
      </c>
      <c r="BI690" s="16" t="s">
        <v>1987</v>
      </c>
      <c r="BJ690" s="16" t="s">
        <v>1987</v>
      </c>
      <c r="BK690" s="16" t="s">
        <v>1987</v>
      </c>
      <c r="BL690" s="16" t="s">
        <v>1987</v>
      </c>
      <c r="BM690" s="16" t="s">
        <v>1987</v>
      </c>
      <c r="BN690" s="16" t="s">
        <v>1987</v>
      </c>
      <c r="BO690" s="16" t="s">
        <v>1987</v>
      </c>
      <c r="BP690" s="16" t="s">
        <v>1987</v>
      </c>
      <c r="BQ690" s="16" t="s">
        <v>1987</v>
      </c>
      <c r="BR690" s="16" t="s">
        <v>1987</v>
      </c>
      <c r="BS690" s="16" t="s">
        <v>1987</v>
      </c>
      <c r="BT690" s="16" t="s">
        <v>1987</v>
      </c>
    </row>
    <row r="691" spans="1:72" ht="18" hidden="1" customHeight="1" x14ac:dyDescent="0.3">
      <c r="A691" s="47" t="s">
        <v>1847</v>
      </c>
      <c r="B691" s="48" t="s">
        <v>210</v>
      </c>
      <c r="C691" s="16" t="s">
        <v>2133</v>
      </c>
      <c r="D691" s="49" t="s">
        <v>1243</v>
      </c>
      <c r="E691" s="50">
        <v>42.11</v>
      </c>
      <c r="F691" s="50">
        <v>0</v>
      </c>
      <c r="G691" s="61">
        <v>1</v>
      </c>
      <c r="H691" s="16">
        <v>2000</v>
      </c>
      <c r="I691" s="48" t="s">
        <v>1048</v>
      </c>
      <c r="J691" s="16" t="s">
        <v>2386</v>
      </c>
      <c r="K691" s="49">
        <v>50</v>
      </c>
      <c r="L691" s="49">
        <v>50</v>
      </c>
      <c r="M691" s="64"/>
      <c r="N691" s="64"/>
      <c r="O691" s="49" t="str">
        <f t="shared" si="101"/>
        <v>YES</v>
      </c>
      <c r="P691" s="157"/>
      <c r="Q691" s="53">
        <f t="shared" si="94"/>
        <v>5000</v>
      </c>
      <c r="R691" s="54">
        <f t="shared" si="95"/>
        <v>2105.5</v>
      </c>
      <c r="S691" s="55" t="str">
        <f t="shared" si="96"/>
        <v xml:space="preserve"> </v>
      </c>
      <c r="T691" s="100"/>
      <c r="U691" s="57" t="str">
        <f t="shared" si="97"/>
        <v>100µg/100cm²</v>
      </c>
      <c r="V691" s="58">
        <f t="shared" si="98"/>
        <v>2105.5</v>
      </c>
      <c r="W691" s="58" t="str">
        <f t="shared" si="99"/>
        <v xml:space="preserve"> </v>
      </c>
      <c r="X691" s="59" t="str">
        <f t="shared" si="100"/>
        <v/>
      </c>
      <c r="Y691" s="158"/>
      <c r="Z691" s="64"/>
      <c r="AA691" s="64"/>
      <c r="AB691" s="64"/>
      <c r="AC691" s="64"/>
      <c r="AD691" s="64"/>
      <c r="AE691" s="16" t="s">
        <v>675</v>
      </c>
      <c r="AF691" s="16" t="s">
        <v>675</v>
      </c>
      <c r="AG691" s="64"/>
      <c r="AH691" s="16" t="s">
        <v>675</v>
      </c>
      <c r="AI691" s="64"/>
      <c r="AJ691" s="64"/>
      <c r="AK691" s="16" t="s">
        <v>675</v>
      </c>
      <c r="AL691" s="16" t="s">
        <v>675</v>
      </c>
      <c r="AM691" s="16" t="s">
        <v>675</v>
      </c>
      <c r="AN691" s="64"/>
      <c r="AO691" s="16" t="s">
        <v>675</v>
      </c>
      <c r="AP691" s="16" t="s">
        <v>675</v>
      </c>
      <c r="AQ691" s="64"/>
      <c r="AR691" s="64"/>
      <c r="AS691" s="16" t="s">
        <v>675</v>
      </c>
      <c r="AT691" s="64"/>
      <c r="AU691" s="16" t="s">
        <v>675</v>
      </c>
      <c r="AV691" s="16" t="s">
        <v>675</v>
      </c>
      <c r="AW691" s="16" t="s">
        <v>675</v>
      </c>
      <c r="AX691" s="16" t="s">
        <v>675</v>
      </c>
      <c r="AY691" s="64"/>
      <c r="AZ691" s="64"/>
      <c r="BA691" s="64"/>
      <c r="BB691" s="64"/>
      <c r="BC691" s="16" t="s">
        <v>675</v>
      </c>
      <c r="BD691" s="64"/>
      <c r="BE691" s="64"/>
      <c r="BF691" s="64"/>
      <c r="BG691" s="64"/>
      <c r="BH691" s="64"/>
      <c r="BI691" s="64"/>
      <c r="BJ691" s="64"/>
      <c r="BK691" s="64"/>
      <c r="BL691" s="64"/>
      <c r="BM691" s="64"/>
      <c r="BN691" s="64"/>
      <c r="BO691" s="64"/>
      <c r="BP691" s="64"/>
      <c r="BQ691" s="64"/>
      <c r="BR691" s="64"/>
      <c r="BS691" s="64"/>
      <c r="BT691" s="65"/>
    </row>
    <row r="692" spans="1:72" ht="18" hidden="1" customHeight="1" x14ac:dyDescent="0.3">
      <c r="A692" s="66" t="s">
        <v>422</v>
      </c>
      <c r="B692" s="49" t="s">
        <v>423</v>
      </c>
      <c r="C692" s="67" t="s">
        <v>1442</v>
      </c>
      <c r="D692" s="67" t="s">
        <v>1104</v>
      </c>
      <c r="E692" s="50">
        <v>61</v>
      </c>
      <c r="F692" s="50">
        <v>0</v>
      </c>
      <c r="G692" s="61">
        <v>7</v>
      </c>
      <c r="H692" s="68" t="s">
        <v>1250</v>
      </c>
      <c r="I692" s="48" t="s">
        <v>1189</v>
      </c>
      <c r="J692" s="16" t="s">
        <v>2386</v>
      </c>
      <c r="K692" s="49">
        <v>50</v>
      </c>
      <c r="L692" s="49">
        <v>50</v>
      </c>
      <c r="M692" s="64"/>
      <c r="N692" s="64"/>
      <c r="O692" s="49" t="str">
        <f t="shared" si="101"/>
        <v>YES</v>
      </c>
      <c r="P692" s="157"/>
      <c r="Q692" s="53">
        <f t="shared" si="94"/>
        <v>5000</v>
      </c>
      <c r="R692" s="54">
        <f t="shared" si="95"/>
        <v>3050</v>
      </c>
      <c r="S692" s="55" t="str">
        <f t="shared" si="96"/>
        <v xml:space="preserve"> </v>
      </c>
      <c r="T692" s="100"/>
      <c r="U692" s="57" t="str">
        <f t="shared" si="97"/>
        <v>100µg/100cm²</v>
      </c>
      <c r="V692" s="58">
        <f t="shared" si="98"/>
        <v>3050</v>
      </c>
      <c r="W692" s="58" t="str">
        <f t="shared" si="99"/>
        <v xml:space="preserve"> </v>
      </c>
      <c r="X692" s="59" t="str">
        <f t="shared" si="100"/>
        <v/>
      </c>
      <c r="Y692" s="158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16" t="s">
        <v>675</v>
      </c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/>
      <c r="BD692" s="64"/>
      <c r="BE692" s="64"/>
      <c r="BF692" s="64"/>
      <c r="BG692" s="64"/>
      <c r="BH692" s="64"/>
      <c r="BI692" s="64"/>
      <c r="BJ692" s="64"/>
      <c r="BK692" s="64"/>
      <c r="BL692" s="64"/>
      <c r="BM692" s="64"/>
      <c r="BN692" s="64"/>
      <c r="BO692" s="64"/>
      <c r="BP692" s="64"/>
      <c r="BQ692" s="64"/>
      <c r="BR692" s="64"/>
      <c r="BS692" s="64"/>
      <c r="BT692" s="65"/>
    </row>
    <row r="693" spans="1:72" ht="18" customHeight="1" x14ac:dyDescent="0.3">
      <c r="A693" s="77" t="s">
        <v>742</v>
      </c>
      <c r="B693" s="70" t="s">
        <v>542</v>
      </c>
      <c r="C693" s="79" t="s">
        <v>1330</v>
      </c>
      <c r="D693" s="79" t="s">
        <v>1011</v>
      </c>
      <c r="E693" s="50">
        <v>0</v>
      </c>
      <c r="F693" s="50">
        <v>0</v>
      </c>
      <c r="G693" s="61">
        <v>1</v>
      </c>
      <c r="H693" s="16" t="s">
        <v>1023</v>
      </c>
      <c r="I693" s="48" t="s">
        <v>1016</v>
      </c>
      <c r="J693" s="16" t="s">
        <v>1331</v>
      </c>
      <c r="K693" s="62">
        <v>1.5</v>
      </c>
      <c r="L693" s="62">
        <v>1.5</v>
      </c>
      <c r="M693" s="62" t="s">
        <v>1036</v>
      </c>
      <c r="N693" s="51"/>
      <c r="O693" s="49" t="str">
        <f t="shared" si="101"/>
        <v>YES</v>
      </c>
      <c r="P693" s="157"/>
      <c r="Q693" s="53">
        <f t="shared" si="94"/>
        <v>273.7</v>
      </c>
      <c r="R693" s="54" t="str">
        <f t="shared" si="95"/>
        <v xml:space="preserve"> </v>
      </c>
      <c r="S693" s="55" t="str">
        <f t="shared" si="96"/>
        <v xml:space="preserve"> </v>
      </c>
      <c r="T693" s="100"/>
      <c r="U693" s="57" t="str">
        <f t="shared" si="97"/>
        <v xml:space="preserve"> </v>
      </c>
      <c r="V693" s="58" t="str">
        <f t="shared" si="98"/>
        <v xml:space="preserve"> </v>
      </c>
      <c r="W693" s="58" t="str">
        <f t="shared" si="99"/>
        <v xml:space="preserve"> </v>
      </c>
      <c r="X693" s="59" t="str">
        <f t="shared" si="100"/>
        <v>Mitigation</v>
      </c>
      <c r="Y693" s="158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16" t="s">
        <v>675</v>
      </c>
      <c r="AK693" s="64"/>
      <c r="AL693" s="64"/>
      <c r="AM693" s="16" t="s">
        <v>675</v>
      </c>
      <c r="AN693" s="64"/>
      <c r="AO693" s="64"/>
      <c r="AP693" s="64"/>
      <c r="AQ693" s="64"/>
      <c r="AR693" s="64"/>
      <c r="AS693" s="16" t="s">
        <v>675</v>
      </c>
      <c r="AT693" s="64"/>
      <c r="AU693" s="64"/>
      <c r="AV693" s="64"/>
      <c r="AW693" s="64"/>
      <c r="AX693" s="64"/>
      <c r="AY693" s="64"/>
      <c r="AZ693" s="64"/>
      <c r="BA693" s="64"/>
      <c r="BB693" s="64"/>
      <c r="BC693" s="64"/>
      <c r="BD693" s="64"/>
      <c r="BE693" s="64"/>
      <c r="BF693" s="64"/>
      <c r="BG693" s="64"/>
      <c r="BH693" s="64"/>
      <c r="BI693" s="64"/>
      <c r="BJ693" s="64"/>
      <c r="BK693" s="64"/>
      <c r="BL693" s="64"/>
      <c r="BM693" s="64"/>
      <c r="BN693" s="64"/>
      <c r="BO693" s="64"/>
      <c r="BP693" s="64"/>
      <c r="BQ693" s="64"/>
      <c r="BR693" s="64"/>
      <c r="BS693" s="64"/>
      <c r="BT693" s="65"/>
    </row>
    <row r="694" spans="1:72" ht="18" customHeight="1" x14ac:dyDescent="0.3">
      <c r="A694" s="47" t="s">
        <v>1666</v>
      </c>
      <c r="B694" s="48" t="s">
        <v>1667</v>
      </c>
      <c r="C694" s="49" t="s">
        <v>2224</v>
      </c>
      <c r="D694" s="16" t="s">
        <v>1808</v>
      </c>
      <c r="E694" s="50">
        <v>0</v>
      </c>
      <c r="F694" s="50">
        <v>0</v>
      </c>
      <c r="G694" s="61">
        <v>7</v>
      </c>
      <c r="H694" s="16" t="s">
        <v>1211</v>
      </c>
      <c r="I694" s="70" t="s">
        <v>1474</v>
      </c>
      <c r="J694" s="16" t="s">
        <v>1668</v>
      </c>
      <c r="K694" s="49">
        <v>1320</v>
      </c>
      <c r="L694" s="49">
        <v>1320</v>
      </c>
      <c r="M694" s="49" t="s">
        <v>1107</v>
      </c>
      <c r="N694" s="49" t="s">
        <v>1669</v>
      </c>
      <c r="O694" s="49" t="str">
        <f t="shared" si="101"/>
        <v>NO</v>
      </c>
      <c r="P694" s="159"/>
      <c r="Q694" s="53">
        <f t="shared" si="94"/>
        <v>1320</v>
      </c>
      <c r="R694" s="54" t="str">
        <f t="shared" si="95"/>
        <v xml:space="preserve"> </v>
      </c>
      <c r="S694" s="55" t="str">
        <f t="shared" si="96"/>
        <v xml:space="preserve"> </v>
      </c>
      <c r="T694" s="100"/>
      <c r="U694" s="57" t="str">
        <f t="shared" si="97"/>
        <v xml:space="preserve"> </v>
      </c>
      <c r="V694" s="58" t="str">
        <f t="shared" si="98"/>
        <v xml:space="preserve"> </v>
      </c>
      <c r="W694" s="58" t="str">
        <f t="shared" si="99"/>
        <v xml:space="preserve"> </v>
      </c>
      <c r="X694" s="59" t="str">
        <f t="shared" si="100"/>
        <v>Mitigation</v>
      </c>
      <c r="Y694" s="158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16" t="s">
        <v>675</v>
      </c>
      <c r="AK694" s="64"/>
      <c r="AL694" s="64"/>
      <c r="AM694" s="16" t="s">
        <v>675</v>
      </c>
      <c r="AN694" s="64"/>
      <c r="AO694" s="64"/>
      <c r="AP694" s="64"/>
      <c r="AQ694" s="64"/>
      <c r="AR694" s="64"/>
      <c r="AS694" s="64"/>
      <c r="AT694" s="16" t="s">
        <v>675</v>
      </c>
      <c r="AU694" s="64"/>
      <c r="AV694" s="64"/>
      <c r="AW694" s="64"/>
      <c r="AX694" s="64"/>
      <c r="AY694" s="64"/>
      <c r="AZ694" s="64"/>
      <c r="BA694" s="64"/>
      <c r="BB694" s="64"/>
      <c r="BC694" s="16" t="s">
        <v>675</v>
      </c>
      <c r="BD694" s="64"/>
      <c r="BE694" s="64"/>
      <c r="BF694" s="64"/>
      <c r="BG694" s="64"/>
      <c r="BH694" s="64"/>
      <c r="BI694" s="64"/>
      <c r="BJ694" s="64"/>
      <c r="BK694" s="64"/>
      <c r="BL694" s="64"/>
      <c r="BM694" s="64"/>
      <c r="BN694" s="64"/>
      <c r="BO694" s="64"/>
      <c r="BP694" s="64"/>
      <c r="BQ694" s="64"/>
      <c r="BR694" s="64"/>
      <c r="BS694" s="64"/>
      <c r="BT694" s="65"/>
    </row>
    <row r="695" spans="1:72" ht="18" hidden="1" customHeight="1" x14ac:dyDescent="0.3">
      <c r="A695" s="66" t="s">
        <v>436</v>
      </c>
      <c r="B695" s="16" t="s">
        <v>1577</v>
      </c>
      <c r="C695" s="16" t="s">
        <v>1576</v>
      </c>
      <c r="D695" s="16" t="s">
        <v>1578</v>
      </c>
      <c r="E695" s="50">
        <v>53.61</v>
      </c>
      <c r="F695" s="50">
        <v>0</v>
      </c>
      <c r="G695" s="16">
        <v>2</v>
      </c>
      <c r="H695" s="80" t="s">
        <v>1892</v>
      </c>
      <c r="I695" s="16" t="s">
        <v>1016</v>
      </c>
      <c r="J695" s="16" t="s">
        <v>2025</v>
      </c>
      <c r="K695" s="16" t="s">
        <v>2027</v>
      </c>
      <c r="L695" s="16" t="s">
        <v>2027</v>
      </c>
      <c r="M695" s="64"/>
      <c r="N695" s="64"/>
      <c r="O695" s="16" t="s">
        <v>2027</v>
      </c>
      <c r="P695" s="157"/>
      <c r="Q695" s="53" t="str">
        <f t="shared" si="94"/>
        <v>Pending</v>
      </c>
      <c r="R695" s="54" t="str">
        <f t="shared" si="95"/>
        <v>Pending</v>
      </c>
      <c r="S695" s="55" t="str">
        <f t="shared" si="96"/>
        <v>Pending</v>
      </c>
      <c r="T695" s="100"/>
      <c r="U695" s="57" t="str">
        <f t="shared" si="97"/>
        <v>Pending</v>
      </c>
      <c r="V695" s="58" t="str">
        <f t="shared" si="98"/>
        <v>Pending</v>
      </c>
      <c r="W695" s="57" t="str">
        <f t="shared" si="99"/>
        <v>Pending</v>
      </c>
      <c r="X695" s="59" t="str">
        <f t="shared" si="100"/>
        <v/>
      </c>
      <c r="Y695" s="158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16" t="s">
        <v>675</v>
      </c>
      <c r="AS695" s="64"/>
      <c r="AT695" s="64"/>
      <c r="AU695" s="64"/>
      <c r="AV695" s="64"/>
      <c r="AW695" s="64"/>
      <c r="AX695" s="64"/>
      <c r="AY695" s="64"/>
      <c r="AZ695" s="64"/>
      <c r="BA695" s="64"/>
      <c r="BB695" s="64"/>
      <c r="BC695" s="64"/>
      <c r="BD695" s="64"/>
      <c r="BE695" s="64"/>
      <c r="BF695" s="64"/>
      <c r="BG695" s="64"/>
      <c r="BH695" s="64"/>
      <c r="BI695" s="64"/>
      <c r="BJ695" s="64"/>
      <c r="BK695" s="64"/>
      <c r="BL695" s="64"/>
      <c r="BM695" s="64"/>
      <c r="BN695" s="64"/>
      <c r="BO695" s="64"/>
      <c r="BP695" s="64"/>
      <c r="BQ695" s="64"/>
      <c r="BR695" s="64"/>
      <c r="BS695" s="64"/>
      <c r="BT695" s="65"/>
    </row>
    <row r="696" spans="1:72" ht="18" hidden="1" customHeight="1" x14ac:dyDescent="0.3">
      <c r="A696" s="81" t="s">
        <v>976</v>
      </c>
      <c r="B696" s="76" t="s">
        <v>459</v>
      </c>
      <c r="C696" s="16" t="s">
        <v>1502</v>
      </c>
      <c r="D696" s="16" t="s">
        <v>1484</v>
      </c>
      <c r="E696" s="50">
        <v>50</v>
      </c>
      <c r="F696" s="50">
        <v>0</v>
      </c>
      <c r="G696" s="16">
        <v>1</v>
      </c>
      <c r="H696" s="16" t="s">
        <v>1023</v>
      </c>
      <c r="I696" s="16" t="s">
        <v>1016</v>
      </c>
      <c r="J696" s="16" t="s">
        <v>2382</v>
      </c>
      <c r="K696" s="16">
        <v>50</v>
      </c>
      <c r="L696" s="16">
        <v>50</v>
      </c>
      <c r="M696" s="64"/>
      <c r="N696" s="64"/>
      <c r="O696" s="49" t="str">
        <f t="shared" ref="O696:O708" si="102">IF(AND(ISBLANK(K696),ISBLANK(N696))," ",IF(ISBLANK(N696),"YES","NO"))</f>
        <v>YES</v>
      </c>
      <c r="P696" s="157"/>
      <c r="Q696" s="53">
        <f t="shared" si="94"/>
        <v>5000</v>
      </c>
      <c r="R696" s="54">
        <f t="shared" si="95"/>
        <v>2500</v>
      </c>
      <c r="S696" s="55" t="str">
        <f t="shared" si="96"/>
        <v xml:space="preserve"> </v>
      </c>
      <c r="T696" s="100"/>
      <c r="U696" s="57" t="str">
        <f t="shared" si="97"/>
        <v>100µg/100cm²</v>
      </c>
      <c r="V696" s="58">
        <f t="shared" si="98"/>
        <v>2500</v>
      </c>
      <c r="W696" s="58" t="str">
        <f t="shared" si="99"/>
        <v xml:space="preserve"> </v>
      </c>
      <c r="X696" s="59" t="str">
        <f t="shared" si="100"/>
        <v/>
      </c>
      <c r="Y696" s="158"/>
      <c r="Z696" s="64"/>
      <c r="AA696" s="64"/>
      <c r="AB696" s="64"/>
      <c r="AC696" s="64"/>
      <c r="AD696" s="64"/>
      <c r="AE696" s="16" t="s">
        <v>675</v>
      </c>
      <c r="AF696" s="64"/>
      <c r="AG696" s="64"/>
      <c r="AH696" s="64"/>
      <c r="AI696" s="64"/>
      <c r="AJ696" s="64"/>
      <c r="AK696" s="64"/>
      <c r="AL696" s="64"/>
      <c r="AM696" s="16" t="s">
        <v>675</v>
      </c>
      <c r="AN696" s="64"/>
      <c r="AO696" s="64"/>
      <c r="AP696" s="64"/>
      <c r="AQ696" s="64"/>
      <c r="AR696" s="64"/>
      <c r="AS696" s="64"/>
      <c r="AT696" s="64"/>
      <c r="AU696" s="83" t="s">
        <v>675</v>
      </c>
      <c r="AV696" s="83" t="s">
        <v>675</v>
      </c>
      <c r="AW696" s="16" t="s">
        <v>675</v>
      </c>
      <c r="AX696" s="64"/>
      <c r="AY696" s="64"/>
      <c r="AZ696" s="64"/>
      <c r="BA696" s="64"/>
      <c r="BB696" s="64"/>
      <c r="BC696" s="64"/>
      <c r="BD696" s="64"/>
      <c r="BE696" s="64"/>
      <c r="BF696" s="64"/>
      <c r="BG696" s="64"/>
      <c r="BH696" s="64"/>
      <c r="BI696" s="64"/>
      <c r="BJ696" s="64"/>
      <c r="BK696" s="64"/>
      <c r="BL696" s="64"/>
      <c r="BM696" s="64"/>
      <c r="BN696" s="64"/>
      <c r="BO696" s="64"/>
      <c r="BP696" s="64"/>
      <c r="BQ696" s="64"/>
      <c r="BR696" s="64"/>
      <c r="BS696" s="64"/>
      <c r="BT696" s="65"/>
    </row>
    <row r="697" spans="1:72" ht="18" hidden="1" customHeight="1" x14ac:dyDescent="0.3">
      <c r="A697" s="47" t="s">
        <v>721</v>
      </c>
      <c r="B697" s="48" t="s">
        <v>722</v>
      </c>
      <c r="C697" s="49" t="s">
        <v>1194</v>
      </c>
      <c r="D697" s="49" t="s">
        <v>1195</v>
      </c>
      <c r="E697" s="50">
        <v>88.15</v>
      </c>
      <c r="F697" s="50">
        <v>0</v>
      </c>
      <c r="G697" s="61">
        <v>7</v>
      </c>
      <c r="H697" s="16">
        <v>9.4999999999999998E-3</v>
      </c>
      <c r="I697" s="48" t="s">
        <v>1189</v>
      </c>
      <c r="J697" s="16" t="s">
        <v>1237</v>
      </c>
      <c r="K697" s="49">
        <v>5</v>
      </c>
      <c r="L697" s="49">
        <v>5</v>
      </c>
      <c r="M697" s="62" t="s">
        <v>1033</v>
      </c>
      <c r="N697" s="62" t="s">
        <v>1043</v>
      </c>
      <c r="O697" s="49" t="str">
        <f t="shared" si="102"/>
        <v>NO</v>
      </c>
      <c r="P697" s="157"/>
      <c r="Q697" s="53">
        <f t="shared" si="94"/>
        <v>5</v>
      </c>
      <c r="R697" s="54">
        <f t="shared" si="95"/>
        <v>4.4000000000000004</v>
      </c>
      <c r="S697" s="55" t="str">
        <f t="shared" si="96"/>
        <v xml:space="preserve"> </v>
      </c>
      <c r="T697" s="100"/>
      <c r="U697" s="57" t="str">
        <f t="shared" si="97"/>
        <v>Mitigation</v>
      </c>
      <c r="V697" s="58">
        <f t="shared" si="98"/>
        <v>4.4000000000000004</v>
      </c>
      <c r="W697" s="58" t="str">
        <f t="shared" si="99"/>
        <v xml:space="preserve"> </v>
      </c>
      <c r="X697" s="59" t="str">
        <f t="shared" si="100"/>
        <v/>
      </c>
      <c r="Y697" s="158"/>
      <c r="Z697" s="64"/>
      <c r="AA697" s="64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  <c r="BD697" s="65"/>
      <c r="BE697" s="65"/>
      <c r="BF697" s="65"/>
      <c r="BG697" s="65"/>
      <c r="BH697" s="65"/>
      <c r="BI697" s="65"/>
      <c r="BJ697" s="65"/>
      <c r="BK697" s="65"/>
      <c r="BL697" s="65"/>
      <c r="BM697" s="65"/>
      <c r="BN697" s="65"/>
      <c r="BO697" s="65"/>
      <c r="BP697" s="65"/>
      <c r="BQ697" s="65"/>
      <c r="BR697" s="65"/>
      <c r="BS697" s="65"/>
      <c r="BT697" s="65"/>
    </row>
    <row r="698" spans="1:72" ht="18" hidden="1" customHeight="1" x14ac:dyDescent="0.3">
      <c r="A698" s="81" t="s">
        <v>479</v>
      </c>
      <c r="B698" s="99" t="s">
        <v>459</v>
      </c>
      <c r="C698" s="16" t="s">
        <v>1499</v>
      </c>
      <c r="D698" s="16" t="s">
        <v>1496</v>
      </c>
      <c r="E698" s="50">
        <v>15</v>
      </c>
      <c r="F698" s="50">
        <v>0</v>
      </c>
      <c r="G698" s="16">
        <v>7</v>
      </c>
      <c r="H698" s="16" t="s">
        <v>1428</v>
      </c>
      <c r="I698" s="48" t="s">
        <v>1016</v>
      </c>
      <c r="J698" s="16" t="s">
        <v>2382</v>
      </c>
      <c r="K698" s="16">
        <v>50</v>
      </c>
      <c r="L698" s="16">
        <v>50</v>
      </c>
      <c r="M698" s="64"/>
      <c r="N698" s="64"/>
      <c r="O698" s="49" t="str">
        <f t="shared" si="102"/>
        <v>YES</v>
      </c>
      <c r="P698" s="157"/>
      <c r="Q698" s="53">
        <f t="shared" si="94"/>
        <v>5000</v>
      </c>
      <c r="R698" s="54">
        <f t="shared" si="95"/>
        <v>750</v>
      </c>
      <c r="S698" s="55" t="str">
        <f t="shared" si="96"/>
        <v xml:space="preserve"> </v>
      </c>
      <c r="T698" s="100"/>
      <c r="U698" s="57" t="str">
        <f t="shared" si="97"/>
        <v>100µg/100cm²</v>
      </c>
      <c r="V698" s="58">
        <f t="shared" si="98"/>
        <v>750</v>
      </c>
      <c r="W698" s="58" t="str">
        <f t="shared" si="99"/>
        <v xml:space="preserve"> </v>
      </c>
      <c r="X698" s="59" t="str">
        <f t="shared" si="100"/>
        <v/>
      </c>
      <c r="Y698" s="158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16" t="s">
        <v>675</v>
      </c>
      <c r="AT698" s="64"/>
      <c r="AU698" s="64"/>
      <c r="AV698" s="64"/>
      <c r="AW698" s="64"/>
      <c r="AX698" s="64"/>
      <c r="AY698" s="64"/>
      <c r="AZ698" s="64"/>
      <c r="BA698" s="64"/>
      <c r="BB698" s="64"/>
      <c r="BC698" s="64"/>
      <c r="BD698" s="64"/>
      <c r="BE698" s="64"/>
      <c r="BF698" s="64"/>
      <c r="BG698" s="64"/>
      <c r="BH698" s="64"/>
      <c r="BI698" s="64"/>
      <c r="BJ698" s="64"/>
      <c r="BK698" s="64"/>
      <c r="BL698" s="64"/>
      <c r="BM698" s="64"/>
      <c r="BN698" s="64"/>
      <c r="BO698" s="64"/>
      <c r="BP698" s="64"/>
      <c r="BQ698" s="64"/>
      <c r="BR698" s="64"/>
      <c r="BS698" s="64"/>
      <c r="BT698" s="65"/>
    </row>
    <row r="699" spans="1:72" ht="18" hidden="1" customHeight="1" x14ac:dyDescent="0.3">
      <c r="A699" s="98" t="s">
        <v>585</v>
      </c>
      <c r="B699" s="99" t="s">
        <v>459</v>
      </c>
      <c r="C699" s="16" t="s">
        <v>1499</v>
      </c>
      <c r="D699" s="16" t="s">
        <v>1496</v>
      </c>
      <c r="E699" s="50">
        <v>50</v>
      </c>
      <c r="F699" s="50">
        <v>0</v>
      </c>
      <c r="G699" s="87">
        <v>7</v>
      </c>
      <c r="H699" s="16" t="s">
        <v>1023</v>
      </c>
      <c r="I699" s="16" t="s">
        <v>1016</v>
      </c>
      <c r="J699" s="16" t="s">
        <v>2382</v>
      </c>
      <c r="K699" s="16">
        <v>50</v>
      </c>
      <c r="L699" s="16">
        <v>50</v>
      </c>
      <c r="M699" s="64"/>
      <c r="N699" s="64"/>
      <c r="O699" s="49" t="str">
        <f t="shared" si="102"/>
        <v>YES</v>
      </c>
      <c r="P699" s="157"/>
      <c r="Q699" s="53">
        <f t="shared" si="94"/>
        <v>5000</v>
      </c>
      <c r="R699" s="54">
        <f t="shared" si="95"/>
        <v>2500</v>
      </c>
      <c r="S699" s="55" t="str">
        <f t="shared" si="96"/>
        <v xml:space="preserve"> </v>
      </c>
      <c r="T699" s="100"/>
      <c r="U699" s="57" t="str">
        <f t="shared" si="97"/>
        <v>100µg/100cm²</v>
      </c>
      <c r="V699" s="58">
        <f t="shared" si="98"/>
        <v>2500</v>
      </c>
      <c r="W699" s="58" t="str">
        <f t="shared" si="99"/>
        <v xml:space="preserve"> </v>
      </c>
      <c r="X699" s="59" t="str">
        <f t="shared" si="100"/>
        <v/>
      </c>
      <c r="Y699" s="158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16" t="s">
        <v>675</v>
      </c>
      <c r="AT699" s="64"/>
      <c r="AU699" s="64"/>
      <c r="AV699" s="64"/>
      <c r="AW699" s="64"/>
      <c r="AX699" s="64"/>
      <c r="AY699" s="64"/>
      <c r="AZ699" s="64"/>
      <c r="BA699" s="64"/>
      <c r="BB699" s="64"/>
      <c r="BC699" s="64"/>
      <c r="BD699" s="64"/>
      <c r="BE699" s="64"/>
      <c r="BF699" s="64"/>
      <c r="BG699" s="64"/>
      <c r="BH699" s="64"/>
      <c r="BI699" s="64"/>
      <c r="BJ699" s="64"/>
      <c r="BK699" s="64"/>
      <c r="BL699" s="64"/>
      <c r="BM699" s="64"/>
      <c r="BN699" s="64"/>
      <c r="BO699" s="64"/>
      <c r="BP699" s="64"/>
      <c r="BQ699" s="64"/>
      <c r="BR699" s="64"/>
      <c r="BS699" s="64"/>
      <c r="BT699" s="65"/>
    </row>
    <row r="700" spans="1:72" ht="18" hidden="1" customHeight="1" x14ac:dyDescent="0.3">
      <c r="A700" s="81" t="s">
        <v>480</v>
      </c>
      <c r="B700" s="99" t="s">
        <v>459</v>
      </c>
      <c r="C700" s="16" t="s">
        <v>1975</v>
      </c>
      <c r="D700" s="16" t="s">
        <v>1981</v>
      </c>
      <c r="E700" s="50">
        <v>50</v>
      </c>
      <c r="F700" s="50">
        <v>0</v>
      </c>
      <c r="G700" s="16">
        <v>1</v>
      </c>
      <c r="H700" s="16" t="s">
        <v>1023</v>
      </c>
      <c r="I700" s="16" t="s">
        <v>1016</v>
      </c>
      <c r="J700" s="16" t="s">
        <v>2382</v>
      </c>
      <c r="K700" s="16">
        <v>50</v>
      </c>
      <c r="L700" s="16">
        <v>50</v>
      </c>
      <c r="M700" s="64"/>
      <c r="N700" s="64"/>
      <c r="O700" s="49" t="str">
        <f t="shared" si="102"/>
        <v>YES</v>
      </c>
      <c r="P700" s="157"/>
      <c r="Q700" s="53">
        <f t="shared" si="94"/>
        <v>5000</v>
      </c>
      <c r="R700" s="54">
        <f t="shared" si="95"/>
        <v>2500</v>
      </c>
      <c r="S700" s="55" t="str">
        <f t="shared" si="96"/>
        <v xml:space="preserve"> </v>
      </c>
      <c r="T700" s="100"/>
      <c r="U700" s="57" t="str">
        <f t="shared" si="97"/>
        <v>100µg/100cm²</v>
      </c>
      <c r="V700" s="58">
        <f t="shared" si="98"/>
        <v>2500</v>
      </c>
      <c r="W700" s="58" t="str">
        <f t="shared" si="99"/>
        <v xml:space="preserve"> </v>
      </c>
      <c r="X700" s="59" t="str">
        <f t="shared" si="100"/>
        <v/>
      </c>
      <c r="Y700" s="158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16" t="s">
        <v>675</v>
      </c>
      <c r="AT700" s="64"/>
      <c r="AU700" s="64"/>
      <c r="AV700" s="64"/>
      <c r="AW700" s="64"/>
      <c r="AX700" s="64"/>
      <c r="AY700" s="64"/>
      <c r="AZ700" s="64"/>
      <c r="BA700" s="64"/>
      <c r="BB700" s="64"/>
      <c r="BC700" s="64"/>
      <c r="BD700" s="64"/>
      <c r="BE700" s="64"/>
      <c r="BF700" s="64"/>
      <c r="BG700" s="64"/>
      <c r="BH700" s="64"/>
      <c r="BI700" s="64"/>
      <c r="BJ700" s="64"/>
      <c r="BK700" s="64"/>
      <c r="BL700" s="64"/>
      <c r="BM700" s="64"/>
      <c r="BN700" s="64"/>
      <c r="BO700" s="64"/>
      <c r="BP700" s="64"/>
      <c r="BQ700" s="64"/>
      <c r="BR700" s="64"/>
      <c r="BS700" s="64"/>
      <c r="BT700" s="65"/>
    </row>
    <row r="701" spans="1:72" ht="18" hidden="1" customHeight="1" x14ac:dyDescent="0.3">
      <c r="A701" s="98" t="s">
        <v>481</v>
      </c>
      <c r="B701" s="99" t="s">
        <v>459</v>
      </c>
      <c r="C701" s="16" t="s">
        <v>1975</v>
      </c>
      <c r="D701" s="16" t="s">
        <v>1981</v>
      </c>
      <c r="E701" s="50">
        <v>50</v>
      </c>
      <c r="F701" s="50">
        <v>0</v>
      </c>
      <c r="G701" s="16">
        <v>1</v>
      </c>
      <c r="H701" s="16" t="s">
        <v>1023</v>
      </c>
      <c r="I701" s="16" t="s">
        <v>1016</v>
      </c>
      <c r="J701" s="16" t="s">
        <v>2382</v>
      </c>
      <c r="K701" s="16">
        <v>50</v>
      </c>
      <c r="L701" s="16">
        <v>50</v>
      </c>
      <c r="M701" s="64"/>
      <c r="N701" s="64"/>
      <c r="O701" s="49" t="str">
        <f t="shared" si="102"/>
        <v>YES</v>
      </c>
      <c r="P701" s="157"/>
      <c r="Q701" s="53">
        <f t="shared" si="94"/>
        <v>5000</v>
      </c>
      <c r="R701" s="54">
        <f t="shared" si="95"/>
        <v>2500</v>
      </c>
      <c r="S701" s="55" t="str">
        <f t="shared" si="96"/>
        <v xml:space="preserve"> </v>
      </c>
      <c r="T701" s="100"/>
      <c r="U701" s="57" t="str">
        <f t="shared" si="97"/>
        <v>100µg/100cm²</v>
      </c>
      <c r="V701" s="58">
        <f t="shared" si="98"/>
        <v>2500</v>
      </c>
      <c r="W701" s="58" t="str">
        <f t="shared" si="99"/>
        <v xml:space="preserve"> </v>
      </c>
      <c r="X701" s="59" t="str">
        <f t="shared" si="100"/>
        <v/>
      </c>
      <c r="Y701" s="158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16" t="s">
        <v>675</v>
      </c>
      <c r="AT701" s="64"/>
      <c r="AU701" s="64"/>
      <c r="AV701" s="64"/>
      <c r="AW701" s="64"/>
      <c r="AX701" s="64"/>
      <c r="AY701" s="64"/>
      <c r="AZ701" s="64"/>
      <c r="BA701" s="64"/>
      <c r="BB701" s="64"/>
      <c r="BC701" s="64"/>
      <c r="BD701" s="64"/>
      <c r="BE701" s="111"/>
      <c r="BF701" s="64"/>
      <c r="BG701" s="64"/>
      <c r="BH701" s="64"/>
      <c r="BI701" s="64"/>
      <c r="BJ701" s="64"/>
      <c r="BK701" s="64"/>
      <c r="BL701" s="64"/>
      <c r="BM701" s="64"/>
      <c r="BN701" s="64"/>
      <c r="BO701" s="64"/>
      <c r="BP701" s="64"/>
      <c r="BQ701" s="64"/>
      <c r="BR701" s="64"/>
      <c r="BS701" s="64"/>
      <c r="BT701" s="65"/>
    </row>
    <row r="702" spans="1:72" ht="18" hidden="1" customHeight="1" x14ac:dyDescent="0.3">
      <c r="A702" s="98" t="s">
        <v>482</v>
      </c>
      <c r="B702" s="99" t="s">
        <v>459</v>
      </c>
      <c r="C702" s="16" t="s">
        <v>1975</v>
      </c>
      <c r="D702" s="16" t="s">
        <v>1981</v>
      </c>
      <c r="E702" s="50">
        <v>50</v>
      </c>
      <c r="F702" s="50">
        <v>0</v>
      </c>
      <c r="G702" s="16">
        <v>1</v>
      </c>
      <c r="H702" s="16" t="s">
        <v>1023</v>
      </c>
      <c r="I702" s="16" t="s">
        <v>1016</v>
      </c>
      <c r="J702" s="16" t="s">
        <v>2382</v>
      </c>
      <c r="K702" s="16">
        <v>50</v>
      </c>
      <c r="L702" s="16">
        <v>50</v>
      </c>
      <c r="M702" s="64"/>
      <c r="N702" s="64"/>
      <c r="O702" s="49" t="str">
        <f t="shared" si="102"/>
        <v>YES</v>
      </c>
      <c r="P702" s="157"/>
      <c r="Q702" s="53">
        <f t="shared" si="94"/>
        <v>5000</v>
      </c>
      <c r="R702" s="54">
        <f t="shared" si="95"/>
        <v>2500</v>
      </c>
      <c r="S702" s="55" t="str">
        <f t="shared" si="96"/>
        <v xml:space="preserve"> </v>
      </c>
      <c r="T702" s="100"/>
      <c r="U702" s="57" t="str">
        <f t="shared" si="97"/>
        <v>100µg/100cm²</v>
      </c>
      <c r="V702" s="58">
        <f t="shared" si="98"/>
        <v>2500</v>
      </c>
      <c r="W702" s="58" t="str">
        <f t="shared" si="99"/>
        <v xml:space="preserve"> </v>
      </c>
      <c r="X702" s="59" t="str">
        <f t="shared" si="100"/>
        <v/>
      </c>
      <c r="Y702" s="158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16" t="s">
        <v>675</v>
      </c>
      <c r="AT702" s="64"/>
      <c r="AU702" s="64"/>
      <c r="AV702" s="64"/>
      <c r="AW702" s="64"/>
      <c r="AX702" s="64"/>
      <c r="AY702" s="64"/>
      <c r="AZ702" s="64"/>
      <c r="BA702" s="64"/>
      <c r="BB702" s="64"/>
      <c r="BC702" s="64"/>
      <c r="BD702" s="64"/>
      <c r="BE702" s="64"/>
      <c r="BF702" s="64"/>
      <c r="BG702" s="64"/>
      <c r="BH702" s="64"/>
      <c r="BI702" s="64"/>
      <c r="BJ702" s="64"/>
      <c r="BK702" s="64"/>
      <c r="BL702" s="64"/>
      <c r="BM702" s="64"/>
      <c r="BN702" s="64"/>
      <c r="BO702" s="64"/>
      <c r="BP702" s="64"/>
      <c r="BQ702" s="64"/>
      <c r="BR702" s="64"/>
      <c r="BS702" s="64"/>
      <c r="BT702" s="65"/>
    </row>
    <row r="703" spans="1:72" ht="18" hidden="1" customHeight="1" x14ac:dyDescent="0.3">
      <c r="A703" s="98" t="s">
        <v>483</v>
      </c>
      <c r="B703" s="99" t="s">
        <v>459</v>
      </c>
      <c r="C703" s="16" t="s">
        <v>1499</v>
      </c>
      <c r="D703" s="16" t="s">
        <v>1496</v>
      </c>
      <c r="E703" s="50">
        <v>15</v>
      </c>
      <c r="F703" s="50">
        <v>0</v>
      </c>
      <c r="G703" s="16">
        <v>7</v>
      </c>
      <c r="H703" s="16" t="s">
        <v>1428</v>
      </c>
      <c r="I703" s="48" t="s">
        <v>1016</v>
      </c>
      <c r="J703" s="16" t="s">
        <v>2382</v>
      </c>
      <c r="K703" s="16">
        <v>50</v>
      </c>
      <c r="L703" s="16">
        <v>50</v>
      </c>
      <c r="M703" s="64"/>
      <c r="N703" s="64"/>
      <c r="O703" s="49" t="str">
        <f t="shared" si="102"/>
        <v>YES</v>
      </c>
      <c r="P703" s="157"/>
      <c r="Q703" s="53">
        <f t="shared" si="94"/>
        <v>5000</v>
      </c>
      <c r="R703" s="54">
        <f t="shared" si="95"/>
        <v>750</v>
      </c>
      <c r="S703" s="55" t="str">
        <f t="shared" si="96"/>
        <v xml:space="preserve"> </v>
      </c>
      <c r="T703" s="100"/>
      <c r="U703" s="57" t="str">
        <f t="shared" si="97"/>
        <v>100µg/100cm²</v>
      </c>
      <c r="V703" s="58">
        <f t="shared" si="98"/>
        <v>750</v>
      </c>
      <c r="W703" s="58" t="str">
        <f t="shared" si="99"/>
        <v xml:space="preserve"> </v>
      </c>
      <c r="X703" s="59" t="str">
        <f t="shared" si="100"/>
        <v/>
      </c>
      <c r="Y703" s="158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16" t="s">
        <v>675</v>
      </c>
      <c r="AT703" s="64"/>
      <c r="AU703" s="64"/>
      <c r="AV703" s="64"/>
      <c r="AW703" s="64"/>
      <c r="AX703" s="64"/>
      <c r="AY703" s="64"/>
      <c r="AZ703" s="64"/>
      <c r="BA703" s="64"/>
      <c r="BB703" s="64"/>
      <c r="BC703" s="64"/>
      <c r="BD703" s="64"/>
      <c r="BE703" s="64"/>
      <c r="BF703" s="64"/>
      <c r="BG703" s="64"/>
      <c r="BH703" s="64"/>
      <c r="BI703" s="64"/>
      <c r="BJ703" s="64"/>
      <c r="BK703" s="64"/>
      <c r="BL703" s="64"/>
      <c r="BM703" s="64"/>
      <c r="BN703" s="64"/>
      <c r="BO703" s="64"/>
      <c r="BP703" s="64"/>
      <c r="BQ703" s="64"/>
      <c r="BR703" s="64"/>
      <c r="BS703" s="64"/>
      <c r="BT703" s="65"/>
    </row>
    <row r="704" spans="1:72" ht="18" hidden="1" customHeight="1" x14ac:dyDescent="0.3">
      <c r="A704" s="81" t="s">
        <v>977</v>
      </c>
      <c r="B704" s="76" t="s">
        <v>459</v>
      </c>
      <c r="C704" s="16" t="s">
        <v>1975</v>
      </c>
      <c r="D704" s="16" t="s">
        <v>1981</v>
      </c>
      <c r="E704" s="50">
        <v>50</v>
      </c>
      <c r="F704" s="50">
        <v>0</v>
      </c>
      <c r="G704" s="16">
        <v>1</v>
      </c>
      <c r="H704" s="16" t="s">
        <v>1023</v>
      </c>
      <c r="I704" s="16" t="s">
        <v>1016</v>
      </c>
      <c r="J704" s="16" t="s">
        <v>2382</v>
      </c>
      <c r="K704" s="16">
        <v>50</v>
      </c>
      <c r="L704" s="16">
        <v>50</v>
      </c>
      <c r="M704" s="64"/>
      <c r="N704" s="64"/>
      <c r="O704" s="49" t="str">
        <f t="shared" si="102"/>
        <v>YES</v>
      </c>
      <c r="P704" s="157"/>
      <c r="Q704" s="53">
        <f t="shared" si="94"/>
        <v>5000</v>
      </c>
      <c r="R704" s="54">
        <f t="shared" si="95"/>
        <v>2500</v>
      </c>
      <c r="S704" s="55" t="str">
        <f t="shared" si="96"/>
        <v xml:space="preserve"> </v>
      </c>
      <c r="T704" s="100"/>
      <c r="U704" s="57" t="str">
        <f t="shared" si="97"/>
        <v>100µg/100cm²</v>
      </c>
      <c r="V704" s="58">
        <f t="shared" si="98"/>
        <v>2500</v>
      </c>
      <c r="W704" s="58" t="str">
        <f t="shared" si="99"/>
        <v xml:space="preserve"> </v>
      </c>
      <c r="X704" s="59" t="str">
        <f t="shared" si="100"/>
        <v/>
      </c>
      <c r="Y704" s="158"/>
      <c r="Z704" s="64"/>
      <c r="AA704" s="64"/>
      <c r="AB704" s="64"/>
      <c r="AC704" s="64"/>
      <c r="AD704" s="64"/>
      <c r="AE704" s="16" t="s">
        <v>675</v>
      </c>
      <c r="AF704" s="16" t="s">
        <v>675</v>
      </c>
      <c r="AG704" s="16" t="s">
        <v>675</v>
      </c>
      <c r="AH704" s="64"/>
      <c r="AI704" s="64"/>
      <c r="AJ704" s="64"/>
      <c r="AK704" s="64"/>
      <c r="AL704" s="64"/>
      <c r="AM704" s="16" t="s">
        <v>675</v>
      </c>
      <c r="AN704" s="16" t="s">
        <v>675</v>
      </c>
      <c r="AO704" s="16" t="s">
        <v>675</v>
      </c>
      <c r="AP704" s="16" t="s">
        <v>675</v>
      </c>
      <c r="AQ704" s="16" t="s">
        <v>675</v>
      </c>
      <c r="AR704" s="64"/>
      <c r="AS704" s="64"/>
      <c r="AT704" s="64"/>
      <c r="AU704" s="82"/>
      <c r="AV704" s="82"/>
      <c r="AW704" s="82"/>
      <c r="AX704" s="16" t="s">
        <v>675</v>
      </c>
      <c r="AY704" s="64"/>
      <c r="AZ704" s="64"/>
      <c r="BA704" s="64"/>
      <c r="BB704" s="64"/>
      <c r="BC704" s="64"/>
      <c r="BD704" s="64"/>
      <c r="BE704" s="64"/>
      <c r="BF704" s="64"/>
      <c r="BG704" s="64"/>
      <c r="BH704" s="64"/>
      <c r="BI704" s="64"/>
      <c r="BJ704" s="64"/>
      <c r="BK704" s="64"/>
      <c r="BL704" s="64"/>
      <c r="BM704" s="64"/>
      <c r="BN704" s="64"/>
      <c r="BO704" s="64"/>
      <c r="BP704" s="64"/>
      <c r="BQ704" s="64"/>
      <c r="BR704" s="64"/>
      <c r="BS704" s="64"/>
      <c r="BT704" s="65"/>
    </row>
    <row r="705" spans="1:72" ht="18" hidden="1" customHeight="1" x14ac:dyDescent="0.3">
      <c r="A705" s="81" t="s">
        <v>978</v>
      </c>
      <c r="B705" s="76" t="s">
        <v>459</v>
      </c>
      <c r="C705" s="16" t="s">
        <v>1975</v>
      </c>
      <c r="D705" s="16" t="s">
        <v>1981</v>
      </c>
      <c r="E705" s="50">
        <v>50</v>
      </c>
      <c r="F705" s="50">
        <v>0</v>
      </c>
      <c r="G705" s="16">
        <v>1</v>
      </c>
      <c r="H705" s="16" t="s">
        <v>1023</v>
      </c>
      <c r="I705" s="16" t="s">
        <v>1016</v>
      </c>
      <c r="J705" s="16" t="s">
        <v>2382</v>
      </c>
      <c r="K705" s="16">
        <v>50</v>
      </c>
      <c r="L705" s="16">
        <v>50</v>
      </c>
      <c r="M705" s="64"/>
      <c r="N705" s="64"/>
      <c r="O705" s="49" t="str">
        <f t="shared" si="102"/>
        <v>YES</v>
      </c>
      <c r="P705" s="157"/>
      <c r="Q705" s="53">
        <f t="shared" si="94"/>
        <v>5000</v>
      </c>
      <c r="R705" s="54">
        <f t="shared" si="95"/>
        <v>2500</v>
      </c>
      <c r="S705" s="55" t="str">
        <f t="shared" si="96"/>
        <v xml:space="preserve"> </v>
      </c>
      <c r="T705" s="100"/>
      <c r="U705" s="57" t="str">
        <f t="shared" si="97"/>
        <v>100µg/100cm²</v>
      </c>
      <c r="V705" s="58">
        <f t="shared" si="98"/>
        <v>2500</v>
      </c>
      <c r="W705" s="58" t="str">
        <f t="shared" si="99"/>
        <v xml:space="preserve"> </v>
      </c>
      <c r="X705" s="59" t="str">
        <f t="shared" si="100"/>
        <v/>
      </c>
      <c r="Y705" s="158"/>
      <c r="Z705" s="64"/>
      <c r="AA705" s="64"/>
      <c r="AB705" s="64"/>
      <c r="AC705" s="64"/>
      <c r="AD705" s="64"/>
      <c r="AE705" s="16" t="s">
        <v>675</v>
      </c>
      <c r="AF705" s="64"/>
      <c r="AG705" s="64"/>
      <c r="AH705" s="64"/>
      <c r="AI705" s="64"/>
      <c r="AJ705" s="64"/>
      <c r="AK705" s="64"/>
      <c r="AL705" s="64"/>
      <c r="AM705" s="16" t="s">
        <v>675</v>
      </c>
      <c r="AN705" s="64"/>
      <c r="AO705" s="64"/>
      <c r="AP705" s="64"/>
      <c r="AQ705" s="16" t="s">
        <v>675</v>
      </c>
      <c r="AR705" s="64"/>
      <c r="AS705" s="64"/>
      <c r="AT705" s="64"/>
      <c r="AU705" s="82"/>
      <c r="AV705" s="82"/>
      <c r="AW705" s="82"/>
      <c r="AX705" s="16" t="s">
        <v>675</v>
      </c>
      <c r="AY705" s="64"/>
      <c r="AZ705" s="64"/>
      <c r="BA705" s="64"/>
      <c r="BB705" s="64"/>
      <c r="BC705" s="64"/>
      <c r="BD705" s="64"/>
      <c r="BE705" s="64"/>
      <c r="BF705" s="64"/>
      <c r="BG705" s="64"/>
      <c r="BH705" s="64"/>
      <c r="BI705" s="64"/>
      <c r="BJ705" s="64"/>
      <c r="BK705" s="64"/>
      <c r="BL705" s="64"/>
      <c r="BM705" s="64"/>
      <c r="BN705" s="64"/>
      <c r="BO705" s="64"/>
      <c r="BP705" s="64"/>
      <c r="BQ705" s="64"/>
      <c r="BR705" s="64"/>
      <c r="BS705" s="64"/>
      <c r="BT705" s="65"/>
    </row>
    <row r="706" spans="1:72" ht="18" hidden="1" customHeight="1" x14ac:dyDescent="0.3">
      <c r="A706" s="81" t="s">
        <v>484</v>
      </c>
      <c r="B706" s="76" t="s">
        <v>459</v>
      </c>
      <c r="C706" s="16" t="s">
        <v>1499</v>
      </c>
      <c r="D706" s="16" t="s">
        <v>1496</v>
      </c>
      <c r="E706" s="50">
        <v>15</v>
      </c>
      <c r="F706" s="50">
        <v>0</v>
      </c>
      <c r="G706" s="16">
        <v>7</v>
      </c>
      <c r="H706" s="16" t="s">
        <v>1428</v>
      </c>
      <c r="I706" s="48" t="s">
        <v>1016</v>
      </c>
      <c r="J706" s="16" t="s">
        <v>2382</v>
      </c>
      <c r="K706" s="16">
        <v>50</v>
      </c>
      <c r="L706" s="16">
        <v>50</v>
      </c>
      <c r="M706" s="64"/>
      <c r="N706" s="64"/>
      <c r="O706" s="49" t="str">
        <f t="shared" si="102"/>
        <v>YES</v>
      </c>
      <c r="P706" s="157"/>
      <c r="Q706" s="53">
        <f t="shared" si="94"/>
        <v>5000</v>
      </c>
      <c r="R706" s="54">
        <f t="shared" si="95"/>
        <v>750</v>
      </c>
      <c r="S706" s="55" t="str">
        <f t="shared" si="96"/>
        <v xml:space="preserve"> </v>
      </c>
      <c r="T706" s="100"/>
      <c r="U706" s="57" t="str">
        <f t="shared" si="97"/>
        <v>100µg/100cm²</v>
      </c>
      <c r="V706" s="58">
        <f t="shared" si="98"/>
        <v>750</v>
      </c>
      <c r="W706" s="58" t="str">
        <f t="shared" si="99"/>
        <v xml:space="preserve"> </v>
      </c>
      <c r="X706" s="59" t="str">
        <f t="shared" si="100"/>
        <v/>
      </c>
      <c r="Y706" s="158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16" t="s">
        <v>675</v>
      </c>
      <c r="AT706" s="64"/>
      <c r="AU706" s="82"/>
      <c r="AV706" s="82"/>
      <c r="AW706" s="82"/>
      <c r="AX706" s="64"/>
      <c r="AY706" s="64"/>
      <c r="AZ706" s="64"/>
      <c r="BA706" s="64"/>
      <c r="BB706" s="64"/>
      <c r="BC706" s="64"/>
      <c r="BD706" s="64"/>
      <c r="BE706" s="64"/>
      <c r="BF706" s="64"/>
      <c r="BG706" s="64"/>
      <c r="BH706" s="64"/>
      <c r="BI706" s="64"/>
      <c r="BJ706" s="64"/>
      <c r="BK706" s="64"/>
      <c r="BL706" s="64"/>
      <c r="BM706" s="64"/>
      <c r="BN706" s="64"/>
      <c r="BO706" s="64"/>
      <c r="BP706" s="64"/>
      <c r="BQ706" s="64"/>
      <c r="BR706" s="64"/>
      <c r="BS706" s="64"/>
      <c r="BT706" s="65"/>
    </row>
    <row r="707" spans="1:72" ht="18" hidden="1" customHeight="1" x14ac:dyDescent="0.3">
      <c r="A707" s="81" t="s">
        <v>586</v>
      </c>
      <c r="B707" s="76" t="s">
        <v>459</v>
      </c>
      <c r="C707" s="16" t="s">
        <v>1975</v>
      </c>
      <c r="D707" s="16" t="s">
        <v>1981</v>
      </c>
      <c r="E707" s="50">
        <v>50</v>
      </c>
      <c r="F707" s="50">
        <v>0</v>
      </c>
      <c r="G707" s="16">
        <v>1</v>
      </c>
      <c r="H707" s="16" t="s">
        <v>1023</v>
      </c>
      <c r="I707" s="16" t="s">
        <v>1016</v>
      </c>
      <c r="J707" s="16" t="s">
        <v>2382</v>
      </c>
      <c r="K707" s="16">
        <v>50</v>
      </c>
      <c r="L707" s="16">
        <v>50</v>
      </c>
      <c r="M707" s="64"/>
      <c r="N707" s="64"/>
      <c r="O707" s="49" t="str">
        <f t="shared" si="102"/>
        <v>YES</v>
      </c>
      <c r="P707" s="157"/>
      <c r="Q707" s="53">
        <f t="shared" si="94"/>
        <v>5000</v>
      </c>
      <c r="R707" s="54">
        <f t="shared" si="95"/>
        <v>2500</v>
      </c>
      <c r="S707" s="55" t="str">
        <f t="shared" si="96"/>
        <v xml:space="preserve"> </v>
      </c>
      <c r="T707" s="100"/>
      <c r="U707" s="57" t="str">
        <f t="shared" si="97"/>
        <v>100µg/100cm²</v>
      </c>
      <c r="V707" s="58">
        <f t="shared" si="98"/>
        <v>2500</v>
      </c>
      <c r="W707" s="58" t="str">
        <f t="shared" si="99"/>
        <v xml:space="preserve"> </v>
      </c>
      <c r="X707" s="59" t="str">
        <f t="shared" si="100"/>
        <v/>
      </c>
      <c r="Y707" s="158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16" t="s">
        <v>675</v>
      </c>
      <c r="AT707" s="64"/>
      <c r="AU707" s="82"/>
      <c r="AV707" s="82"/>
      <c r="AW707" s="82"/>
      <c r="AX707" s="64"/>
      <c r="AY707" s="64"/>
      <c r="AZ707" s="64"/>
      <c r="BA707" s="64"/>
      <c r="BB707" s="64"/>
      <c r="BC707" s="64"/>
      <c r="BD707" s="64"/>
      <c r="BE707" s="64"/>
      <c r="BF707" s="64"/>
      <c r="BG707" s="64"/>
      <c r="BH707" s="64"/>
      <c r="BI707" s="64"/>
      <c r="BJ707" s="64"/>
      <c r="BK707" s="64"/>
      <c r="BL707" s="64"/>
      <c r="BM707" s="64"/>
      <c r="BN707" s="64"/>
      <c r="BO707" s="64"/>
      <c r="BP707" s="64"/>
      <c r="BQ707" s="64"/>
      <c r="BR707" s="64"/>
      <c r="BS707" s="64"/>
      <c r="BT707" s="65"/>
    </row>
    <row r="708" spans="1:72" ht="18" hidden="1" customHeight="1" x14ac:dyDescent="0.3">
      <c r="A708" s="47" t="s">
        <v>596</v>
      </c>
      <c r="B708" s="48" t="s">
        <v>597</v>
      </c>
      <c r="C708" s="49" t="s">
        <v>1318</v>
      </c>
      <c r="D708" s="49" t="s">
        <v>1233</v>
      </c>
      <c r="E708" s="50">
        <v>59.63</v>
      </c>
      <c r="F708" s="50">
        <v>0</v>
      </c>
      <c r="G708" s="61">
        <v>3</v>
      </c>
      <c r="H708" s="16">
        <v>100</v>
      </c>
      <c r="I708" s="48" t="s">
        <v>1016</v>
      </c>
      <c r="J708" s="16" t="s">
        <v>1319</v>
      </c>
      <c r="K708" s="62">
        <v>3800</v>
      </c>
      <c r="L708" s="62">
        <v>34000</v>
      </c>
      <c r="M708" s="48" t="s">
        <v>1014</v>
      </c>
      <c r="N708" s="94"/>
      <c r="O708" s="49" t="str">
        <f t="shared" si="102"/>
        <v>YES</v>
      </c>
      <c r="P708" s="157"/>
      <c r="Q708" s="53">
        <f t="shared" si="94"/>
        <v>5000</v>
      </c>
      <c r="R708" s="54">
        <f t="shared" si="95"/>
        <v>2981.5</v>
      </c>
      <c r="S708" s="55" t="str">
        <f t="shared" si="96"/>
        <v xml:space="preserve"> </v>
      </c>
      <c r="T708" s="100"/>
      <c r="U708" s="57" t="str">
        <f t="shared" si="97"/>
        <v>100µg/100cm²</v>
      </c>
      <c r="V708" s="58">
        <f t="shared" si="98"/>
        <v>2981.5</v>
      </c>
      <c r="W708" s="58" t="str">
        <f t="shared" si="99"/>
        <v xml:space="preserve"> </v>
      </c>
      <c r="X708" s="59" t="str">
        <f t="shared" si="100"/>
        <v/>
      </c>
      <c r="Y708" s="158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16" t="s">
        <v>675</v>
      </c>
      <c r="AV708" s="64"/>
      <c r="AW708" s="16" t="s">
        <v>675</v>
      </c>
      <c r="AX708" s="64"/>
      <c r="AY708" s="64"/>
      <c r="AZ708" s="64"/>
      <c r="BA708" s="64"/>
      <c r="BB708" s="64"/>
      <c r="BC708" s="64"/>
      <c r="BD708" s="64"/>
      <c r="BE708" s="64"/>
      <c r="BF708" s="64"/>
      <c r="BG708" s="64"/>
      <c r="BH708" s="64"/>
      <c r="BI708" s="64"/>
      <c r="BJ708" s="64"/>
      <c r="BK708" s="64"/>
      <c r="BL708" s="64"/>
      <c r="BM708" s="64"/>
      <c r="BN708" s="64"/>
      <c r="BO708" s="64"/>
      <c r="BP708" s="64"/>
      <c r="BQ708" s="64"/>
      <c r="BR708" s="64"/>
      <c r="BS708" s="64"/>
      <c r="BT708" s="65"/>
    </row>
    <row r="709" spans="1:72" ht="18" hidden="1" customHeight="1" x14ac:dyDescent="0.3">
      <c r="A709" s="81" t="s">
        <v>986</v>
      </c>
      <c r="B709" s="76" t="s">
        <v>987</v>
      </c>
      <c r="C709" s="16" t="s">
        <v>1643</v>
      </c>
      <c r="D709" s="16" t="s">
        <v>1073</v>
      </c>
      <c r="E709" s="50">
        <v>54.9</v>
      </c>
      <c r="F709" s="50">
        <v>0</v>
      </c>
      <c r="G709" s="16">
        <v>5</v>
      </c>
      <c r="H709" s="16">
        <v>10</v>
      </c>
      <c r="I709" s="16" t="s">
        <v>1016</v>
      </c>
      <c r="J709" s="170" t="s">
        <v>2014</v>
      </c>
      <c r="K709" s="16" t="s">
        <v>2027</v>
      </c>
      <c r="L709" s="16" t="s">
        <v>2027</v>
      </c>
      <c r="M709" s="64"/>
      <c r="N709" s="64"/>
      <c r="O709" s="16" t="s">
        <v>2027</v>
      </c>
      <c r="P709" s="157"/>
      <c r="Q709" s="53" t="str">
        <f t="shared" si="94"/>
        <v>Pending</v>
      </c>
      <c r="R709" s="54" t="str">
        <f t="shared" si="95"/>
        <v>Pending</v>
      </c>
      <c r="S709" s="55" t="str">
        <f t="shared" si="96"/>
        <v>Pending</v>
      </c>
      <c r="T709" s="100"/>
      <c r="U709" s="57" t="str">
        <f t="shared" si="97"/>
        <v>Pending</v>
      </c>
      <c r="V709" s="58" t="str">
        <f t="shared" si="98"/>
        <v>Pending</v>
      </c>
      <c r="W709" s="57" t="str">
        <f t="shared" si="99"/>
        <v>Pending</v>
      </c>
      <c r="X709" s="59" t="str">
        <f t="shared" si="100"/>
        <v/>
      </c>
      <c r="Y709" s="158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82"/>
      <c r="AV709" s="82"/>
      <c r="AW709" s="82"/>
      <c r="AX709" s="64"/>
      <c r="AY709" s="64"/>
      <c r="AZ709" s="64"/>
      <c r="BA709" s="64"/>
      <c r="BB709" s="64"/>
      <c r="BC709" s="64"/>
      <c r="BD709" s="16" t="s">
        <v>675</v>
      </c>
      <c r="BE709" s="64"/>
      <c r="BF709" s="64"/>
      <c r="BG709" s="64"/>
      <c r="BH709" s="64"/>
      <c r="BI709" s="64"/>
      <c r="BJ709" s="64"/>
      <c r="BK709" s="64"/>
      <c r="BL709" s="64"/>
      <c r="BM709" s="64"/>
      <c r="BN709" s="64"/>
      <c r="BO709" s="64"/>
      <c r="BP709" s="64"/>
      <c r="BQ709" s="64"/>
      <c r="BR709" s="64"/>
      <c r="BS709" s="64"/>
      <c r="BT709" s="65"/>
    </row>
    <row r="710" spans="1:72" ht="18" hidden="1" customHeight="1" x14ac:dyDescent="0.3">
      <c r="A710" s="47" t="s">
        <v>1821</v>
      </c>
      <c r="B710" s="48" t="s">
        <v>1696</v>
      </c>
      <c r="C710" s="49" t="s">
        <v>2138</v>
      </c>
      <c r="D710" s="16" t="s">
        <v>1028</v>
      </c>
      <c r="E710" s="50">
        <v>78.400000000000006</v>
      </c>
      <c r="F710" s="50">
        <v>0</v>
      </c>
      <c r="G710" s="61">
        <v>7</v>
      </c>
      <c r="H710" s="160">
        <v>1.9000000000000001E-4</v>
      </c>
      <c r="I710" s="70" t="s">
        <v>1474</v>
      </c>
      <c r="J710" s="16" t="s">
        <v>1697</v>
      </c>
      <c r="K710" s="16">
        <v>400</v>
      </c>
      <c r="L710" s="16">
        <v>3600</v>
      </c>
      <c r="M710" s="16" t="s">
        <v>1014</v>
      </c>
      <c r="N710" s="64"/>
      <c r="O710" s="49" t="str">
        <f t="shared" ref="O710:O742" si="103">IF(AND(ISBLANK(K710),ISBLANK(N710))," ",IF(ISBLANK(N710),"YES","NO"))</f>
        <v>YES</v>
      </c>
      <c r="P710" s="157"/>
      <c r="Q710" s="53">
        <f t="shared" si="94"/>
        <v>5000</v>
      </c>
      <c r="R710" s="54">
        <f t="shared" si="95"/>
        <v>3920</v>
      </c>
      <c r="S710" s="55" t="str">
        <f t="shared" si="96"/>
        <v xml:space="preserve"> </v>
      </c>
      <c r="T710" s="100"/>
      <c r="U710" s="57" t="str">
        <f t="shared" si="97"/>
        <v>100µg/100cm²</v>
      </c>
      <c r="V710" s="58">
        <f t="shared" si="98"/>
        <v>3920</v>
      </c>
      <c r="W710" s="58" t="str">
        <f t="shared" si="99"/>
        <v xml:space="preserve"> </v>
      </c>
      <c r="X710" s="59" t="str">
        <f t="shared" si="100"/>
        <v/>
      </c>
      <c r="Y710" s="158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16" t="s">
        <v>675</v>
      </c>
      <c r="AK710" s="64"/>
      <c r="AL710" s="64"/>
      <c r="AM710" s="16" t="s">
        <v>675</v>
      </c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/>
      <c r="BR710" s="64"/>
      <c r="BS710" s="64"/>
      <c r="BT710" s="65"/>
    </row>
    <row r="711" spans="1:72" ht="18" customHeight="1" x14ac:dyDescent="0.3">
      <c r="A711" s="47" t="s">
        <v>770</v>
      </c>
      <c r="B711" s="48" t="s">
        <v>537</v>
      </c>
      <c r="C711" s="16" t="s">
        <v>2225</v>
      </c>
      <c r="D711" s="49" t="s">
        <v>1114</v>
      </c>
      <c r="E711" s="50">
        <v>0</v>
      </c>
      <c r="F711" s="50">
        <v>0</v>
      </c>
      <c r="G711" s="61">
        <v>1</v>
      </c>
      <c r="H711" s="16">
        <v>1870</v>
      </c>
      <c r="I711" s="48" t="s">
        <v>1196</v>
      </c>
      <c r="J711" s="16" t="s">
        <v>2386</v>
      </c>
      <c r="K711" s="49">
        <v>50</v>
      </c>
      <c r="L711" s="49">
        <v>50</v>
      </c>
      <c r="M711" s="64"/>
      <c r="N711" s="64"/>
      <c r="O711" s="49" t="str">
        <f t="shared" si="103"/>
        <v>YES</v>
      </c>
      <c r="P711" s="157"/>
      <c r="Q711" s="53">
        <f t="shared" si="94"/>
        <v>5000</v>
      </c>
      <c r="R711" s="54" t="str">
        <f t="shared" si="95"/>
        <v xml:space="preserve"> </v>
      </c>
      <c r="S711" s="55" t="str">
        <f t="shared" si="96"/>
        <v xml:space="preserve"> </v>
      </c>
      <c r="T711" s="100"/>
      <c r="U711" s="57" t="str">
        <f t="shared" si="97"/>
        <v xml:space="preserve"> </v>
      </c>
      <c r="V711" s="58" t="str">
        <f t="shared" si="98"/>
        <v xml:space="preserve"> </v>
      </c>
      <c r="W711" s="58" t="str">
        <f t="shared" si="99"/>
        <v xml:space="preserve"> </v>
      </c>
      <c r="X711" s="59" t="str">
        <f t="shared" si="100"/>
        <v>Water criteria (conductivity)</v>
      </c>
      <c r="Y711" s="158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16" t="s">
        <v>675</v>
      </c>
      <c r="AK711" s="64"/>
      <c r="AL711" s="64"/>
      <c r="AM711" s="16" t="s">
        <v>675</v>
      </c>
      <c r="AN711" s="64"/>
      <c r="AO711" s="64"/>
      <c r="AP711" s="64"/>
      <c r="AQ711" s="64"/>
      <c r="AR711" s="64"/>
      <c r="AS711" s="64" t="s">
        <v>675</v>
      </c>
      <c r="AT711" s="64"/>
      <c r="AU711" s="64"/>
      <c r="AV711" s="64"/>
      <c r="AW711" s="64"/>
      <c r="AX711" s="64"/>
      <c r="AY711" s="64"/>
      <c r="AZ711" s="64"/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/>
      <c r="BR711" s="64"/>
      <c r="BS711" s="64"/>
      <c r="BT711" s="65"/>
    </row>
    <row r="712" spans="1:72" ht="18" hidden="1" customHeight="1" x14ac:dyDescent="0.3">
      <c r="A712" s="84" t="s">
        <v>394</v>
      </c>
      <c r="B712" s="69" t="s">
        <v>395</v>
      </c>
      <c r="C712" s="16" t="s">
        <v>1240</v>
      </c>
      <c r="D712" s="49" t="s">
        <v>1094</v>
      </c>
      <c r="E712" s="50">
        <v>31.6</v>
      </c>
      <c r="F712" s="50">
        <v>0</v>
      </c>
      <c r="G712" s="61">
        <v>3</v>
      </c>
      <c r="H712" s="61">
        <v>100</v>
      </c>
      <c r="I712" s="48" t="s">
        <v>1196</v>
      </c>
      <c r="J712" s="16" t="s">
        <v>1241</v>
      </c>
      <c r="K712" s="49">
        <v>2500</v>
      </c>
      <c r="L712" s="49">
        <v>22500</v>
      </c>
      <c r="M712" s="62" t="s">
        <v>1014</v>
      </c>
      <c r="N712" s="51"/>
      <c r="O712" s="49" t="str">
        <f t="shared" si="103"/>
        <v>YES</v>
      </c>
      <c r="P712" s="157"/>
      <c r="Q712" s="53">
        <f t="shared" ref="Q712:Q758" si="104">IF(K712="Pending","Pending",IF(AND(K712&lt;5000,O712="YES"),MIN(ROUNDDOWN(K712*25550/140,1),5000),IF(AND(K712&lt;5000,O712="NO"),K712,IF(K712&gt;=5000,5000))))</f>
        <v>5000</v>
      </c>
      <c r="R712" s="54">
        <f t="shared" ref="R712:R758" si="105">IF(Q712="Pending","Pending",IF(E712=0," ",ROUNDDOWN(Q712*E712/100,1)))</f>
        <v>1580</v>
      </c>
      <c r="S712" s="55" t="str">
        <f t="shared" ref="S712:S758" si="106">IF(Q712="Pending","Pending",IF(F712=0, " ",ROUNDDOWN(Q712*F712/100,1)))</f>
        <v xml:space="preserve"> </v>
      </c>
      <c r="T712" s="100"/>
      <c r="U712" s="57" t="str">
        <f t="shared" ref="U712:U758" si="107">IF(Q712="Pending","Pending",IF(R712= " ", " ", IF(R712&lt;20, "Mitigation", "100µg/100cm²")))</f>
        <v>100µg/100cm²</v>
      </c>
      <c r="V712" s="58">
        <f t="shared" ref="V712:V758" si="108">IF(R712=0, " ", R712)</f>
        <v>1580</v>
      </c>
      <c r="W712" s="58" t="str">
        <f t="shared" ref="W712:W758" si="109">IF(Q712="Pending","Pending",IF(S712= " ", " ", IF(S712&lt;20, "Mitigation", "100µg/100cm²")))</f>
        <v xml:space="preserve"> </v>
      </c>
      <c r="X712" s="59" t="str">
        <f t="shared" ref="X712:X758" si="110">IF(K712="","Pending",IF(AND(Q712=5000,G712&lt;4,SUM(E712,F712)=0),"Water criteria (conductivity)",IF(AND(Q712=5000,G712&gt;3,SUM(E712,F712)=0),"Mitigation",IF(AND(Q712&lt;5000,G712&gt;0,SUM(E712,F712)=0),"Mitigation",""))))</f>
        <v/>
      </c>
      <c r="Y712" s="158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16" t="s">
        <v>675</v>
      </c>
      <c r="AS712" s="16" t="s">
        <v>675</v>
      </c>
      <c r="AT712" s="64"/>
      <c r="AU712" s="64"/>
      <c r="AV712" s="64"/>
      <c r="AW712" s="64"/>
      <c r="AX712" s="64"/>
      <c r="AY712" s="64"/>
      <c r="AZ712" s="64"/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/>
      <c r="BR712" s="64"/>
      <c r="BS712" s="64"/>
      <c r="BT712" s="65"/>
    </row>
    <row r="713" spans="1:72" ht="18" hidden="1" customHeight="1" x14ac:dyDescent="0.3">
      <c r="A713" s="117" t="s">
        <v>456</v>
      </c>
      <c r="B713" s="110" t="s">
        <v>457</v>
      </c>
      <c r="C713" s="16" t="s">
        <v>1644</v>
      </c>
      <c r="D713" s="16" t="s">
        <v>1397</v>
      </c>
      <c r="E713" s="50">
        <v>42.7</v>
      </c>
      <c r="F713" s="50">
        <v>0</v>
      </c>
      <c r="G713" s="87">
        <v>3</v>
      </c>
      <c r="H713" s="87">
        <v>100</v>
      </c>
      <c r="I713" s="87" t="s">
        <v>1016</v>
      </c>
      <c r="J713" s="16" t="s">
        <v>2386</v>
      </c>
      <c r="K713" s="16">
        <v>50</v>
      </c>
      <c r="L713" s="16">
        <v>50</v>
      </c>
      <c r="M713" s="64"/>
      <c r="N713" s="64"/>
      <c r="O713" s="49" t="str">
        <f t="shared" si="103"/>
        <v>YES</v>
      </c>
      <c r="P713" s="157"/>
      <c r="Q713" s="53">
        <f t="shared" si="104"/>
        <v>5000</v>
      </c>
      <c r="R713" s="54">
        <f t="shared" si="105"/>
        <v>2135</v>
      </c>
      <c r="S713" s="55" t="str">
        <f t="shared" si="106"/>
        <v xml:space="preserve"> </v>
      </c>
      <c r="T713" s="100"/>
      <c r="U713" s="57" t="str">
        <f t="shared" si="107"/>
        <v>100µg/100cm²</v>
      </c>
      <c r="V713" s="58">
        <f t="shared" si="108"/>
        <v>2135</v>
      </c>
      <c r="W713" s="58" t="str">
        <f t="shared" si="109"/>
        <v xml:space="preserve"> </v>
      </c>
      <c r="X713" s="59" t="str">
        <f t="shared" si="110"/>
        <v/>
      </c>
      <c r="Y713" s="158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16" t="s">
        <v>675</v>
      </c>
      <c r="AT713" s="64"/>
      <c r="AU713" s="64"/>
      <c r="AV713" s="64"/>
      <c r="AW713" s="64"/>
      <c r="AX713" s="64"/>
      <c r="AY713" s="64"/>
      <c r="AZ713" s="64"/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/>
      <c r="BR713" s="64"/>
      <c r="BS713" s="64"/>
      <c r="BT713" s="65"/>
    </row>
    <row r="714" spans="1:72" ht="18" hidden="1" customHeight="1" x14ac:dyDescent="0.3">
      <c r="A714" s="47" t="s">
        <v>623</v>
      </c>
      <c r="B714" s="48" t="s">
        <v>624</v>
      </c>
      <c r="C714" s="16" t="s">
        <v>2226</v>
      </c>
      <c r="D714" s="49" t="s">
        <v>1174</v>
      </c>
      <c r="E714" s="50">
        <v>31.27</v>
      </c>
      <c r="F714" s="50">
        <v>0</v>
      </c>
      <c r="G714" s="61">
        <v>3</v>
      </c>
      <c r="H714" s="16">
        <v>50</v>
      </c>
      <c r="I714" s="16" t="s">
        <v>1573</v>
      </c>
      <c r="J714" s="16" t="s">
        <v>2386</v>
      </c>
      <c r="K714" s="49">
        <v>50</v>
      </c>
      <c r="L714" s="49">
        <v>50</v>
      </c>
      <c r="M714" s="64"/>
      <c r="N714" s="64"/>
      <c r="O714" s="49" t="str">
        <f t="shared" si="103"/>
        <v>YES</v>
      </c>
      <c r="P714" s="157"/>
      <c r="Q714" s="53">
        <f t="shared" si="104"/>
        <v>5000</v>
      </c>
      <c r="R714" s="54">
        <f t="shared" si="105"/>
        <v>1563.5</v>
      </c>
      <c r="S714" s="55" t="str">
        <f t="shared" si="106"/>
        <v xml:space="preserve"> </v>
      </c>
      <c r="T714" s="100"/>
      <c r="U714" s="57" t="str">
        <f t="shared" si="107"/>
        <v>100µg/100cm²</v>
      </c>
      <c r="V714" s="58">
        <f t="shared" si="108"/>
        <v>1563.5</v>
      </c>
      <c r="W714" s="58" t="str">
        <f t="shared" si="109"/>
        <v xml:space="preserve"> </v>
      </c>
      <c r="X714" s="59" t="str">
        <f t="shared" si="110"/>
        <v/>
      </c>
      <c r="Y714" s="158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16" t="s">
        <v>675</v>
      </c>
      <c r="AV714" s="64"/>
      <c r="AW714" s="16" t="s">
        <v>675</v>
      </c>
      <c r="AX714" s="64"/>
      <c r="AY714" s="64"/>
      <c r="AZ714" s="64"/>
      <c r="BA714" s="64"/>
      <c r="BB714" s="64"/>
      <c r="BC714" s="64"/>
      <c r="BD714" s="64"/>
      <c r="BE714" s="64"/>
      <c r="BF714" s="64"/>
      <c r="BG714" s="64"/>
      <c r="BH714" s="64"/>
      <c r="BI714" s="64"/>
      <c r="BJ714" s="64"/>
      <c r="BK714" s="64"/>
      <c r="BL714" s="64"/>
      <c r="BM714" s="64"/>
      <c r="BN714" s="64"/>
      <c r="BO714" s="64"/>
      <c r="BP714" s="64"/>
      <c r="BQ714" s="64"/>
      <c r="BR714" s="64"/>
      <c r="BS714" s="64"/>
      <c r="BT714" s="65"/>
    </row>
    <row r="715" spans="1:72" ht="18" hidden="1" customHeight="1" x14ac:dyDescent="0.3">
      <c r="A715" s="84" t="s">
        <v>80</v>
      </c>
      <c r="B715" s="120" t="s">
        <v>81</v>
      </c>
      <c r="C715" s="16" t="s">
        <v>2227</v>
      </c>
      <c r="D715" s="49" t="s">
        <v>1174</v>
      </c>
      <c r="E715" s="50">
        <v>42.74</v>
      </c>
      <c r="F715" s="50">
        <v>0</v>
      </c>
      <c r="G715" s="61">
        <v>1</v>
      </c>
      <c r="H715" s="16" t="s">
        <v>1204</v>
      </c>
      <c r="I715" s="48" t="s">
        <v>1016</v>
      </c>
      <c r="J715" s="16" t="s">
        <v>2386</v>
      </c>
      <c r="K715" s="49">
        <v>50</v>
      </c>
      <c r="L715" s="49">
        <v>50</v>
      </c>
      <c r="M715" s="64"/>
      <c r="N715" s="64"/>
      <c r="O715" s="49" t="str">
        <f t="shared" si="103"/>
        <v>YES</v>
      </c>
      <c r="P715" s="157"/>
      <c r="Q715" s="53">
        <f t="shared" si="104"/>
        <v>5000</v>
      </c>
      <c r="R715" s="54">
        <f t="shared" si="105"/>
        <v>2137</v>
      </c>
      <c r="S715" s="55" t="str">
        <f t="shared" si="106"/>
        <v xml:space="preserve"> </v>
      </c>
      <c r="T715" s="100"/>
      <c r="U715" s="57" t="str">
        <f t="shared" si="107"/>
        <v>100µg/100cm²</v>
      </c>
      <c r="V715" s="58">
        <f t="shared" si="108"/>
        <v>2137</v>
      </c>
      <c r="W715" s="58" t="str">
        <f t="shared" si="109"/>
        <v xml:space="preserve"> </v>
      </c>
      <c r="X715" s="59" t="str">
        <f t="shared" si="110"/>
        <v/>
      </c>
      <c r="Y715" s="158"/>
      <c r="Z715" s="16" t="s">
        <v>675</v>
      </c>
      <c r="AA715" s="16" t="s">
        <v>675</v>
      </c>
      <c r="AB715" s="16" t="s">
        <v>675</v>
      </c>
      <c r="AC715" s="64"/>
      <c r="AD715" s="16" t="s">
        <v>675</v>
      </c>
      <c r="AE715" s="16" t="s">
        <v>675</v>
      </c>
      <c r="AF715" s="16" t="s">
        <v>675</v>
      </c>
      <c r="AG715" s="64"/>
      <c r="AH715" s="16" t="s">
        <v>675</v>
      </c>
      <c r="AI715" s="16" t="s">
        <v>675</v>
      </c>
      <c r="AJ715" s="64"/>
      <c r="AK715" s="16" t="s">
        <v>675</v>
      </c>
      <c r="AL715" s="16" t="s">
        <v>675</v>
      </c>
      <c r="AM715" s="16" t="s">
        <v>675</v>
      </c>
      <c r="AN715" s="16" t="s">
        <v>675</v>
      </c>
      <c r="AO715" s="64"/>
      <c r="AP715" s="16" t="s">
        <v>675</v>
      </c>
      <c r="AQ715" s="16" t="s">
        <v>675</v>
      </c>
      <c r="AR715" s="64"/>
      <c r="AS715" s="16" t="s">
        <v>675</v>
      </c>
      <c r="AT715" s="16" t="s">
        <v>675</v>
      </c>
      <c r="AU715" s="16" t="s">
        <v>675</v>
      </c>
      <c r="AV715" s="64"/>
      <c r="AW715" s="16" t="s">
        <v>675</v>
      </c>
      <c r="AX715" s="16" t="s">
        <v>675</v>
      </c>
      <c r="AY715" s="64"/>
      <c r="AZ715" s="64"/>
      <c r="BA715" s="16" t="s">
        <v>675</v>
      </c>
      <c r="BB715" s="16" t="s">
        <v>675</v>
      </c>
      <c r="BC715" s="64"/>
      <c r="BD715" s="64"/>
      <c r="BE715" s="64"/>
      <c r="BF715" s="64"/>
      <c r="BG715" s="16" t="s">
        <v>675</v>
      </c>
      <c r="BH715" s="64"/>
      <c r="BI715" s="64"/>
      <c r="BJ715" s="64"/>
      <c r="BK715" s="16" t="s">
        <v>675</v>
      </c>
      <c r="BL715" s="64"/>
      <c r="BM715" s="64"/>
      <c r="BN715" s="64"/>
      <c r="BO715" s="64"/>
      <c r="BP715" s="64"/>
      <c r="BQ715" s="64"/>
      <c r="BR715" s="64"/>
      <c r="BS715" s="16" t="s">
        <v>675</v>
      </c>
      <c r="BT715" s="65"/>
    </row>
    <row r="716" spans="1:72" ht="15.75" hidden="1" x14ac:dyDescent="0.3">
      <c r="A716" s="47" t="s">
        <v>811</v>
      </c>
      <c r="B716" s="49" t="s">
        <v>812</v>
      </c>
      <c r="C716" s="16" t="s">
        <v>1645</v>
      </c>
      <c r="D716" s="16" t="s">
        <v>1054</v>
      </c>
      <c r="E716" s="50">
        <v>15.97</v>
      </c>
      <c r="F716" s="50">
        <v>0</v>
      </c>
      <c r="G716" s="16">
        <v>4</v>
      </c>
      <c r="H716" s="16">
        <v>20</v>
      </c>
      <c r="I716" s="16" t="s">
        <v>1016</v>
      </c>
      <c r="J716" s="17" t="s">
        <v>2356</v>
      </c>
      <c r="K716" s="16">
        <v>1.5</v>
      </c>
      <c r="L716" s="16">
        <v>1.5</v>
      </c>
      <c r="M716" s="16" t="s">
        <v>1036</v>
      </c>
      <c r="N716" s="64"/>
      <c r="O716" s="49" t="str">
        <f t="shared" si="103"/>
        <v>YES</v>
      </c>
      <c r="P716" s="157"/>
      <c r="Q716" s="53">
        <f t="shared" si="104"/>
        <v>273.7</v>
      </c>
      <c r="R716" s="54">
        <f t="shared" si="105"/>
        <v>43.7</v>
      </c>
      <c r="S716" s="55" t="str">
        <f t="shared" si="106"/>
        <v xml:space="preserve"> </v>
      </c>
      <c r="T716" s="100"/>
      <c r="U716" s="57" t="str">
        <f t="shared" si="107"/>
        <v>100µg/100cm²</v>
      </c>
      <c r="V716" s="58">
        <f t="shared" si="108"/>
        <v>43.7</v>
      </c>
      <c r="W716" s="57" t="str">
        <f t="shared" si="109"/>
        <v xml:space="preserve"> </v>
      </c>
      <c r="X716" s="59" t="str">
        <f t="shared" si="110"/>
        <v/>
      </c>
      <c r="Y716" s="158"/>
      <c r="Z716" s="64"/>
      <c r="AA716" s="64"/>
      <c r="AB716" s="64"/>
      <c r="AC716" s="64"/>
      <c r="AD716" s="64"/>
      <c r="AE716" s="64"/>
      <c r="AF716" s="64"/>
      <c r="AG716" s="64"/>
      <c r="AH716" s="16" t="s">
        <v>675</v>
      </c>
      <c r="AI716" s="64"/>
      <c r="AJ716" s="64"/>
      <c r="AK716" s="16" t="s">
        <v>675</v>
      </c>
      <c r="AL716" s="64"/>
      <c r="AM716" s="16" t="s">
        <v>675</v>
      </c>
      <c r="AN716" s="64"/>
      <c r="AO716" s="64"/>
      <c r="AP716" s="64"/>
      <c r="AQ716" s="16" t="s">
        <v>675</v>
      </c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  <c r="BQ716" s="64"/>
      <c r="BR716" s="64"/>
      <c r="BS716" s="64"/>
      <c r="BT716" s="65"/>
    </row>
    <row r="717" spans="1:72" ht="18" hidden="1" customHeight="1" x14ac:dyDescent="0.3">
      <c r="A717" s="47" t="s">
        <v>1848</v>
      </c>
      <c r="B717" s="48" t="s">
        <v>490</v>
      </c>
      <c r="C717" s="16" t="s">
        <v>2228</v>
      </c>
      <c r="D717" s="49" t="s">
        <v>1104</v>
      </c>
      <c r="E717" s="50">
        <v>46.6</v>
      </c>
      <c r="F717" s="50">
        <v>0</v>
      </c>
      <c r="G717" s="61">
        <v>7</v>
      </c>
      <c r="H717" s="16" t="s">
        <v>1105</v>
      </c>
      <c r="I717" s="48" t="s">
        <v>1016</v>
      </c>
      <c r="J717" s="16" t="s">
        <v>2386</v>
      </c>
      <c r="K717" s="49">
        <v>50</v>
      </c>
      <c r="L717" s="49">
        <v>50</v>
      </c>
      <c r="M717" s="64"/>
      <c r="N717" s="64"/>
      <c r="O717" s="49" t="str">
        <f t="shared" si="103"/>
        <v>YES</v>
      </c>
      <c r="P717" s="157"/>
      <c r="Q717" s="53">
        <f t="shared" si="104"/>
        <v>5000</v>
      </c>
      <c r="R717" s="54">
        <f t="shared" si="105"/>
        <v>2330</v>
      </c>
      <c r="S717" s="55" t="str">
        <f t="shared" si="106"/>
        <v xml:space="preserve"> </v>
      </c>
      <c r="T717" s="100"/>
      <c r="U717" s="57" t="str">
        <f t="shared" si="107"/>
        <v>100µg/100cm²</v>
      </c>
      <c r="V717" s="58">
        <f t="shared" si="108"/>
        <v>2330</v>
      </c>
      <c r="W717" s="58" t="str">
        <f t="shared" si="109"/>
        <v xml:space="preserve"> </v>
      </c>
      <c r="X717" s="59" t="str">
        <f t="shared" si="110"/>
        <v/>
      </c>
      <c r="Y717" s="158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16" t="s">
        <v>675</v>
      </c>
      <c r="AT717" s="64"/>
      <c r="AU717" s="64"/>
      <c r="AV717" s="64"/>
      <c r="AW717" s="64"/>
      <c r="AX717" s="64"/>
      <c r="AY717" s="64"/>
      <c r="AZ717" s="64"/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  <c r="BQ717" s="64"/>
      <c r="BR717" s="64"/>
      <c r="BS717" s="64"/>
      <c r="BT717" s="65"/>
    </row>
    <row r="718" spans="1:72" ht="18" hidden="1" customHeight="1" x14ac:dyDescent="0.3">
      <c r="A718" s="47" t="s">
        <v>646</v>
      </c>
      <c r="B718" s="49" t="s">
        <v>526</v>
      </c>
      <c r="C718" s="49" t="s">
        <v>1022</v>
      </c>
      <c r="D718" s="70" t="s">
        <v>1011</v>
      </c>
      <c r="E718" s="50">
        <v>26.08</v>
      </c>
      <c r="F718" s="50">
        <v>0</v>
      </c>
      <c r="G718" s="61">
        <v>1</v>
      </c>
      <c r="H718" s="16" t="s">
        <v>1023</v>
      </c>
      <c r="I718" s="49" t="s">
        <v>1016</v>
      </c>
      <c r="J718" s="16" t="s">
        <v>1024</v>
      </c>
      <c r="K718" s="49">
        <v>400</v>
      </c>
      <c r="L718" s="49">
        <v>3600</v>
      </c>
      <c r="M718" s="62" t="s">
        <v>1014</v>
      </c>
      <c r="N718" s="51"/>
      <c r="O718" s="49" t="str">
        <f t="shared" si="103"/>
        <v>YES</v>
      </c>
      <c r="P718" s="157"/>
      <c r="Q718" s="53">
        <f t="shared" si="104"/>
        <v>5000</v>
      </c>
      <c r="R718" s="54">
        <f t="shared" si="105"/>
        <v>1304</v>
      </c>
      <c r="S718" s="55" t="str">
        <f t="shared" si="106"/>
        <v xml:space="preserve"> </v>
      </c>
      <c r="T718" s="100"/>
      <c r="U718" s="57" t="str">
        <f t="shared" si="107"/>
        <v>100µg/100cm²</v>
      </c>
      <c r="V718" s="58">
        <f t="shared" si="108"/>
        <v>1304</v>
      </c>
      <c r="W718" s="58" t="str">
        <f t="shared" si="109"/>
        <v xml:space="preserve"> </v>
      </c>
      <c r="X718" s="59" t="str">
        <f t="shared" si="110"/>
        <v/>
      </c>
      <c r="Y718" s="158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16" t="s">
        <v>675</v>
      </c>
      <c r="AT718" s="64"/>
      <c r="AU718" s="64"/>
      <c r="AV718" s="64"/>
      <c r="AW718" s="64"/>
      <c r="AX718" s="64"/>
      <c r="AY718" s="64"/>
      <c r="AZ718" s="64"/>
      <c r="BA718" s="16" t="s">
        <v>675</v>
      </c>
      <c r="BB718" s="16" t="s">
        <v>675</v>
      </c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/>
      <c r="BR718" s="64"/>
      <c r="BS718" s="64"/>
      <c r="BT718" s="65"/>
    </row>
    <row r="719" spans="1:72" ht="18" hidden="1" customHeight="1" x14ac:dyDescent="0.3">
      <c r="A719" s="90" t="s">
        <v>335</v>
      </c>
      <c r="B719" s="48" t="s">
        <v>336</v>
      </c>
      <c r="C719" s="16" t="s">
        <v>2229</v>
      </c>
      <c r="D719" s="70" t="s">
        <v>1073</v>
      </c>
      <c r="E719" s="50">
        <v>26.69</v>
      </c>
      <c r="F719" s="50">
        <v>0</v>
      </c>
      <c r="G719" s="61">
        <v>2</v>
      </c>
      <c r="H719" s="16">
        <v>1000</v>
      </c>
      <c r="I719" s="49" t="s">
        <v>1016</v>
      </c>
      <c r="J719" s="16" t="s">
        <v>1078</v>
      </c>
      <c r="K719" s="49">
        <v>0.3</v>
      </c>
      <c r="L719" s="49">
        <v>2.7</v>
      </c>
      <c r="M719" s="62" t="s">
        <v>1014</v>
      </c>
      <c r="N719" s="62" t="s">
        <v>1043</v>
      </c>
      <c r="O719" s="49" t="str">
        <f t="shared" si="103"/>
        <v>NO</v>
      </c>
      <c r="P719" s="157"/>
      <c r="Q719" s="53">
        <f t="shared" si="104"/>
        <v>0.3</v>
      </c>
      <c r="R719" s="54">
        <f t="shared" si="105"/>
        <v>0</v>
      </c>
      <c r="S719" s="55" t="str">
        <f t="shared" si="106"/>
        <v xml:space="preserve"> </v>
      </c>
      <c r="T719" s="100"/>
      <c r="U719" s="57" t="str">
        <f t="shared" si="107"/>
        <v>Mitigation</v>
      </c>
      <c r="V719" s="58" t="str">
        <f t="shared" si="108"/>
        <v xml:space="preserve"> </v>
      </c>
      <c r="W719" s="58" t="str">
        <f t="shared" si="109"/>
        <v xml:space="preserve"> </v>
      </c>
      <c r="X719" s="59" t="str">
        <f t="shared" si="110"/>
        <v/>
      </c>
      <c r="Y719" s="158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16" t="s">
        <v>675</v>
      </c>
      <c r="AP719" s="16" t="s">
        <v>675</v>
      </c>
      <c r="AQ719" s="64"/>
      <c r="AR719" s="64"/>
      <c r="AS719" s="16" t="s">
        <v>675</v>
      </c>
      <c r="AT719" s="64"/>
      <c r="AU719" s="64"/>
      <c r="AV719" s="64"/>
      <c r="AW719" s="64"/>
      <c r="AX719" s="64"/>
      <c r="AY719" s="64"/>
      <c r="AZ719" s="64"/>
      <c r="BA719" s="64"/>
      <c r="BB719" s="64"/>
      <c r="BC719" s="16" t="s">
        <v>675</v>
      </c>
      <c r="BD719" s="64"/>
      <c r="BE719" s="64"/>
      <c r="BF719" s="64"/>
      <c r="BG719" s="64"/>
      <c r="BH719" s="64"/>
      <c r="BI719" s="64"/>
      <c r="BJ719" s="64"/>
      <c r="BK719" s="16" t="s">
        <v>675</v>
      </c>
      <c r="BL719" s="64"/>
      <c r="BM719" s="64"/>
      <c r="BN719" s="64"/>
      <c r="BO719" s="64"/>
      <c r="BP719" s="64"/>
      <c r="BQ719" s="64"/>
      <c r="BR719" s="64"/>
      <c r="BS719" s="16" t="s">
        <v>675</v>
      </c>
      <c r="BT719" s="65"/>
    </row>
    <row r="720" spans="1:72" ht="18" hidden="1" customHeight="1" x14ac:dyDescent="0.3">
      <c r="A720" s="47" t="s">
        <v>82</v>
      </c>
      <c r="B720" s="48" t="s">
        <v>83</v>
      </c>
      <c r="C720" s="16" t="s">
        <v>2230</v>
      </c>
      <c r="D720" s="49" t="s">
        <v>1397</v>
      </c>
      <c r="E720" s="50">
        <v>49.59</v>
      </c>
      <c r="F720" s="50">
        <v>0</v>
      </c>
      <c r="G720" s="61">
        <v>3</v>
      </c>
      <c r="H720" s="16">
        <v>46</v>
      </c>
      <c r="I720" s="48" t="s">
        <v>1016</v>
      </c>
      <c r="J720" s="16" t="s">
        <v>2386</v>
      </c>
      <c r="K720" s="49">
        <v>50</v>
      </c>
      <c r="L720" s="49">
        <v>50</v>
      </c>
      <c r="M720" s="64"/>
      <c r="N720" s="64"/>
      <c r="O720" s="49" t="str">
        <f t="shared" si="103"/>
        <v>YES</v>
      </c>
      <c r="P720" s="157"/>
      <c r="Q720" s="53">
        <f t="shared" si="104"/>
        <v>5000</v>
      </c>
      <c r="R720" s="54">
        <f t="shared" si="105"/>
        <v>2479.5</v>
      </c>
      <c r="S720" s="55" t="str">
        <f t="shared" si="106"/>
        <v xml:space="preserve"> </v>
      </c>
      <c r="T720" s="100"/>
      <c r="U720" s="57" t="str">
        <f t="shared" si="107"/>
        <v>100µg/100cm²</v>
      </c>
      <c r="V720" s="58">
        <f t="shared" si="108"/>
        <v>2479.5</v>
      </c>
      <c r="W720" s="58" t="str">
        <f t="shared" si="109"/>
        <v xml:space="preserve"> </v>
      </c>
      <c r="X720" s="59" t="str">
        <f t="shared" si="110"/>
        <v/>
      </c>
      <c r="Y720" s="158"/>
      <c r="Z720" s="64"/>
      <c r="AA720" s="64"/>
      <c r="AB720" s="16" t="s">
        <v>675</v>
      </c>
      <c r="AC720" s="64"/>
      <c r="AD720" s="64"/>
      <c r="AE720" s="64"/>
      <c r="AF720" s="64"/>
      <c r="AG720" s="64"/>
      <c r="AH720" s="64"/>
      <c r="AI720" s="16" t="s">
        <v>675</v>
      </c>
      <c r="AJ720" s="64"/>
      <c r="AK720" s="16" t="s">
        <v>675</v>
      </c>
      <c r="AL720" s="16" t="s">
        <v>675</v>
      </c>
      <c r="AM720" s="16" t="s">
        <v>675</v>
      </c>
      <c r="AN720" s="64"/>
      <c r="AO720" s="64"/>
      <c r="AP720" s="64"/>
      <c r="AQ720" s="64"/>
      <c r="AR720" s="64"/>
      <c r="AS720" s="16" t="s">
        <v>675</v>
      </c>
      <c r="AT720" s="16" t="s">
        <v>675</v>
      </c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16" t="s">
        <v>675</v>
      </c>
      <c r="BH720" s="64"/>
      <c r="BI720" s="64"/>
      <c r="BJ720" s="64"/>
      <c r="BK720" s="16" t="s">
        <v>675</v>
      </c>
      <c r="BL720" s="64"/>
      <c r="BM720" s="64"/>
      <c r="BN720" s="64"/>
      <c r="BO720" s="64"/>
      <c r="BP720" s="64"/>
      <c r="BQ720" s="64"/>
      <c r="BR720" s="64"/>
      <c r="BS720" s="16" t="s">
        <v>675</v>
      </c>
      <c r="BT720" s="65"/>
    </row>
    <row r="721" spans="1:92" ht="18" hidden="1" customHeight="1" x14ac:dyDescent="0.3">
      <c r="A721" s="47" t="s">
        <v>222</v>
      </c>
      <c r="B721" s="48" t="s">
        <v>223</v>
      </c>
      <c r="C721" s="16" t="s">
        <v>2231</v>
      </c>
      <c r="D721" s="49" t="s">
        <v>1397</v>
      </c>
      <c r="E721" s="50">
        <v>47.62</v>
      </c>
      <c r="F721" s="50">
        <v>0</v>
      </c>
      <c r="G721" s="61">
        <v>5</v>
      </c>
      <c r="H721" s="16">
        <v>4</v>
      </c>
      <c r="I721" s="48" t="s">
        <v>1016</v>
      </c>
      <c r="J721" s="16" t="s">
        <v>2386</v>
      </c>
      <c r="K721" s="49">
        <v>50</v>
      </c>
      <c r="L721" s="49">
        <v>50</v>
      </c>
      <c r="M721" s="64"/>
      <c r="N721" s="64"/>
      <c r="O721" s="49" t="str">
        <f t="shared" si="103"/>
        <v>YES</v>
      </c>
      <c r="P721" s="157"/>
      <c r="Q721" s="53">
        <f t="shared" si="104"/>
        <v>5000</v>
      </c>
      <c r="R721" s="54">
        <f t="shared" si="105"/>
        <v>2381</v>
      </c>
      <c r="S721" s="55" t="str">
        <f t="shared" si="106"/>
        <v xml:space="preserve"> </v>
      </c>
      <c r="T721" s="100"/>
      <c r="U721" s="57" t="str">
        <f t="shared" si="107"/>
        <v>100µg/100cm²</v>
      </c>
      <c r="V721" s="58">
        <f t="shared" si="108"/>
        <v>2381</v>
      </c>
      <c r="W721" s="58" t="str">
        <f t="shared" si="109"/>
        <v xml:space="preserve"> </v>
      </c>
      <c r="X721" s="59" t="str">
        <f t="shared" si="110"/>
        <v/>
      </c>
      <c r="Y721" s="158"/>
      <c r="Z721" s="64"/>
      <c r="AA721" s="64"/>
      <c r="AB721" s="64"/>
      <c r="AC721" s="64"/>
      <c r="AD721" s="64"/>
      <c r="AE721" s="16" t="s">
        <v>675</v>
      </c>
      <c r="AF721" s="16" t="s">
        <v>675</v>
      </c>
      <c r="AG721" s="64"/>
      <c r="AH721" s="64"/>
      <c r="AI721" s="16" t="s">
        <v>675</v>
      </c>
      <c r="AJ721" s="64"/>
      <c r="AK721" s="64"/>
      <c r="AL721" s="64"/>
      <c r="AM721" s="16" t="s">
        <v>675</v>
      </c>
      <c r="AN721" s="16" t="s">
        <v>675</v>
      </c>
      <c r="AO721" s="64"/>
      <c r="AP721" s="16" t="s">
        <v>675</v>
      </c>
      <c r="AQ721" s="64"/>
      <c r="AR721" s="64"/>
      <c r="AS721" s="16" t="s">
        <v>675</v>
      </c>
      <c r="AT721" s="16" t="s">
        <v>675</v>
      </c>
      <c r="AU721" s="64"/>
      <c r="AV721" s="64"/>
      <c r="AW721" s="64"/>
      <c r="AX721" s="16" t="s">
        <v>675</v>
      </c>
      <c r="AY721" s="64"/>
      <c r="AZ721" s="64"/>
      <c r="BA721" s="64"/>
      <c r="BB721" s="64"/>
      <c r="BC721" s="64"/>
      <c r="BD721" s="64"/>
      <c r="BE721" s="64"/>
      <c r="BF721" s="64"/>
      <c r="BG721" s="16" t="s">
        <v>675</v>
      </c>
      <c r="BH721" s="64"/>
      <c r="BI721" s="64"/>
      <c r="BJ721" s="64"/>
      <c r="BK721" s="64"/>
      <c r="BL721" s="64"/>
      <c r="BM721" s="64"/>
      <c r="BN721" s="64"/>
      <c r="BO721" s="64"/>
      <c r="BP721" s="64"/>
      <c r="BQ721" s="64"/>
      <c r="BR721" s="64"/>
      <c r="BS721" s="16" t="s">
        <v>675</v>
      </c>
      <c r="BT721" s="65"/>
    </row>
    <row r="722" spans="1:92" ht="18" customHeight="1" x14ac:dyDescent="0.3">
      <c r="A722" s="47" t="s">
        <v>2316</v>
      </c>
      <c r="B722" s="49" t="s">
        <v>2317</v>
      </c>
      <c r="C722" s="49" t="s">
        <v>2345</v>
      </c>
      <c r="D722" s="49" t="s">
        <v>1114</v>
      </c>
      <c r="E722" s="142">
        <v>0</v>
      </c>
      <c r="F722" s="142">
        <v>0</v>
      </c>
      <c r="G722" s="16">
        <v>1</v>
      </c>
      <c r="H722" s="16" t="s">
        <v>1023</v>
      </c>
      <c r="I722" s="48" t="s">
        <v>2247</v>
      </c>
      <c r="J722" s="16" t="s">
        <v>2318</v>
      </c>
      <c r="K722" s="49">
        <v>1.5</v>
      </c>
      <c r="L722" s="49">
        <v>1.5</v>
      </c>
      <c r="M722" s="49" t="s">
        <v>1036</v>
      </c>
      <c r="N722" s="64"/>
      <c r="O722" s="49" t="str">
        <f t="shared" si="103"/>
        <v>YES</v>
      </c>
      <c r="P722" s="159"/>
      <c r="Q722" s="53">
        <f t="shared" si="104"/>
        <v>273.7</v>
      </c>
      <c r="R722" s="54" t="str">
        <f t="shared" si="105"/>
        <v xml:space="preserve"> </v>
      </c>
      <c r="S722" s="55" t="str">
        <f t="shared" si="106"/>
        <v xml:space="preserve"> </v>
      </c>
      <c r="T722" s="163"/>
      <c r="U722" s="57" t="str">
        <f t="shared" si="107"/>
        <v xml:space="preserve"> </v>
      </c>
      <c r="V722" s="58" t="str">
        <f t="shared" si="108"/>
        <v xml:space="preserve"> </v>
      </c>
      <c r="W722" s="57" t="str">
        <f t="shared" si="109"/>
        <v xml:space="preserve"> </v>
      </c>
      <c r="X722" s="59" t="str">
        <f t="shared" si="110"/>
        <v>Mitigation</v>
      </c>
      <c r="Y722" s="159"/>
      <c r="Z722" s="16" t="s">
        <v>1987</v>
      </c>
      <c r="AA722" s="16" t="s">
        <v>1987</v>
      </c>
      <c r="AB722" s="16" t="s">
        <v>1987</v>
      </c>
      <c r="AC722" s="16" t="s">
        <v>1987</v>
      </c>
      <c r="AD722" s="16" t="s">
        <v>1987</v>
      </c>
      <c r="AE722" s="16" t="s">
        <v>1987</v>
      </c>
      <c r="AF722" s="16" t="s">
        <v>1987</v>
      </c>
      <c r="AG722" s="16" t="s">
        <v>1987</v>
      </c>
      <c r="AH722" s="16" t="s">
        <v>1987</v>
      </c>
      <c r="AI722" s="16" t="s">
        <v>1987</v>
      </c>
      <c r="AJ722" s="16" t="s">
        <v>1987</v>
      </c>
      <c r="AK722" s="16" t="s">
        <v>1987</v>
      </c>
      <c r="AL722" s="16" t="s">
        <v>1987</v>
      </c>
      <c r="AM722" s="16" t="s">
        <v>1987</v>
      </c>
      <c r="AN722" s="16" t="s">
        <v>1987</v>
      </c>
      <c r="AO722" s="16" t="s">
        <v>1987</v>
      </c>
      <c r="AP722" s="16" t="s">
        <v>1987</v>
      </c>
      <c r="AQ722" s="16" t="s">
        <v>1987</v>
      </c>
      <c r="AR722" s="16" t="s">
        <v>1987</v>
      </c>
      <c r="AS722" s="16" t="s">
        <v>1987</v>
      </c>
      <c r="AT722" s="16" t="s">
        <v>1987</v>
      </c>
      <c r="AU722" s="16" t="s">
        <v>1987</v>
      </c>
      <c r="AV722" s="16" t="s">
        <v>1987</v>
      </c>
      <c r="AW722" s="16" t="s">
        <v>1987</v>
      </c>
      <c r="AX722" s="16" t="s">
        <v>1987</v>
      </c>
      <c r="AY722" s="16" t="s">
        <v>1987</v>
      </c>
      <c r="AZ722" s="16" t="s">
        <v>1987</v>
      </c>
      <c r="BA722" s="16" t="s">
        <v>1987</v>
      </c>
      <c r="BB722" s="16" t="s">
        <v>1987</v>
      </c>
      <c r="BC722" s="16" t="s">
        <v>1987</v>
      </c>
      <c r="BD722" s="16" t="s">
        <v>1987</v>
      </c>
      <c r="BE722" s="16" t="s">
        <v>1987</v>
      </c>
      <c r="BF722" s="16" t="s">
        <v>1987</v>
      </c>
      <c r="BG722" s="16" t="s">
        <v>1987</v>
      </c>
      <c r="BH722" s="16" t="s">
        <v>1987</v>
      </c>
      <c r="BI722" s="16" t="s">
        <v>1987</v>
      </c>
      <c r="BJ722" s="16" t="s">
        <v>1987</v>
      </c>
      <c r="BK722" s="16" t="s">
        <v>1987</v>
      </c>
      <c r="BL722" s="16" t="s">
        <v>1987</v>
      </c>
      <c r="BM722" s="16" t="s">
        <v>1987</v>
      </c>
      <c r="BN722" s="16" t="s">
        <v>1987</v>
      </c>
      <c r="BO722" s="16" t="s">
        <v>1987</v>
      </c>
      <c r="BP722" s="16" t="s">
        <v>1987</v>
      </c>
      <c r="BQ722" s="16" t="s">
        <v>1987</v>
      </c>
      <c r="BR722" s="16" t="s">
        <v>1987</v>
      </c>
      <c r="BS722" s="16" t="s">
        <v>1987</v>
      </c>
      <c r="BT722" s="16" t="s">
        <v>1987</v>
      </c>
    </row>
    <row r="723" spans="1:92" ht="18" hidden="1" customHeight="1" x14ac:dyDescent="0.3">
      <c r="A723" s="89" t="s">
        <v>234</v>
      </c>
      <c r="B723" s="161" t="s">
        <v>794</v>
      </c>
      <c r="C723" s="16" t="s">
        <v>2133</v>
      </c>
      <c r="D723" s="17" t="s">
        <v>1243</v>
      </c>
      <c r="E723" s="50">
        <v>42.1</v>
      </c>
      <c r="F723" s="50">
        <v>0</v>
      </c>
      <c r="G723" s="61">
        <v>3</v>
      </c>
      <c r="H723" s="16" t="s">
        <v>1396</v>
      </c>
      <c r="I723" s="16" t="s">
        <v>1016</v>
      </c>
      <c r="J723" s="16" t="s">
        <v>2386</v>
      </c>
      <c r="K723" s="49">
        <v>50</v>
      </c>
      <c r="L723" s="49">
        <v>50</v>
      </c>
      <c r="M723" s="64"/>
      <c r="N723" s="64"/>
      <c r="O723" s="49" t="str">
        <f t="shared" si="103"/>
        <v>YES</v>
      </c>
      <c r="P723" s="157"/>
      <c r="Q723" s="53">
        <f t="shared" si="104"/>
        <v>5000</v>
      </c>
      <c r="R723" s="54">
        <f t="shared" si="105"/>
        <v>2105</v>
      </c>
      <c r="S723" s="55" t="str">
        <f t="shared" si="106"/>
        <v xml:space="preserve"> </v>
      </c>
      <c r="T723" s="100"/>
      <c r="U723" s="57" t="str">
        <f t="shared" si="107"/>
        <v>100µg/100cm²</v>
      </c>
      <c r="V723" s="58">
        <f t="shared" si="108"/>
        <v>2105</v>
      </c>
      <c r="W723" s="58" t="str">
        <f t="shared" si="109"/>
        <v xml:space="preserve"> </v>
      </c>
      <c r="X723" s="59" t="str">
        <f t="shared" si="110"/>
        <v/>
      </c>
      <c r="Y723" s="158"/>
      <c r="Z723" s="64"/>
      <c r="AA723" s="64"/>
      <c r="AB723" s="64"/>
      <c r="AC723" s="64"/>
      <c r="AD723" s="16" t="s">
        <v>675</v>
      </c>
      <c r="AE723" s="16" t="s">
        <v>675</v>
      </c>
      <c r="AF723" s="16" t="s">
        <v>675</v>
      </c>
      <c r="AG723" s="64"/>
      <c r="AH723" s="64"/>
      <c r="AI723" s="64"/>
      <c r="AJ723" s="64"/>
      <c r="AK723" s="64"/>
      <c r="AL723" s="64"/>
      <c r="AM723" s="16" t="s">
        <v>675</v>
      </c>
      <c r="AN723" s="64"/>
      <c r="AO723" s="64"/>
      <c r="AP723" s="64"/>
      <c r="AQ723" s="64"/>
      <c r="AR723" s="64"/>
      <c r="AS723" s="64"/>
      <c r="AT723" s="64"/>
      <c r="AU723" s="64"/>
      <c r="AV723" s="64"/>
      <c r="AW723" s="64"/>
      <c r="AX723" s="64"/>
      <c r="AY723" s="64"/>
      <c r="AZ723" s="64"/>
      <c r="BA723" s="64"/>
      <c r="BB723" s="64"/>
      <c r="BC723" s="64"/>
      <c r="BD723" s="64"/>
      <c r="BE723" s="16" t="s">
        <v>675</v>
      </c>
      <c r="BF723" s="64"/>
      <c r="BG723" s="64"/>
      <c r="BH723" s="64"/>
      <c r="BI723" s="64"/>
      <c r="BJ723" s="64"/>
      <c r="BK723" s="64"/>
      <c r="BL723" s="64"/>
      <c r="BM723" s="64"/>
      <c r="BN723" s="64"/>
      <c r="BO723" s="64"/>
      <c r="BP723" s="64"/>
      <c r="BQ723" s="64"/>
      <c r="BR723" s="64"/>
      <c r="BS723" s="16" t="s">
        <v>675</v>
      </c>
      <c r="BT723" s="65"/>
    </row>
    <row r="724" spans="1:92" ht="18" hidden="1" customHeight="1" x14ac:dyDescent="0.3">
      <c r="A724" s="84" t="s">
        <v>630</v>
      </c>
      <c r="B724" s="48" t="s">
        <v>631</v>
      </c>
      <c r="C724" s="67" t="s">
        <v>1324</v>
      </c>
      <c r="D724" s="67" t="s">
        <v>1325</v>
      </c>
      <c r="E724" s="50">
        <v>48.3</v>
      </c>
      <c r="F724" s="50">
        <v>0</v>
      </c>
      <c r="G724" s="61">
        <v>1</v>
      </c>
      <c r="H724" s="68" t="s">
        <v>1204</v>
      </c>
      <c r="I724" s="48" t="s">
        <v>1196</v>
      </c>
      <c r="J724" s="16" t="s">
        <v>1326</v>
      </c>
      <c r="K724" s="49">
        <v>100</v>
      </c>
      <c r="L724" s="49">
        <v>900</v>
      </c>
      <c r="M724" s="62" t="s">
        <v>1276</v>
      </c>
      <c r="N724" s="64"/>
      <c r="O724" s="49" t="str">
        <f t="shared" si="103"/>
        <v>YES</v>
      </c>
      <c r="P724" s="157"/>
      <c r="Q724" s="53">
        <f t="shared" si="104"/>
        <v>5000</v>
      </c>
      <c r="R724" s="54">
        <f t="shared" si="105"/>
        <v>2415</v>
      </c>
      <c r="S724" s="55" t="str">
        <f t="shared" si="106"/>
        <v xml:space="preserve"> </v>
      </c>
      <c r="T724" s="100"/>
      <c r="U724" s="57" t="str">
        <f t="shared" si="107"/>
        <v>100µg/100cm²</v>
      </c>
      <c r="V724" s="58">
        <f t="shared" si="108"/>
        <v>2415</v>
      </c>
      <c r="W724" s="58" t="str">
        <f t="shared" si="109"/>
        <v xml:space="preserve"> </v>
      </c>
      <c r="X724" s="59" t="str">
        <f t="shared" si="110"/>
        <v/>
      </c>
      <c r="Y724" s="158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AV724" s="16" t="s">
        <v>675</v>
      </c>
      <c r="AW724" s="16" t="s">
        <v>675</v>
      </c>
      <c r="AX724" s="64"/>
      <c r="AY724" s="64"/>
      <c r="AZ724" s="64"/>
      <c r="BA724" s="64"/>
      <c r="BB724" s="64"/>
      <c r="BC724" s="64"/>
      <c r="BD724" s="64"/>
      <c r="BE724" s="64"/>
      <c r="BF724" s="64"/>
      <c r="BG724" s="64"/>
      <c r="BH724" s="64"/>
      <c r="BI724" s="64"/>
      <c r="BJ724" s="64"/>
      <c r="BK724" s="64"/>
      <c r="BL724" s="64"/>
      <c r="BM724" s="64"/>
      <c r="BN724" s="64"/>
      <c r="BO724" s="64"/>
      <c r="BP724" s="64"/>
      <c r="BQ724" s="64"/>
      <c r="BR724" s="64"/>
      <c r="BS724" s="64"/>
      <c r="BT724" s="65"/>
    </row>
    <row r="725" spans="1:92" ht="18" hidden="1" customHeight="1" x14ac:dyDescent="0.3">
      <c r="A725" s="47" t="s">
        <v>411</v>
      </c>
      <c r="B725" s="48" t="s">
        <v>412</v>
      </c>
      <c r="C725" s="16" t="s">
        <v>2094</v>
      </c>
      <c r="D725" s="49" t="s">
        <v>1011</v>
      </c>
      <c r="E725" s="50">
        <v>71.2</v>
      </c>
      <c r="F725" s="50">
        <v>0</v>
      </c>
      <c r="G725" s="61">
        <v>2</v>
      </c>
      <c r="H725" s="16">
        <v>170</v>
      </c>
      <c r="I725" s="48" t="s">
        <v>1016</v>
      </c>
      <c r="J725" s="16" t="s">
        <v>2386</v>
      </c>
      <c r="K725" s="49">
        <v>50</v>
      </c>
      <c r="L725" s="49">
        <v>50</v>
      </c>
      <c r="M725" s="64"/>
      <c r="N725" s="64"/>
      <c r="O725" s="49" t="str">
        <f t="shared" si="103"/>
        <v>YES</v>
      </c>
      <c r="P725" s="157"/>
      <c r="Q725" s="53">
        <f t="shared" si="104"/>
        <v>5000</v>
      </c>
      <c r="R725" s="54">
        <f t="shared" si="105"/>
        <v>3560</v>
      </c>
      <c r="S725" s="55" t="str">
        <f t="shared" si="106"/>
        <v xml:space="preserve"> </v>
      </c>
      <c r="T725" s="100"/>
      <c r="U725" s="57" t="str">
        <f t="shared" si="107"/>
        <v>100µg/100cm²</v>
      </c>
      <c r="V725" s="58">
        <f t="shared" si="108"/>
        <v>3560</v>
      </c>
      <c r="W725" s="58" t="str">
        <f t="shared" si="109"/>
        <v xml:space="preserve"> </v>
      </c>
      <c r="X725" s="59" t="str">
        <f t="shared" si="110"/>
        <v/>
      </c>
      <c r="Y725" s="158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16" t="s">
        <v>675</v>
      </c>
      <c r="AS725" s="64"/>
      <c r="AT725" s="64"/>
      <c r="AU725" s="16" t="s">
        <v>675</v>
      </c>
      <c r="AV725" s="64"/>
      <c r="AW725" s="16" t="s">
        <v>675</v>
      </c>
      <c r="AX725" s="64"/>
      <c r="AY725" s="64"/>
      <c r="AZ725" s="64"/>
      <c r="BA725" s="64"/>
      <c r="BB725" s="64"/>
      <c r="BC725" s="64"/>
      <c r="BD725" s="64"/>
      <c r="BE725" s="64"/>
      <c r="BF725" s="64"/>
      <c r="BG725" s="64"/>
      <c r="BH725" s="64"/>
      <c r="BI725" s="64"/>
      <c r="BJ725" s="64"/>
      <c r="BK725" s="64"/>
      <c r="BL725" s="64"/>
      <c r="BM725" s="64"/>
      <c r="BN725" s="64"/>
      <c r="BO725" s="64"/>
      <c r="BP725" s="64"/>
      <c r="BQ725" s="64"/>
      <c r="BR725" s="64"/>
      <c r="BS725" s="64"/>
      <c r="BT725" s="65"/>
    </row>
    <row r="726" spans="1:92" ht="18" hidden="1" customHeight="1" x14ac:dyDescent="0.3">
      <c r="A726" s="169" t="s">
        <v>814</v>
      </c>
      <c r="B726" s="156" t="s">
        <v>813</v>
      </c>
      <c r="C726" s="144" t="s">
        <v>1646</v>
      </c>
      <c r="D726" s="49" t="s">
        <v>1114</v>
      </c>
      <c r="E726" s="142">
        <v>26.75</v>
      </c>
      <c r="F726" s="142">
        <v>0</v>
      </c>
      <c r="G726" s="144">
        <v>3</v>
      </c>
      <c r="H726" s="144" t="s">
        <v>1647</v>
      </c>
      <c r="I726" s="144" t="s">
        <v>1016</v>
      </c>
      <c r="J726" s="16" t="s">
        <v>2319</v>
      </c>
      <c r="K726" s="49">
        <v>5.0000000000000001E-3</v>
      </c>
      <c r="L726" s="49">
        <v>5.0000000000000001E-3</v>
      </c>
      <c r="M726" s="49" t="s">
        <v>2320</v>
      </c>
      <c r="N726" s="64"/>
      <c r="O726" s="49" t="str">
        <f t="shared" si="103"/>
        <v>YES</v>
      </c>
      <c r="P726" s="157"/>
      <c r="Q726" s="53">
        <f t="shared" si="104"/>
        <v>0.9</v>
      </c>
      <c r="R726" s="54">
        <f t="shared" si="105"/>
        <v>0.2</v>
      </c>
      <c r="S726" s="55" t="str">
        <f t="shared" si="106"/>
        <v xml:space="preserve"> </v>
      </c>
      <c r="T726" s="100"/>
      <c r="U726" s="57" t="str">
        <f t="shared" si="107"/>
        <v>Mitigation</v>
      </c>
      <c r="V726" s="58">
        <f t="shared" si="108"/>
        <v>0.2</v>
      </c>
      <c r="W726" s="58" t="str">
        <f t="shared" si="109"/>
        <v xml:space="preserve"> </v>
      </c>
      <c r="X726" s="59" t="str">
        <f t="shared" si="110"/>
        <v/>
      </c>
      <c r="Y726" s="158"/>
      <c r="Z726" s="64"/>
      <c r="AA726" s="64"/>
      <c r="AB726" s="64"/>
      <c r="AC726" s="64"/>
      <c r="AD726" s="64"/>
      <c r="AE726" s="64"/>
      <c r="AF726" s="64"/>
      <c r="AG726" s="64"/>
      <c r="AH726" s="16" t="s">
        <v>675</v>
      </c>
      <c r="AI726" s="64"/>
      <c r="AJ726" s="64"/>
      <c r="AK726" s="16" t="s">
        <v>675</v>
      </c>
      <c r="AL726" s="64"/>
      <c r="AM726" s="16" t="s">
        <v>675</v>
      </c>
      <c r="AN726" s="64"/>
      <c r="AO726" s="64"/>
      <c r="AP726" s="64"/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  <c r="BB726" s="64"/>
      <c r="BC726" s="64"/>
      <c r="BD726" s="64"/>
      <c r="BE726" s="64"/>
      <c r="BF726" s="64"/>
      <c r="BG726" s="64"/>
      <c r="BH726" s="64"/>
      <c r="BI726" s="64"/>
      <c r="BJ726" s="64"/>
      <c r="BK726" s="64"/>
      <c r="BL726" s="64"/>
      <c r="BM726" s="64"/>
      <c r="BN726" s="64"/>
      <c r="BO726" s="64"/>
      <c r="BP726" s="64"/>
      <c r="BQ726" s="64"/>
      <c r="BR726" s="64"/>
      <c r="BS726" s="64"/>
      <c r="BT726" s="65"/>
    </row>
    <row r="727" spans="1:92" ht="18" customHeight="1" x14ac:dyDescent="0.3">
      <c r="A727" s="47" t="s">
        <v>1849</v>
      </c>
      <c r="B727" s="48" t="s">
        <v>545</v>
      </c>
      <c r="C727" s="49" t="s">
        <v>1407</v>
      </c>
      <c r="D727" s="49" t="s">
        <v>1114</v>
      </c>
      <c r="E727" s="50">
        <v>0</v>
      </c>
      <c r="F727" s="50">
        <v>0</v>
      </c>
      <c r="G727" s="61">
        <v>2</v>
      </c>
      <c r="H727" s="16">
        <v>900</v>
      </c>
      <c r="I727" s="48" t="s">
        <v>1196</v>
      </c>
      <c r="J727" s="16" t="s">
        <v>2386</v>
      </c>
      <c r="K727" s="49">
        <v>50</v>
      </c>
      <c r="L727" s="49">
        <v>50</v>
      </c>
      <c r="M727" s="64"/>
      <c r="N727" s="64"/>
      <c r="O727" s="49" t="str">
        <f t="shared" si="103"/>
        <v>YES</v>
      </c>
      <c r="P727" s="157"/>
      <c r="Q727" s="53">
        <f t="shared" si="104"/>
        <v>5000</v>
      </c>
      <c r="R727" s="54" t="str">
        <f t="shared" si="105"/>
        <v xml:space="preserve"> </v>
      </c>
      <c r="S727" s="55" t="str">
        <f t="shared" si="106"/>
        <v xml:space="preserve"> </v>
      </c>
      <c r="T727" s="100"/>
      <c r="U727" s="57" t="str">
        <f t="shared" si="107"/>
        <v xml:space="preserve"> </v>
      </c>
      <c r="V727" s="58" t="str">
        <f t="shared" si="108"/>
        <v xml:space="preserve"> </v>
      </c>
      <c r="W727" s="58" t="str">
        <f t="shared" si="109"/>
        <v xml:space="preserve"> </v>
      </c>
      <c r="X727" s="59" t="str">
        <f t="shared" si="110"/>
        <v>Water criteria (conductivity)</v>
      </c>
      <c r="Y727" s="158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16" t="s">
        <v>675</v>
      </c>
      <c r="AK727" s="64"/>
      <c r="AL727" s="64"/>
      <c r="AM727" s="16" t="s">
        <v>675</v>
      </c>
      <c r="AN727" s="64"/>
      <c r="AO727" s="64"/>
      <c r="AP727" s="64"/>
      <c r="AQ727" s="64"/>
      <c r="AR727" s="64"/>
      <c r="AS727" s="16" t="s">
        <v>675</v>
      </c>
      <c r="AT727" s="64"/>
      <c r="AU727" s="64"/>
      <c r="AV727" s="64"/>
      <c r="AW727" s="64"/>
      <c r="AX727" s="64"/>
      <c r="AY727" s="64"/>
      <c r="AZ727" s="64"/>
      <c r="BA727" s="64"/>
      <c r="BB727" s="64"/>
      <c r="BC727" s="64"/>
      <c r="BD727" s="64"/>
      <c r="BE727" s="64"/>
      <c r="BF727" s="64"/>
      <c r="BG727" s="64"/>
      <c r="BH727" s="64"/>
      <c r="BI727" s="64"/>
      <c r="BJ727" s="64"/>
      <c r="BK727" s="64"/>
      <c r="BL727" s="64"/>
      <c r="BM727" s="64"/>
      <c r="BN727" s="64"/>
      <c r="BO727" s="64"/>
      <c r="BP727" s="64"/>
      <c r="BQ727" s="64"/>
      <c r="BR727" s="64"/>
      <c r="BS727" s="64"/>
      <c r="BT727" s="65"/>
      <c r="CF727" s="19"/>
      <c r="CG727" s="19"/>
      <c r="CH727" s="20"/>
      <c r="CI727" s="20"/>
      <c r="CJ727" s="20"/>
      <c r="CK727" s="20"/>
      <c r="CL727" s="20"/>
      <c r="CM727" s="20"/>
      <c r="CN727" s="20"/>
    </row>
    <row r="728" spans="1:92" ht="18" hidden="1" customHeight="1" x14ac:dyDescent="0.3">
      <c r="A728" s="80" t="s">
        <v>853</v>
      </c>
      <c r="B728" s="102" t="s">
        <v>854</v>
      </c>
      <c r="C728" s="16" t="s">
        <v>1648</v>
      </c>
      <c r="D728" s="16" t="s">
        <v>1011</v>
      </c>
      <c r="E728" s="142">
        <v>30.46</v>
      </c>
      <c r="F728" s="50">
        <v>0</v>
      </c>
      <c r="G728" s="16">
        <v>2</v>
      </c>
      <c r="H728" s="16">
        <v>667</v>
      </c>
      <c r="I728" s="16" t="s">
        <v>1016</v>
      </c>
      <c r="J728" s="16" t="s">
        <v>2386</v>
      </c>
      <c r="K728" s="49">
        <v>50</v>
      </c>
      <c r="L728" s="49">
        <v>50</v>
      </c>
      <c r="M728" s="64"/>
      <c r="N728" s="64"/>
      <c r="O728" s="49" t="str">
        <f t="shared" si="103"/>
        <v>YES</v>
      </c>
      <c r="P728" s="157"/>
      <c r="Q728" s="53">
        <f t="shared" si="104"/>
        <v>5000</v>
      </c>
      <c r="R728" s="54">
        <f t="shared" si="105"/>
        <v>1523</v>
      </c>
      <c r="S728" s="55" t="str">
        <f t="shared" si="106"/>
        <v xml:space="preserve"> </v>
      </c>
      <c r="T728" s="100"/>
      <c r="U728" s="57" t="str">
        <f t="shared" si="107"/>
        <v>100µg/100cm²</v>
      </c>
      <c r="V728" s="58">
        <f t="shared" si="108"/>
        <v>1523</v>
      </c>
      <c r="W728" s="58" t="str">
        <f t="shared" si="109"/>
        <v xml:space="preserve"> </v>
      </c>
      <c r="X728" s="59" t="str">
        <f t="shared" si="110"/>
        <v/>
      </c>
      <c r="Y728" s="158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/>
      <c r="BD728" s="64"/>
      <c r="BE728" s="16" t="s">
        <v>675</v>
      </c>
      <c r="BF728" s="64"/>
      <c r="BG728" s="64"/>
      <c r="BH728" s="64"/>
      <c r="BI728" s="64"/>
      <c r="BJ728" s="64"/>
      <c r="BK728" s="64"/>
      <c r="BL728" s="64"/>
      <c r="BM728" s="64"/>
      <c r="BN728" s="64"/>
      <c r="BO728" s="64"/>
      <c r="BP728" s="64"/>
      <c r="BQ728" s="64"/>
      <c r="BR728" s="64"/>
      <c r="BS728" s="16" t="s">
        <v>675</v>
      </c>
      <c r="BT728" s="65"/>
      <c r="CF728" s="21"/>
      <c r="CG728" s="22"/>
      <c r="CH728" s="1"/>
      <c r="CI728" s="1"/>
      <c r="CJ728" s="1"/>
      <c r="CK728" s="1"/>
      <c r="CL728" s="1"/>
      <c r="CM728" s="18"/>
      <c r="CN728" s="18"/>
    </row>
    <row r="729" spans="1:92" ht="18" customHeight="1" x14ac:dyDescent="0.3">
      <c r="A729" s="47" t="s">
        <v>1850</v>
      </c>
      <c r="B729" s="48" t="s">
        <v>287</v>
      </c>
      <c r="C729" s="16" t="s">
        <v>2232</v>
      </c>
      <c r="D729" s="49" t="s">
        <v>1114</v>
      </c>
      <c r="E729" s="142">
        <v>0</v>
      </c>
      <c r="F729" s="50">
        <v>0</v>
      </c>
      <c r="G729" s="61">
        <v>2</v>
      </c>
      <c r="H729" s="16">
        <v>121</v>
      </c>
      <c r="I729" s="48" t="s">
        <v>1048</v>
      </c>
      <c r="J729" s="16" t="s">
        <v>1228</v>
      </c>
      <c r="K729" s="49">
        <v>185000</v>
      </c>
      <c r="L729" s="49">
        <v>1667000</v>
      </c>
      <c r="M729" s="62" t="s">
        <v>1229</v>
      </c>
      <c r="N729" s="51"/>
      <c r="O729" s="49" t="str">
        <f t="shared" si="103"/>
        <v>YES</v>
      </c>
      <c r="P729" s="157"/>
      <c r="Q729" s="53">
        <f t="shared" si="104"/>
        <v>5000</v>
      </c>
      <c r="R729" s="54" t="str">
        <f t="shared" si="105"/>
        <v xml:space="preserve"> </v>
      </c>
      <c r="S729" s="55" t="str">
        <f t="shared" si="106"/>
        <v xml:space="preserve"> </v>
      </c>
      <c r="T729" s="100"/>
      <c r="U729" s="57" t="str">
        <f t="shared" si="107"/>
        <v xml:space="preserve"> </v>
      </c>
      <c r="V729" s="58" t="str">
        <f t="shared" si="108"/>
        <v xml:space="preserve"> </v>
      </c>
      <c r="W729" s="58" t="str">
        <f t="shared" si="109"/>
        <v xml:space="preserve"> </v>
      </c>
      <c r="X729" s="59" t="str">
        <f t="shared" si="110"/>
        <v>Water criteria (conductivity)</v>
      </c>
      <c r="Y729" s="158"/>
      <c r="Z729" s="64"/>
      <c r="AA729" s="64"/>
      <c r="AB729" s="64"/>
      <c r="AC729" s="64"/>
      <c r="AD729" s="64"/>
      <c r="AE729" s="64"/>
      <c r="AF729" s="16" t="s">
        <v>675</v>
      </c>
      <c r="AG729" s="64"/>
      <c r="AH729" s="64"/>
      <c r="AI729" s="64"/>
      <c r="AJ729" s="64"/>
      <c r="AK729" s="64"/>
      <c r="AL729" s="64"/>
      <c r="AM729" s="16" t="s">
        <v>675</v>
      </c>
      <c r="AN729" s="64"/>
      <c r="AO729" s="64"/>
      <c r="AP729" s="64"/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  <c r="BB729" s="64"/>
      <c r="BC729" s="64"/>
      <c r="BD729" s="64"/>
      <c r="BE729" s="64"/>
      <c r="BF729" s="64"/>
      <c r="BG729" s="64"/>
      <c r="BH729" s="64"/>
      <c r="BI729" s="64"/>
      <c r="BJ729" s="64"/>
      <c r="BK729" s="64"/>
      <c r="BL729" s="64"/>
      <c r="BM729" s="64"/>
      <c r="BN729" s="64"/>
      <c r="BO729" s="64"/>
      <c r="BP729" s="64"/>
      <c r="BQ729" s="64"/>
      <c r="BR729" s="64"/>
      <c r="BS729" s="64"/>
      <c r="BT729" s="65"/>
    </row>
    <row r="730" spans="1:92" ht="18" customHeight="1" x14ac:dyDescent="0.3">
      <c r="A730" s="47" t="s">
        <v>752</v>
      </c>
      <c r="B730" s="48" t="s">
        <v>753</v>
      </c>
      <c r="C730" s="16" t="s">
        <v>2233</v>
      </c>
      <c r="D730" s="49" t="s">
        <v>1114</v>
      </c>
      <c r="E730" s="142">
        <v>0</v>
      </c>
      <c r="F730" s="50">
        <v>0</v>
      </c>
      <c r="G730" s="61">
        <v>2</v>
      </c>
      <c r="H730" s="16">
        <v>285</v>
      </c>
      <c r="I730" s="16" t="s">
        <v>1573</v>
      </c>
      <c r="J730" s="16" t="s">
        <v>2386</v>
      </c>
      <c r="K730" s="49">
        <v>50</v>
      </c>
      <c r="L730" s="49">
        <v>50</v>
      </c>
      <c r="M730" s="64"/>
      <c r="N730" s="64"/>
      <c r="O730" s="49" t="str">
        <f t="shared" si="103"/>
        <v>YES</v>
      </c>
      <c r="P730" s="157"/>
      <c r="Q730" s="53">
        <f t="shared" si="104"/>
        <v>5000</v>
      </c>
      <c r="R730" s="54" t="str">
        <f t="shared" si="105"/>
        <v xml:space="preserve"> </v>
      </c>
      <c r="S730" s="55" t="str">
        <f t="shared" si="106"/>
        <v xml:space="preserve"> </v>
      </c>
      <c r="T730" s="100"/>
      <c r="U730" s="57" t="str">
        <f t="shared" si="107"/>
        <v xml:space="preserve"> </v>
      </c>
      <c r="V730" s="58" t="str">
        <f t="shared" si="108"/>
        <v xml:space="preserve"> </v>
      </c>
      <c r="W730" s="58" t="str">
        <f t="shared" si="109"/>
        <v xml:space="preserve"> </v>
      </c>
      <c r="X730" s="59" t="str">
        <f t="shared" si="110"/>
        <v>Water criteria (conductivity)</v>
      </c>
      <c r="Y730" s="158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16" t="s">
        <v>675</v>
      </c>
      <c r="AT730" s="64"/>
      <c r="AU730" s="64"/>
      <c r="AV730" s="64"/>
      <c r="AW730" s="64"/>
      <c r="AX730" s="64"/>
      <c r="AY730" s="64"/>
      <c r="AZ730" s="64"/>
      <c r="BA730" s="64"/>
      <c r="BB730" s="64"/>
      <c r="BC730" s="64"/>
      <c r="BD730" s="64"/>
      <c r="BE730" s="64"/>
      <c r="BF730" s="64"/>
      <c r="BG730" s="64"/>
      <c r="BH730" s="64"/>
      <c r="BI730" s="64"/>
      <c r="BJ730" s="64"/>
      <c r="BK730" s="64"/>
      <c r="BL730" s="64"/>
      <c r="BM730" s="64"/>
      <c r="BN730" s="64"/>
      <c r="BO730" s="64"/>
      <c r="BP730" s="64"/>
      <c r="BQ730" s="64"/>
      <c r="BR730" s="64"/>
      <c r="BS730" s="64"/>
      <c r="BT730" s="65"/>
      <c r="CF730" s="23"/>
      <c r="CG730" s="1"/>
      <c r="CH730" s="1"/>
      <c r="CI730" s="1"/>
      <c r="CJ730" s="1"/>
      <c r="CK730" s="1"/>
      <c r="CL730" s="1"/>
      <c r="CM730" s="18"/>
      <c r="CN730" s="18"/>
    </row>
    <row r="731" spans="1:92" ht="31.45" hidden="1" x14ac:dyDescent="0.3">
      <c r="A731" s="47" t="s">
        <v>1851</v>
      </c>
      <c r="B731" s="48" t="s">
        <v>162</v>
      </c>
      <c r="C731" s="49" t="s">
        <v>1394</v>
      </c>
      <c r="D731" s="49" t="s">
        <v>1163</v>
      </c>
      <c r="E731" s="50">
        <v>63.2</v>
      </c>
      <c r="F731" s="50">
        <v>0</v>
      </c>
      <c r="G731" s="61">
        <v>1</v>
      </c>
      <c r="H731" s="16" t="s">
        <v>1023</v>
      </c>
      <c r="I731" s="49" t="s">
        <v>1016</v>
      </c>
      <c r="J731" s="16" t="s">
        <v>2386</v>
      </c>
      <c r="K731" s="49">
        <v>50</v>
      </c>
      <c r="L731" s="49">
        <v>50</v>
      </c>
      <c r="M731" s="64"/>
      <c r="N731" s="64"/>
      <c r="O731" s="49" t="str">
        <f t="shared" si="103"/>
        <v>YES</v>
      </c>
      <c r="P731" s="157"/>
      <c r="Q731" s="53">
        <f t="shared" si="104"/>
        <v>5000</v>
      </c>
      <c r="R731" s="54">
        <f t="shared" si="105"/>
        <v>3160</v>
      </c>
      <c r="S731" s="55" t="str">
        <f t="shared" si="106"/>
        <v xml:space="preserve"> </v>
      </c>
      <c r="T731" s="100"/>
      <c r="U731" s="57" t="str">
        <f t="shared" si="107"/>
        <v>100µg/100cm²</v>
      </c>
      <c r="V731" s="58">
        <f t="shared" si="108"/>
        <v>3160</v>
      </c>
      <c r="W731" s="58" t="str">
        <f t="shared" si="109"/>
        <v xml:space="preserve"> </v>
      </c>
      <c r="X731" s="59" t="str">
        <f t="shared" si="110"/>
        <v/>
      </c>
      <c r="Y731" s="158"/>
      <c r="Z731" s="64"/>
      <c r="AA731" s="64"/>
      <c r="AB731" s="64"/>
      <c r="AC731" s="64"/>
      <c r="AD731" s="16" t="s">
        <v>675</v>
      </c>
      <c r="AE731" s="64"/>
      <c r="AF731" s="16" t="s">
        <v>675</v>
      </c>
      <c r="AG731" s="16" t="s">
        <v>675</v>
      </c>
      <c r="AH731" s="64"/>
      <c r="AI731" s="64"/>
      <c r="AJ731" s="64"/>
      <c r="AK731" s="64"/>
      <c r="AL731" s="64"/>
      <c r="AM731" s="16" t="s">
        <v>675</v>
      </c>
      <c r="AN731" s="64"/>
      <c r="AO731" s="16" t="s">
        <v>675</v>
      </c>
      <c r="AP731" s="16" t="s">
        <v>675</v>
      </c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16" t="s">
        <v>675</v>
      </c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/>
      <c r="BR731" s="64"/>
      <c r="BS731" s="16" t="s">
        <v>675</v>
      </c>
      <c r="BT731" s="65"/>
    </row>
    <row r="732" spans="1:92" ht="17.05" hidden="1" x14ac:dyDescent="0.3">
      <c r="A732" s="47" t="s">
        <v>17</v>
      </c>
      <c r="B732" s="49" t="s">
        <v>18</v>
      </c>
      <c r="C732" s="16" t="s">
        <v>2234</v>
      </c>
      <c r="D732" s="70" t="s">
        <v>1011</v>
      </c>
      <c r="E732" s="50">
        <v>39.700000000000003</v>
      </c>
      <c r="F732" s="50">
        <v>0</v>
      </c>
      <c r="G732" s="61">
        <v>2</v>
      </c>
      <c r="H732" s="16">
        <v>550</v>
      </c>
      <c r="I732" s="49" t="s">
        <v>1016</v>
      </c>
      <c r="J732" s="16" t="s">
        <v>2386</v>
      </c>
      <c r="K732" s="49">
        <v>50</v>
      </c>
      <c r="L732" s="49">
        <v>50</v>
      </c>
      <c r="M732" s="64"/>
      <c r="N732" s="64"/>
      <c r="O732" s="49" t="str">
        <f t="shared" si="103"/>
        <v>YES</v>
      </c>
      <c r="P732" s="157"/>
      <c r="Q732" s="53">
        <f t="shared" si="104"/>
        <v>5000</v>
      </c>
      <c r="R732" s="54">
        <f t="shared" si="105"/>
        <v>1985</v>
      </c>
      <c r="S732" s="55" t="str">
        <f t="shared" si="106"/>
        <v xml:space="preserve"> </v>
      </c>
      <c r="T732" s="100"/>
      <c r="U732" s="57" t="str">
        <f t="shared" si="107"/>
        <v>100µg/100cm²</v>
      </c>
      <c r="V732" s="58">
        <f t="shared" si="108"/>
        <v>1985</v>
      </c>
      <c r="W732" s="58" t="str">
        <f t="shared" si="109"/>
        <v xml:space="preserve"> </v>
      </c>
      <c r="X732" s="59" t="str">
        <f t="shared" si="110"/>
        <v/>
      </c>
      <c r="Y732" s="158"/>
      <c r="Z732" s="16" t="s">
        <v>675</v>
      </c>
      <c r="AA732" s="16" t="s">
        <v>675</v>
      </c>
      <c r="AB732" s="16" t="s">
        <v>675</v>
      </c>
      <c r="AC732" s="16" t="s">
        <v>675</v>
      </c>
      <c r="AD732" s="16" t="s">
        <v>675</v>
      </c>
      <c r="AE732" s="16" t="s">
        <v>675</v>
      </c>
      <c r="AF732" s="16" t="s">
        <v>675</v>
      </c>
      <c r="AG732" s="64"/>
      <c r="AH732" s="64"/>
      <c r="AI732" s="64"/>
      <c r="AJ732" s="16" t="s">
        <v>675</v>
      </c>
      <c r="AK732" s="64"/>
      <c r="AL732" s="64"/>
      <c r="AM732" s="16" t="s">
        <v>675</v>
      </c>
      <c r="AN732" s="16" t="s">
        <v>675</v>
      </c>
      <c r="AO732" s="64"/>
      <c r="AP732" s="16" t="s">
        <v>675</v>
      </c>
      <c r="AQ732" s="64"/>
      <c r="AR732" s="64"/>
      <c r="AS732" s="16" t="s">
        <v>675</v>
      </c>
      <c r="AT732" s="64"/>
      <c r="AU732" s="16" t="s">
        <v>675</v>
      </c>
      <c r="AV732" s="16" t="s">
        <v>675</v>
      </c>
      <c r="AW732" s="16" t="s">
        <v>675</v>
      </c>
      <c r="AX732" s="64"/>
      <c r="AY732" s="64"/>
      <c r="AZ732" s="64"/>
      <c r="BA732" s="16" t="s">
        <v>675</v>
      </c>
      <c r="BB732" s="16" t="s">
        <v>675</v>
      </c>
      <c r="BC732" s="64"/>
      <c r="BD732" s="64"/>
      <c r="BE732" s="65"/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  <c r="BQ732" s="64"/>
      <c r="BR732" s="64"/>
      <c r="BS732" s="64"/>
      <c r="BT732" s="65"/>
    </row>
    <row r="733" spans="1:92" ht="15.75" hidden="1" x14ac:dyDescent="0.3">
      <c r="A733" s="47" t="s">
        <v>104</v>
      </c>
      <c r="B733" s="48" t="s">
        <v>105</v>
      </c>
      <c r="C733" s="49" t="s">
        <v>1098</v>
      </c>
      <c r="D733" s="49" t="s">
        <v>1096</v>
      </c>
      <c r="E733" s="50">
        <v>42.5</v>
      </c>
      <c r="F733" s="50">
        <v>0</v>
      </c>
      <c r="G733" s="61">
        <v>4</v>
      </c>
      <c r="H733" s="16">
        <v>10</v>
      </c>
      <c r="I733" s="48" t="s">
        <v>1016</v>
      </c>
      <c r="J733" s="16" t="s">
        <v>1099</v>
      </c>
      <c r="K733" s="49">
        <v>1.5</v>
      </c>
      <c r="L733" s="49">
        <v>1.5</v>
      </c>
      <c r="M733" s="62" t="s">
        <v>1036</v>
      </c>
      <c r="N733" s="49" t="s">
        <v>2357</v>
      </c>
      <c r="O733" s="49" t="str">
        <f t="shared" si="103"/>
        <v>NO</v>
      </c>
      <c r="P733" s="157"/>
      <c r="Q733" s="53">
        <f t="shared" si="104"/>
        <v>1.5</v>
      </c>
      <c r="R733" s="54">
        <f t="shared" si="105"/>
        <v>0.6</v>
      </c>
      <c r="S733" s="55" t="str">
        <f t="shared" si="106"/>
        <v xml:space="preserve"> </v>
      </c>
      <c r="T733" s="100"/>
      <c r="U733" s="57" t="str">
        <f t="shared" si="107"/>
        <v>Mitigation</v>
      </c>
      <c r="V733" s="58">
        <f t="shared" si="108"/>
        <v>0.6</v>
      </c>
      <c r="W733" s="58" t="str">
        <f t="shared" si="109"/>
        <v xml:space="preserve"> </v>
      </c>
      <c r="X733" s="59" t="str">
        <f t="shared" si="110"/>
        <v/>
      </c>
      <c r="Y733" s="158"/>
      <c r="Z733" s="64"/>
      <c r="AA733" s="64"/>
      <c r="AB733" s="64"/>
      <c r="AC733" s="16" t="s">
        <v>675</v>
      </c>
      <c r="AD733" s="16" t="s">
        <v>675</v>
      </c>
      <c r="AE733" s="64"/>
      <c r="AF733" s="64"/>
      <c r="AG733" s="64"/>
      <c r="AH733" s="64"/>
      <c r="AI733" s="64"/>
      <c r="AJ733" s="64"/>
      <c r="AK733" s="64"/>
      <c r="AL733" s="64"/>
      <c r="AM733" s="16" t="s">
        <v>675</v>
      </c>
      <c r="AN733" s="64"/>
      <c r="AO733" s="64"/>
      <c r="AP733" s="64"/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  <c r="BB733" s="64"/>
      <c r="BC733" s="64"/>
      <c r="BD733" s="64"/>
      <c r="BE733" s="64"/>
      <c r="BF733" s="64"/>
      <c r="BG733" s="64"/>
      <c r="BH733" s="64"/>
      <c r="BI733" s="64"/>
      <c r="BJ733" s="64"/>
      <c r="BK733" s="64"/>
      <c r="BL733" s="64"/>
      <c r="BM733" s="64"/>
      <c r="BN733" s="64"/>
      <c r="BO733" s="64"/>
      <c r="BP733" s="64"/>
      <c r="BQ733" s="64"/>
      <c r="BR733" s="64"/>
      <c r="BS733" s="64"/>
      <c r="BT733" s="65"/>
    </row>
    <row r="734" spans="1:92" ht="15.75" hidden="1" x14ac:dyDescent="0.3">
      <c r="A734" s="81" t="s">
        <v>331</v>
      </c>
      <c r="B734" s="76" t="s">
        <v>983</v>
      </c>
      <c r="C734" s="16" t="s">
        <v>1604</v>
      </c>
      <c r="D734" s="16" t="s">
        <v>1491</v>
      </c>
      <c r="E734" s="50">
        <v>52.71</v>
      </c>
      <c r="F734" s="50">
        <v>0</v>
      </c>
      <c r="G734" s="16">
        <v>3</v>
      </c>
      <c r="H734" s="16" t="s">
        <v>1038</v>
      </c>
      <c r="I734" s="162" t="s">
        <v>1016</v>
      </c>
      <c r="J734" s="16" t="s">
        <v>2382</v>
      </c>
      <c r="K734" s="16">
        <v>50</v>
      </c>
      <c r="L734" s="16">
        <v>50</v>
      </c>
      <c r="M734" s="64"/>
      <c r="N734" s="64"/>
      <c r="O734" s="49" t="str">
        <f t="shared" si="103"/>
        <v>YES</v>
      </c>
      <c r="P734" s="157"/>
      <c r="Q734" s="53">
        <f t="shared" si="104"/>
        <v>5000</v>
      </c>
      <c r="R734" s="54">
        <f t="shared" si="105"/>
        <v>2635.5</v>
      </c>
      <c r="S734" s="55" t="str">
        <f t="shared" si="106"/>
        <v xml:space="preserve"> </v>
      </c>
      <c r="T734" s="100"/>
      <c r="U734" s="57" t="str">
        <f t="shared" si="107"/>
        <v>100µg/100cm²</v>
      </c>
      <c r="V734" s="58">
        <f t="shared" si="108"/>
        <v>2635.5</v>
      </c>
      <c r="W734" s="58" t="str">
        <f t="shared" si="109"/>
        <v xml:space="preserve"> </v>
      </c>
      <c r="X734" s="59" t="str">
        <f t="shared" si="110"/>
        <v/>
      </c>
      <c r="Y734" s="158"/>
      <c r="Z734" s="64"/>
      <c r="AA734" s="64"/>
      <c r="AB734" s="16" t="s">
        <v>675</v>
      </c>
      <c r="AC734" s="64"/>
      <c r="AD734" s="64"/>
      <c r="AE734" s="64"/>
      <c r="AF734" s="64"/>
      <c r="AG734" s="64"/>
      <c r="AH734" s="64"/>
      <c r="AI734" s="16" t="s">
        <v>675</v>
      </c>
      <c r="AJ734" s="64"/>
      <c r="AK734" s="16" t="s">
        <v>675</v>
      </c>
      <c r="AL734" s="16" t="s">
        <v>675</v>
      </c>
      <c r="AM734" s="16" t="s">
        <v>675</v>
      </c>
      <c r="AN734" s="64"/>
      <c r="AO734" s="64"/>
      <c r="AP734" s="64"/>
      <c r="AQ734" s="64"/>
      <c r="AR734" s="64"/>
      <c r="AS734" s="16" t="s">
        <v>675</v>
      </c>
      <c r="AT734" s="64"/>
      <c r="AU734" s="82"/>
      <c r="AV734" s="82"/>
      <c r="AW734" s="82"/>
      <c r="AX734" s="64"/>
      <c r="AY734" s="64"/>
      <c r="AZ734" s="64"/>
      <c r="BA734" s="64"/>
      <c r="BB734" s="64"/>
      <c r="BC734" s="64"/>
      <c r="BD734" s="16" t="s">
        <v>675</v>
      </c>
      <c r="BE734" s="64"/>
      <c r="BF734" s="64"/>
      <c r="BG734" s="64"/>
      <c r="BH734" s="64"/>
      <c r="BI734" s="64"/>
      <c r="BJ734" s="64"/>
      <c r="BK734" s="64"/>
      <c r="BL734" s="64"/>
      <c r="BM734" s="64"/>
      <c r="BN734" s="64"/>
      <c r="BO734" s="64"/>
      <c r="BP734" s="64"/>
      <c r="BQ734" s="64"/>
      <c r="BR734" s="64"/>
      <c r="BS734" s="64"/>
      <c r="BT734" s="65"/>
    </row>
    <row r="735" spans="1:92" ht="15.75" hidden="1" x14ac:dyDescent="0.3">
      <c r="A735" s="81" t="s">
        <v>1506</v>
      </c>
      <c r="B735" s="99" t="s">
        <v>563</v>
      </c>
      <c r="C735" s="16" t="s">
        <v>1504</v>
      </c>
      <c r="D735" s="16" t="s">
        <v>1486</v>
      </c>
      <c r="E735" s="50">
        <v>50</v>
      </c>
      <c r="F735" s="50">
        <v>0</v>
      </c>
      <c r="G735" s="16">
        <v>2</v>
      </c>
      <c r="H735" s="16">
        <v>800</v>
      </c>
      <c r="I735" s="16" t="s">
        <v>1016</v>
      </c>
      <c r="J735" s="16" t="s">
        <v>2382</v>
      </c>
      <c r="K735" s="16">
        <v>50</v>
      </c>
      <c r="L735" s="16">
        <v>50</v>
      </c>
      <c r="M735" s="64"/>
      <c r="N735" s="64"/>
      <c r="O735" s="49" t="str">
        <f t="shared" si="103"/>
        <v>YES</v>
      </c>
      <c r="P735" s="157"/>
      <c r="Q735" s="53">
        <f t="shared" si="104"/>
        <v>5000</v>
      </c>
      <c r="R735" s="54">
        <f t="shared" si="105"/>
        <v>2500</v>
      </c>
      <c r="S735" s="55" t="str">
        <f t="shared" si="106"/>
        <v xml:space="preserve"> </v>
      </c>
      <c r="T735" s="100"/>
      <c r="U735" s="57" t="str">
        <f t="shared" si="107"/>
        <v>100µg/100cm²</v>
      </c>
      <c r="V735" s="58">
        <f t="shared" si="108"/>
        <v>2500</v>
      </c>
      <c r="W735" s="58" t="str">
        <f t="shared" si="109"/>
        <v xml:space="preserve"> </v>
      </c>
      <c r="X735" s="59" t="str">
        <f t="shared" si="110"/>
        <v/>
      </c>
      <c r="Y735" s="158"/>
      <c r="Z735" s="64"/>
      <c r="AA735" s="64"/>
      <c r="AB735" s="64"/>
      <c r="AC735" s="64"/>
      <c r="AD735" s="64"/>
      <c r="AE735" s="16" t="s">
        <v>675</v>
      </c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16" t="s">
        <v>675</v>
      </c>
      <c r="AR735" s="64"/>
      <c r="AS735" s="16" t="s">
        <v>675</v>
      </c>
      <c r="AT735" s="64"/>
      <c r="AU735" s="83" t="s">
        <v>675</v>
      </c>
      <c r="AV735" s="83" t="s">
        <v>675</v>
      </c>
      <c r="AW735" s="16" t="s">
        <v>675</v>
      </c>
      <c r="AX735" s="64"/>
      <c r="AY735" s="16" t="s">
        <v>675</v>
      </c>
      <c r="AZ735" s="16" t="s">
        <v>675</v>
      </c>
      <c r="BA735" s="16" t="s">
        <v>675</v>
      </c>
      <c r="BB735" s="16" t="s">
        <v>675</v>
      </c>
      <c r="BC735" s="64"/>
      <c r="BD735" s="16" t="s">
        <v>675</v>
      </c>
      <c r="BE735" s="16" t="s">
        <v>675</v>
      </c>
      <c r="BF735" s="64"/>
      <c r="BG735" s="64"/>
      <c r="BH735" s="64"/>
      <c r="BI735" s="64"/>
      <c r="BJ735" s="64"/>
      <c r="BK735" s="64"/>
      <c r="BL735" s="64"/>
      <c r="BM735" s="64"/>
      <c r="BN735" s="64"/>
      <c r="BO735" s="64"/>
      <c r="BP735" s="64"/>
      <c r="BQ735" s="64"/>
      <c r="BR735" s="64"/>
      <c r="BS735" s="16" t="s">
        <v>675</v>
      </c>
      <c r="BT735" s="65"/>
    </row>
    <row r="736" spans="1:92" ht="15.75" hidden="1" x14ac:dyDescent="0.3">
      <c r="A736" s="47" t="s">
        <v>323</v>
      </c>
      <c r="B736" s="76" t="s">
        <v>459</v>
      </c>
      <c r="C736" s="16" t="s">
        <v>1602</v>
      </c>
      <c r="D736" s="83" t="s">
        <v>1305</v>
      </c>
      <c r="E736" s="50">
        <v>65.75</v>
      </c>
      <c r="F736" s="50">
        <v>0</v>
      </c>
      <c r="G736" s="61">
        <v>7</v>
      </c>
      <c r="H736" s="16" t="s">
        <v>1105</v>
      </c>
      <c r="I736" s="48" t="s">
        <v>1016</v>
      </c>
      <c r="J736" s="16" t="s">
        <v>2386</v>
      </c>
      <c r="K736" s="49">
        <v>50</v>
      </c>
      <c r="L736" s="49">
        <v>50</v>
      </c>
      <c r="M736" s="64"/>
      <c r="N736" s="64"/>
      <c r="O736" s="49" t="str">
        <f t="shared" si="103"/>
        <v>YES</v>
      </c>
      <c r="P736" s="157"/>
      <c r="Q736" s="53">
        <f t="shared" si="104"/>
        <v>5000</v>
      </c>
      <c r="R736" s="54">
        <f t="shared" si="105"/>
        <v>3287.5</v>
      </c>
      <c r="S736" s="55" t="str">
        <f t="shared" si="106"/>
        <v xml:space="preserve"> </v>
      </c>
      <c r="T736" s="100"/>
      <c r="U736" s="57" t="str">
        <f t="shared" si="107"/>
        <v>100µg/100cm²</v>
      </c>
      <c r="V736" s="58">
        <f t="shared" si="108"/>
        <v>3287.5</v>
      </c>
      <c r="W736" s="58" t="str">
        <f t="shared" si="109"/>
        <v xml:space="preserve"> </v>
      </c>
      <c r="X736" s="59" t="str">
        <f t="shared" si="110"/>
        <v/>
      </c>
      <c r="Y736" s="158"/>
      <c r="Z736" s="64"/>
      <c r="AA736" s="16" t="s">
        <v>675</v>
      </c>
      <c r="AB736" s="64"/>
      <c r="AC736" s="64"/>
      <c r="AD736" s="64"/>
      <c r="AE736" s="64"/>
      <c r="AF736" s="64"/>
      <c r="AG736" s="64"/>
      <c r="AH736" s="64"/>
      <c r="AI736" s="64"/>
      <c r="AJ736" s="16" t="s">
        <v>675</v>
      </c>
      <c r="AK736" s="64"/>
      <c r="AL736" s="64"/>
      <c r="AM736" s="16" t="s">
        <v>675</v>
      </c>
      <c r="AN736" s="64"/>
      <c r="AO736" s="64"/>
      <c r="AP736" s="64"/>
      <c r="AQ736" s="64"/>
      <c r="AR736" s="64"/>
      <c r="AS736" s="64"/>
      <c r="AT736" s="64"/>
      <c r="AU736" s="64"/>
      <c r="AV736" s="64"/>
      <c r="AW736" s="64"/>
      <c r="AX736" s="64"/>
      <c r="AY736" s="64"/>
      <c r="AZ736" s="64"/>
      <c r="BA736" s="64"/>
      <c r="BB736" s="64"/>
      <c r="BC736" s="64"/>
      <c r="BD736" s="64"/>
      <c r="BE736" s="64"/>
      <c r="BF736" s="64"/>
      <c r="BG736" s="64"/>
      <c r="BH736" s="64"/>
      <c r="BI736" s="64"/>
      <c r="BJ736" s="64"/>
      <c r="BK736" s="64"/>
      <c r="BL736" s="64"/>
      <c r="BM736" s="64"/>
      <c r="BN736" s="64"/>
      <c r="BO736" s="64"/>
      <c r="BP736" s="64"/>
      <c r="BQ736" s="64"/>
      <c r="BR736" s="64"/>
      <c r="BS736" s="64"/>
      <c r="BT736" s="65"/>
    </row>
    <row r="737" spans="1:72" ht="15.75" hidden="1" x14ac:dyDescent="0.3">
      <c r="A737" s="81" t="s">
        <v>979</v>
      </c>
      <c r="B737" s="76" t="s">
        <v>459</v>
      </c>
      <c r="C737" s="16" t="s">
        <v>1975</v>
      </c>
      <c r="D737" s="16" t="s">
        <v>1981</v>
      </c>
      <c r="E737" s="50">
        <v>50</v>
      </c>
      <c r="F737" s="50">
        <v>0</v>
      </c>
      <c r="G737" s="16">
        <v>1</v>
      </c>
      <c r="H737" s="16" t="s">
        <v>1023</v>
      </c>
      <c r="I737" s="16" t="s">
        <v>1016</v>
      </c>
      <c r="J737" s="16" t="s">
        <v>2382</v>
      </c>
      <c r="K737" s="16">
        <v>50</v>
      </c>
      <c r="L737" s="16">
        <v>50</v>
      </c>
      <c r="M737" s="64"/>
      <c r="N737" s="64"/>
      <c r="O737" s="49" t="str">
        <f t="shared" si="103"/>
        <v>YES</v>
      </c>
      <c r="P737" s="157"/>
      <c r="Q737" s="53">
        <f t="shared" si="104"/>
        <v>5000</v>
      </c>
      <c r="R737" s="54">
        <f t="shared" si="105"/>
        <v>2500</v>
      </c>
      <c r="S737" s="55" t="str">
        <f t="shared" si="106"/>
        <v xml:space="preserve"> </v>
      </c>
      <c r="T737" s="100"/>
      <c r="U737" s="57" t="str">
        <f t="shared" si="107"/>
        <v>100µg/100cm²</v>
      </c>
      <c r="V737" s="58">
        <f t="shared" si="108"/>
        <v>2500</v>
      </c>
      <c r="W737" s="58" t="str">
        <f t="shared" si="109"/>
        <v xml:space="preserve"> </v>
      </c>
      <c r="X737" s="59" t="str">
        <f t="shared" si="110"/>
        <v/>
      </c>
      <c r="Y737" s="158"/>
      <c r="Z737" s="64"/>
      <c r="AA737" s="64"/>
      <c r="AB737" s="64"/>
      <c r="AC737" s="64"/>
      <c r="AD737" s="64"/>
      <c r="AE737" s="16" t="s">
        <v>675</v>
      </c>
      <c r="AF737" s="64"/>
      <c r="AG737" s="64"/>
      <c r="AH737" s="64"/>
      <c r="AI737" s="64"/>
      <c r="AJ737" s="64"/>
      <c r="AK737" s="64"/>
      <c r="AL737" s="64"/>
      <c r="AM737" s="16" t="s">
        <v>675</v>
      </c>
      <c r="AN737" s="64"/>
      <c r="AO737" s="64"/>
      <c r="AP737" s="64"/>
      <c r="AQ737" s="64"/>
      <c r="AR737" s="64"/>
      <c r="AS737" s="64"/>
      <c r="AT737" s="64"/>
      <c r="AU737" s="82"/>
      <c r="AV737" s="82"/>
      <c r="AW737" s="82"/>
      <c r="AX737" s="64"/>
      <c r="AY737" s="64"/>
      <c r="AZ737" s="64"/>
      <c r="BA737" s="64"/>
      <c r="BB737" s="64"/>
      <c r="BC737" s="64"/>
      <c r="BD737" s="64"/>
      <c r="BE737" s="64"/>
      <c r="BF737" s="64"/>
      <c r="BG737" s="64"/>
      <c r="BH737" s="64"/>
      <c r="BI737" s="64"/>
      <c r="BJ737" s="64"/>
      <c r="BK737" s="64"/>
      <c r="BL737" s="64"/>
      <c r="BM737" s="64"/>
      <c r="BN737" s="64"/>
      <c r="BO737" s="64"/>
      <c r="BP737" s="64"/>
      <c r="BQ737" s="64"/>
      <c r="BR737" s="64"/>
      <c r="BS737" s="64"/>
      <c r="BT737" s="65"/>
    </row>
    <row r="738" spans="1:72" ht="17.05" hidden="1" x14ac:dyDescent="0.3">
      <c r="A738" s="84" t="s">
        <v>64</v>
      </c>
      <c r="B738" s="120" t="s">
        <v>65</v>
      </c>
      <c r="C738" s="16" t="s">
        <v>2235</v>
      </c>
      <c r="D738" s="49" t="s">
        <v>1163</v>
      </c>
      <c r="E738" s="50">
        <v>56.74</v>
      </c>
      <c r="F738" s="50">
        <v>0</v>
      </c>
      <c r="G738" s="61">
        <v>3</v>
      </c>
      <c r="H738" s="16">
        <v>100</v>
      </c>
      <c r="I738" s="49" t="s">
        <v>1048</v>
      </c>
      <c r="J738" s="16" t="s">
        <v>2386</v>
      </c>
      <c r="K738" s="49">
        <v>50</v>
      </c>
      <c r="L738" s="49">
        <v>50</v>
      </c>
      <c r="M738" s="64"/>
      <c r="N738" s="64"/>
      <c r="O738" s="49" t="str">
        <f t="shared" si="103"/>
        <v>YES</v>
      </c>
      <c r="P738" s="157"/>
      <c r="Q738" s="53">
        <f t="shared" si="104"/>
        <v>5000</v>
      </c>
      <c r="R738" s="54">
        <f t="shared" si="105"/>
        <v>2837</v>
      </c>
      <c r="S738" s="55" t="str">
        <f t="shared" si="106"/>
        <v xml:space="preserve"> </v>
      </c>
      <c r="T738" s="100"/>
      <c r="U738" s="57" t="str">
        <f t="shared" si="107"/>
        <v>100µg/100cm²</v>
      </c>
      <c r="V738" s="58">
        <f t="shared" si="108"/>
        <v>2837</v>
      </c>
      <c r="W738" s="58" t="str">
        <f t="shared" si="109"/>
        <v xml:space="preserve"> </v>
      </c>
      <c r="X738" s="59" t="str">
        <f t="shared" si="110"/>
        <v/>
      </c>
      <c r="Y738" s="158"/>
      <c r="Z738" s="16" t="s">
        <v>675</v>
      </c>
      <c r="AA738" s="16" t="s">
        <v>675</v>
      </c>
      <c r="AB738" s="16" t="s">
        <v>675</v>
      </c>
      <c r="AC738" s="64"/>
      <c r="AD738" s="64"/>
      <c r="AE738" s="16" t="s">
        <v>675</v>
      </c>
      <c r="AF738" s="16" t="s">
        <v>675</v>
      </c>
      <c r="AG738" s="64"/>
      <c r="AH738" s="64"/>
      <c r="AI738" s="64"/>
      <c r="AJ738" s="64"/>
      <c r="AK738" s="64"/>
      <c r="AL738" s="64"/>
      <c r="AM738" s="16" t="s">
        <v>675</v>
      </c>
      <c r="AN738" s="16" t="s">
        <v>675</v>
      </c>
      <c r="AO738" s="64"/>
      <c r="AP738" s="16" t="s">
        <v>675</v>
      </c>
      <c r="AQ738" s="64"/>
      <c r="AR738" s="64"/>
      <c r="AS738" s="16" t="s">
        <v>675</v>
      </c>
      <c r="AT738" s="64"/>
      <c r="AU738" s="64"/>
      <c r="AV738" s="64"/>
      <c r="AW738" s="64"/>
      <c r="AX738" s="16" t="s">
        <v>675</v>
      </c>
      <c r="AY738" s="64"/>
      <c r="AZ738" s="64"/>
      <c r="BA738" s="64"/>
      <c r="BB738" s="64"/>
      <c r="BC738" s="64"/>
      <c r="BD738" s="64"/>
      <c r="BE738" s="16" t="s">
        <v>675</v>
      </c>
      <c r="BF738" s="64"/>
      <c r="BG738" s="64"/>
      <c r="BH738" s="64"/>
      <c r="BI738" s="64"/>
      <c r="BJ738" s="64"/>
      <c r="BK738" s="64"/>
      <c r="BL738" s="64"/>
      <c r="BM738" s="64"/>
      <c r="BN738" s="64"/>
      <c r="BO738" s="64"/>
      <c r="BP738" s="64"/>
      <c r="BQ738" s="64"/>
      <c r="BR738" s="64"/>
      <c r="BS738" s="16" t="s">
        <v>675</v>
      </c>
      <c r="BT738" s="65"/>
    </row>
    <row r="739" spans="1:72" ht="15.75" hidden="1" x14ac:dyDescent="0.3">
      <c r="A739" s="47" t="s">
        <v>139</v>
      </c>
      <c r="B739" s="48" t="s">
        <v>140</v>
      </c>
      <c r="C739" s="49" t="s">
        <v>1395</v>
      </c>
      <c r="D739" s="49" t="s">
        <v>1163</v>
      </c>
      <c r="E739" s="50">
        <v>67.290000000000006</v>
      </c>
      <c r="F739" s="50">
        <v>0</v>
      </c>
      <c r="G739" s="61">
        <v>3</v>
      </c>
      <c r="H739" s="16" t="s">
        <v>1396</v>
      </c>
      <c r="I739" s="49" t="s">
        <v>1016</v>
      </c>
      <c r="J739" s="16" t="s">
        <v>2386</v>
      </c>
      <c r="K739" s="49">
        <v>50</v>
      </c>
      <c r="L739" s="49">
        <v>50</v>
      </c>
      <c r="M739" s="64"/>
      <c r="N739" s="64"/>
      <c r="O739" s="49" t="str">
        <f t="shared" si="103"/>
        <v>YES</v>
      </c>
      <c r="P739" s="157"/>
      <c r="Q739" s="53">
        <f t="shared" si="104"/>
        <v>5000</v>
      </c>
      <c r="R739" s="54">
        <f t="shared" si="105"/>
        <v>3364.5</v>
      </c>
      <c r="S739" s="55" t="str">
        <f t="shared" si="106"/>
        <v xml:space="preserve"> </v>
      </c>
      <c r="T739" s="100"/>
      <c r="U739" s="57" t="str">
        <f t="shared" si="107"/>
        <v>100µg/100cm²</v>
      </c>
      <c r="V739" s="58">
        <f t="shared" si="108"/>
        <v>3364.5</v>
      </c>
      <c r="W739" s="58" t="str">
        <f t="shared" si="109"/>
        <v xml:space="preserve"> </v>
      </c>
      <c r="X739" s="59" t="str">
        <f t="shared" si="110"/>
        <v/>
      </c>
      <c r="Y739" s="158"/>
      <c r="Z739" s="64"/>
      <c r="AA739" s="16" t="s">
        <v>675</v>
      </c>
      <c r="AB739" s="64"/>
      <c r="AC739" s="16" t="s">
        <v>675</v>
      </c>
      <c r="AD739" s="16" t="s">
        <v>675</v>
      </c>
      <c r="AE739" s="16" t="s">
        <v>675</v>
      </c>
      <c r="AF739" s="16" t="s">
        <v>675</v>
      </c>
      <c r="AG739" s="16" t="s">
        <v>675</v>
      </c>
      <c r="AH739" s="64"/>
      <c r="AI739" s="16" t="s">
        <v>675</v>
      </c>
      <c r="AJ739" s="16" t="s">
        <v>675</v>
      </c>
      <c r="AK739" s="16" t="s">
        <v>675</v>
      </c>
      <c r="AL739" s="16" t="s">
        <v>675</v>
      </c>
      <c r="AM739" s="16" t="s">
        <v>675</v>
      </c>
      <c r="AN739" s="16" t="s">
        <v>675</v>
      </c>
      <c r="AO739" s="16" t="s">
        <v>675</v>
      </c>
      <c r="AP739" s="16" t="s">
        <v>675</v>
      </c>
      <c r="AQ739" s="64"/>
      <c r="AR739" s="64"/>
      <c r="AS739" s="16" t="s">
        <v>675</v>
      </c>
      <c r="AT739" s="16" t="s">
        <v>675</v>
      </c>
      <c r="AU739" s="64"/>
      <c r="AV739" s="16" t="s">
        <v>675</v>
      </c>
      <c r="AW739" s="16" t="s">
        <v>675</v>
      </c>
      <c r="AX739" s="16" t="s">
        <v>675</v>
      </c>
      <c r="AY739" s="64"/>
      <c r="AZ739" s="64"/>
      <c r="BA739" s="64"/>
      <c r="BB739" s="64"/>
      <c r="BC739" s="16" t="s">
        <v>675</v>
      </c>
      <c r="BD739" s="64"/>
      <c r="BE739" s="64"/>
      <c r="BF739" s="64"/>
      <c r="BG739" s="16" t="s">
        <v>675</v>
      </c>
      <c r="BH739" s="16" t="s">
        <v>675</v>
      </c>
      <c r="BI739" s="64"/>
      <c r="BJ739" s="64"/>
      <c r="BK739" s="64"/>
      <c r="BL739" s="64"/>
      <c r="BM739" s="64"/>
      <c r="BN739" s="64"/>
      <c r="BO739" s="64"/>
      <c r="BP739" s="64"/>
      <c r="BQ739" s="64"/>
      <c r="BR739" s="64"/>
      <c r="BS739" s="16" t="s">
        <v>675</v>
      </c>
      <c r="BT739" s="65"/>
    </row>
    <row r="740" spans="1:72" ht="17.05" hidden="1" x14ac:dyDescent="0.3">
      <c r="A740" s="47" t="s">
        <v>230</v>
      </c>
      <c r="B740" s="48" t="s">
        <v>231</v>
      </c>
      <c r="C740" s="16" t="s">
        <v>2236</v>
      </c>
      <c r="D740" s="49" t="s">
        <v>1397</v>
      </c>
      <c r="E740" s="50">
        <v>42.86</v>
      </c>
      <c r="F740" s="50">
        <v>0</v>
      </c>
      <c r="G740" s="61">
        <v>5</v>
      </c>
      <c r="H740" s="16" t="s">
        <v>1461</v>
      </c>
      <c r="I740" s="48" t="s">
        <v>1016</v>
      </c>
      <c r="J740" s="16" t="s">
        <v>2386</v>
      </c>
      <c r="K740" s="49">
        <v>50</v>
      </c>
      <c r="L740" s="49">
        <v>50</v>
      </c>
      <c r="M740" s="64"/>
      <c r="N740" s="64"/>
      <c r="O740" s="49" t="str">
        <f t="shared" si="103"/>
        <v>YES</v>
      </c>
      <c r="P740" s="157"/>
      <c r="Q740" s="53">
        <f t="shared" si="104"/>
        <v>5000</v>
      </c>
      <c r="R740" s="54">
        <f t="shared" si="105"/>
        <v>2143</v>
      </c>
      <c r="S740" s="55" t="str">
        <f t="shared" si="106"/>
        <v xml:space="preserve"> </v>
      </c>
      <c r="T740" s="100"/>
      <c r="U740" s="57" t="str">
        <f t="shared" si="107"/>
        <v>100µg/100cm²</v>
      </c>
      <c r="V740" s="58">
        <f t="shared" si="108"/>
        <v>2143</v>
      </c>
      <c r="W740" s="58" t="str">
        <f t="shared" si="109"/>
        <v xml:space="preserve"> </v>
      </c>
      <c r="X740" s="59" t="str">
        <f t="shared" si="110"/>
        <v/>
      </c>
      <c r="Y740" s="158"/>
      <c r="Z740" s="64"/>
      <c r="AA740" s="64"/>
      <c r="AB740" s="64"/>
      <c r="AC740" s="64"/>
      <c r="AD740" s="64"/>
      <c r="AE740" s="16" t="s">
        <v>675</v>
      </c>
      <c r="AF740" s="16" t="s">
        <v>675</v>
      </c>
      <c r="AG740" s="64"/>
      <c r="AH740" s="64"/>
      <c r="AI740" s="16" t="s">
        <v>675</v>
      </c>
      <c r="AJ740" s="64"/>
      <c r="AK740" s="64"/>
      <c r="AL740" s="64"/>
      <c r="AM740" s="16" t="s">
        <v>675</v>
      </c>
      <c r="AN740" s="16" t="s">
        <v>675</v>
      </c>
      <c r="AO740" s="64"/>
      <c r="AP740" s="16" t="s">
        <v>675</v>
      </c>
      <c r="AQ740" s="16" t="s">
        <v>675</v>
      </c>
      <c r="AR740" s="64"/>
      <c r="AS740" s="16" t="s">
        <v>675</v>
      </c>
      <c r="AT740" s="16" t="s">
        <v>675</v>
      </c>
      <c r="AU740" s="64"/>
      <c r="AV740" s="64"/>
      <c r="AW740" s="64"/>
      <c r="AX740" s="16" t="s">
        <v>675</v>
      </c>
      <c r="AY740" s="64"/>
      <c r="AZ740" s="64"/>
      <c r="BA740" s="16" t="s">
        <v>675</v>
      </c>
      <c r="BB740" s="16" t="s">
        <v>675</v>
      </c>
      <c r="BC740" s="64"/>
      <c r="BD740" s="64"/>
      <c r="BE740" s="64"/>
      <c r="BF740" s="64"/>
      <c r="BG740" s="16" t="s">
        <v>675</v>
      </c>
      <c r="BH740" s="64"/>
      <c r="BI740" s="64"/>
      <c r="BJ740" s="64"/>
      <c r="BK740" s="64"/>
      <c r="BL740" s="64"/>
      <c r="BM740" s="64"/>
      <c r="BN740" s="64"/>
      <c r="BO740" s="64"/>
      <c r="BP740" s="64"/>
      <c r="BQ740" s="64"/>
      <c r="BR740" s="64"/>
      <c r="BS740" s="16" t="s">
        <v>675</v>
      </c>
      <c r="BT740" s="65"/>
    </row>
    <row r="741" spans="1:72" ht="17.05" hidden="1" x14ac:dyDescent="0.3">
      <c r="A741" s="47" t="s">
        <v>600</v>
      </c>
      <c r="B741" s="49" t="s">
        <v>509</v>
      </c>
      <c r="C741" s="16" t="s">
        <v>2237</v>
      </c>
      <c r="D741" s="49" t="s">
        <v>1054</v>
      </c>
      <c r="E741" s="50">
        <v>20</v>
      </c>
      <c r="F741" s="50">
        <v>0</v>
      </c>
      <c r="G741" s="61">
        <v>2</v>
      </c>
      <c r="H741" s="16">
        <v>1000</v>
      </c>
      <c r="I741" s="49" t="s">
        <v>1016</v>
      </c>
      <c r="J741" s="16" t="s">
        <v>2386</v>
      </c>
      <c r="K741" s="49">
        <v>50</v>
      </c>
      <c r="L741" s="49">
        <v>50</v>
      </c>
      <c r="M741" s="64"/>
      <c r="N741" s="64"/>
      <c r="O741" s="49" t="str">
        <f t="shared" si="103"/>
        <v>YES</v>
      </c>
      <c r="P741" s="157"/>
      <c r="Q741" s="53">
        <f t="shared" si="104"/>
        <v>5000</v>
      </c>
      <c r="R741" s="54">
        <f t="shared" si="105"/>
        <v>1000</v>
      </c>
      <c r="S741" s="55" t="str">
        <f t="shared" si="106"/>
        <v xml:space="preserve"> </v>
      </c>
      <c r="T741" s="100"/>
      <c r="U741" s="57" t="str">
        <f t="shared" si="107"/>
        <v>100µg/100cm²</v>
      </c>
      <c r="V741" s="58">
        <f t="shared" si="108"/>
        <v>1000</v>
      </c>
      <c r="W741" s="58" t="str">
        <f t="shared" si="109"/>
        <v xml:space="preserve"> </v>
      </c>
      <c r="X741" s="59" t="str">
        <f t="shared" si="110"/>
        <v/>
      </c>
      <c r="Y741" s="158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16" t="s">
        <v>675</v>
      </c>
      <c r="AT741" s="64"/>
      <c r="AU741" s="16" t="s">
        <v>675</v>
      </c>
      <c r="AV741" s="64"/>
      <c r="AW741" s="16" t="s">
        <v>675</v>
      </c>
      <c r="AX741" s="64"/>
      <c r="AY741" s="64"/>
      <c r="AZ741" s="64"/>
      <c r="BA741" s="64"/>
      <c r="BB741" s="64"/>
      <c r="BC741" s="64"/>
      <c r="BD741" s="64"/>
      <c r="BE741" s="16" t="s">
        <v>675</v>
      </c>
      <c r="BF741" s="64"/>
      <c r="BG741" s="64"/>
      <c r="BH741" s="64"/>
      <c r="BI741" s="64"/>
      <c r="BJ741" s="64"/>
      <c r="BK741" s="64"/>
      <c r="BL741" s="64"/>
      <c r="BM741" s="64"/>
      <c r="BN741" s="64"/>
      <c r="BO741" s="64"/>
      <c r="BP741" s="64"/>
      <c r="BQ741" s="64"/>
      <c r="BR741" s="64"/>
      <c r="BS741" s="16" t="s">
        <v>675</v>
      </c>
      <c r="BT741" s="65"/>
    </row>
    <row r="742" spans="1:72" ht="17.05" hidden="1" x14ac:dyDescent="0.3">
      <c r="A742" s="66" t="s">
        <v>790</v>
      </c>
      <c r="B742" s="69" t="s">
        <v>514</v>
      </c>
      <c r="C742" s="16" t="s">
        <v>2238</v>
      </c>
      <c r="D742" s="49" t="s">
        <v>1397</v>
      </c>
      <c r="E742" s="50">
        <v>44.3</v>
      </c>
      <c r="F742" s="50">
        <v>0</v>
      </c>
      <c r="G742" s="61">
        <v>3</v>
      </c>
      <c r="H742" s="16" t="s">
        <v>1263</v>
      </c>
      <c r="I742" s="48" t="s">
        <v>1016</v>
      </c>
      <c r="J742" s="16" t="s">
        <v>2386</v>
      </c>
      <c r="K742" s="16">
        <v>50</v>
      </c>
      <c r="L742" s="16">
        <v>50</v>
      </c>
      <c r="M742" s="64"/>
      <c r="N742" s="64"/>
      <c r="O742" s="49" t="str">
        <f t="shared" si="103"/>
        <v>YES</v>
      </c>
      <c r="P742" s="157"/>
      <c r="Q742" s="53">
        <f t="shared" si="104"/>
        <v>5000</v>
      </c>
      <c r="R742" s="54">
        <f t="shared" si="105"/>
        <v>2215</v>
      </c>
      <c r="S742" s="55" t="str">
        <f t="shared" si="106"/>
        <v xml:space="preserve"> </v>
      </c>
      <c r="T742" s="100"/>
      <c r="U742" s="57" t="str">
        <f t="shared" si="107"/>
        <v>100µg/100cm²</v>
      </c>
      <c r="V742" s="58">
        <f t="shared" si="108"/>
        <v>2215</v>
      </c>
      <c r="W742" s="58" t="str">
        <f t="shared" si="109"/>
        <v xml:space="preserve"> </v>
      </c>
      <c r="X742" s="59" t="str">
        <f t="shared" si="110"/>
        <v/>
      </c>
      <c r="Y742" s="158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16" t="s">
        <v>675</v>
      </c>
      <c r="AT742" s="64"/>
      <c r="AU742" s="64"/>
      <c r="AV742" s="64"/>
      <c r="AW742" s="64"/>
      <c r="AX742" s="64"/>
      <c r="AY742" s="64"/>
      <c r="AZ742" s="64"/>
      <c r="BA742" s="64"/>
      <c r="BB742" s="64"/>
      <c r="BC742" s="64"/>
      <c r="BD742" s="64"/>
      <c r="BE742" s="64"/>
      <c r="BF742" s="64"/>
      <c r="BG742" s="64"/>
      <c r="BH742" s="64"/>
      <c r="BI742" s="64"/>
      <c r="BJ742" s="64"/>
      <c r="BK742" s="64"/>
      <c r="BL742" s="64"/>
      <c r="BM742" s="64"/>
      <c r="BN742" s="64"/>
      <c r="BO742" s="64"/>
      <c r="BP742" s="64"/>
      <c r="BQ742" s="64"/>
      <c r="BR742" s="64"/>
      <c r="BS742" s="64"/>
      <c r="BT742" s="65"/>
    </row>
    <row r="743" spans="1:72" ht="15.75" hidden="1" x14ac:dyDescent="0.3">
      <c r="A743" s="107" t="s">
        <v>1966</v>
      </c>
      <c r="B743" s="87" t="s">
        <v>1965</v>
      </c>
      <c r="C743" s="87" t="s">
        <v>1964</v>
      </c>
      <c r="D743" s="16" t="s">
        <v>1397</v>
      </c>
      <c r="E743" s="50">
        <v>22.31</v>
      </c>
      <c r="F743" s="50">
        <v>0</v>
      </c>
      <c r="G743" s="16">
        <v>2</v>
      </c>
      <c r="H743" s="16" t="s">
        <v>1963</v>
      </c>
      <c r="I743" s="48" t="s">
        <v>1016</v>
      </c>
      <c r="J743" s="16" t="s">
        <v>2011</v>
      </c>
      <c r="K743" s="16" t="s">
        <v>2027</v>
      </c>
      <c r="L743" s="16" t="s">
        <v>2027</v>
      </c>
      <c r="M743" s="64"/>
      <c r="N743" s="64"/>
      <c r="O743" s="16" t="s">
        <v>2027</v>
      </c>
      <c r="P743" s="159"/>
      <c r="Q743" s="53" t="str">
        <f t="shared" si="104"/>
        <v>Pending</v>
      </c>
      <c r="R743" s="54" t="str">
        <f t="shared" si="105"/>
        <v>Pending</v>
      </c>
      <c r="S743" s="55" t="str">
        <f t="shared" si="106"/>
        <v>Pending</v>
      </c>
      <c r="T743" s="163"/>
      <c r="U743" s="57" t="str">
        <f t="shared" si="107"/>
        <v>Pending</v>
      </c>
      <c r="V743" s="58" t="str">
        <f t="shared" si="108"/>
        <v>Pending</v>
      </c>
      <c r="W743" s="57" t="str">
        <f t="shared" si="109"/>
        <v>Pending</v>
      </c>
      <c r="X743" s="59" t="str">
        <f t="shared" si="110"/>
        <v/>
      </c>
      <c r="Y743" s="159"/>
      <c r="Z743" s="16" t="s">
        <v>1987</v>
      </c>
      <c r="AA743" s="16" t="s">
        <v>1987</v>
      </c>
      <c r="AB743" s="16" t="s">
        <v>1987</v>
      </c>
      <c r="AC743" s="16" t="s">
        <v>1987</v>
      </c>
      <c r="AD743" s="16" t="s">
        <v>1987</v>
      </c>
      <c r="AE743" s="16" t="s">
        <v>1987</v>
      </c>
      <c r="AF743" s="16" t="s">
        <v>1987</v>
      </c>
      <c r="AG743" s="16" t="s">
        <v>1987</v>
      </c>
      <c r="AH743" s="16" t="s">
        <v>1987</v>
      </c>
      <c r="AI743" s="16" t="s">
        <v>1987</v>
      </c>
      <c r="AJ743" s="16" t="s">
        <v>1987</v>
      </c>
      <c r="AK743" s="16" t="s">
        <v>1987</v>
      </c>
      <c r="AL743" s="16" t="s">
        <v>1987</v>
      </c>
      <c r="AM743" s="16" t="s">
        <v>1987</v>
      </c>
      <c r="AN743" s="16" t="s">
        <v>1987</v>
      </c>
      <c r="AO743" s="16" t="s">
        <v>1987</v>
      </c>
      <c r="AP743" s="16" t="s">
        <v>1987</v>
      </c>
      <c r="AQ743" s="16" t="s">
        <v>1987</v>
      </c>
      <c r="AR743" s="16" t="s">
        <v>1987</v>
      </c>
      <c r="AS743" s="16" t="s">
        <v>1987</v>
      </c>
      <c r="AT743" s="16" t="s">
        <v>1987</v>
      </c>
      <c r="AU743" s="16" t="s">
        <v>1987</v>
      </c>
      <c r="AV743" s="16" t="s">
        <v>1987</v>
      </c>
      <c r="AW743" s="16" t="s">
        <v>1987</v>
      </c>
      <c r="AX743" s="16" t="s">
        <v>1987</v>
      </c>
      <c r="AY743" s="16" t="s">
        <v>1987</v>
      </c>
      <c r="AZ743" s="16" t="s">
        <v>1987</v>
      </c>
      <c r="BA743" s="16" t="s">
        <v>1987</v>
      </c>
      <c r="BB743" s="16" t="s">
        <v>1987</v>
      </c>
      <c r="BC743" s="16" t="s">
        <v>1987</v>
      </c>
      <c r="BD743" s="16" t="s">
        <v>1987</v>
      </c>
      <c r="BE743" s="16" t="s">
        <v>1987</v>
      </c>
      <c r="BF743" s="16" t="s">
        <v>1987</v>
      </c>
      <c r="BG743" s="16" t="s">
        <v>1987</v>
      </c>
      <c r="BH743" s="16" t="s">
        <v>1987</v>
      </c>
      <c r="BI743" s="16" t="s">
        <v>1987</v>
      </c>
      <c r="BJ743" s="16" t="s">
        <v>1987</v>
      </c>
      <c r="BK743" s="16" t="s">
        <v>1987</v>
      </c>
      <c r="BL743" s="16" t="s">
        <v>1987</v>
      </c>
      <c r="BM743" s="16" t="s">
        <v>1987</v>
      </c>
      <c r="BN743" s="16" t="s">
        <v>1987</v>
      </c>
      <c r="BO743" s="16" t="s">
        <v>1987</v>
      </c>
      <c r="BP743" s="16" t="s">
        <v>1987</v>
      </c>
      <c r="BQ743" s="16" t="s">
        <v>1987</v>
      </c>
      <c r="BR743" s="16" t="s">
        <v>1987</v>
      </c>
      <c r="BS743" s="16" t="s">
        <v>1987</v>
      </c>
      <c r="BT743" s="16" t="s">
        <v>1987</v>
      </c>
    </row>
    <row r="744" spans="1:72" ht="15.75" hidden="1" x14ac:dyDescent="0.3">
      <c r="A744" s="81" t="s">
        <v>980</v>
      </c>
      <c r="B744" s="76" t="s">
        <v>459</v>
      </c>
      <c r="C744" s="16" t="s">
        <v>1499</v>
      </c>
      <c r="D744" s="16" t="s">
        <v>1495</v>
      </c>
      <c r="E744" s="50">
        <v>10</v>
      </c>
      <c r="F744" s="50">
        <v>0</v>
      </c>
      <c r="G744" s="16">
        <v>7</v>
      </c>
      <c r="H744" s="16" t="s">
        <v>1428</v>
      </c>
      <c r="I744" s="16" t="s">
        <v>1016</v>
      </c>
      <c r="J744" s="16" t="s">
        <v>2382</v>
      </c>
      <c r="K744" s="16">
        <v>50</v>
      </c>
      <c r="L744" s="16">
        <v>50</v>
      </c>
      <c r="M744" s="64"/>
      <c r="N744" s="64"/>
      <c r="O744" s="49" t="str">
        <f t="shared" ref="O744:O758" si="111">IF(AND(ISBLANK(K744),ISBLANK(N744))," ",IF(ISBLANK(N744),"YES","NO"))</f>
        <v>YES</v>
      </c>
      <c r="P744" s="157"/>
      <c r="Q744" s="53">
        <f t="shared" si="104"/>
        <v>5000</v>
      </c>
      <c r="R744" s="54">
        <f t="shared" si="105"/>
        <v>500</v>
      </c>
      <c r="S744" s="55" t="str">
        <f t="shared" si="106"/>
        <v xml:space="preserve"> </v>
      </c>
      <c r="T744" s="100"/>
      <c r="U744" s="57" t="str">
        <f t="shared" si="107"/>
        <v>100µg/100cm²</v>
      </c>
      <c r="V744" s="58">
        <f t="shared" si="108"/>
        <v>500</v>
      </c>
      <c r="W744" s="58" t="str">
        <f t="shared" si="109"/>
        <v xml:space="preserve"> </v>
      </c>
      <c r="X744" s="59" t="str">
        <f t="shared" si="110"/>
        <v/>
      </c>
      <c r="Y744" s="158"/>
      <c r="Z744" s="64"/>
      <c r="AA744" s="64"/>
      <c r="AB744" s="64"/>
      <c r="AC744" s="64"/>
      <c r="AD744" s="64"/>
      <c r="AE744" s="64"/>
      <c r="AF744" s="64"/>
      <c r="AG744" s="64"/>
      <c r="AH744" s="64"/>
      <c r="AI744" s="16" t="s">
        <v>675</v>
      </c>
      <c r="AJ744" s="64"/>
      <c r="AK744" s="16" t="s">
        <v>675</v>
      </c>
      <c r="AL744" s="64"/>
      <c r="AM744" s="16" t="s">
        <v>675</v>
      </c>
      <c r="AN744" s="64"/>
      <c r="AO744" s="64"/>
      <c r="AP744" s="64"/>
      <c r="AQ744" s="64"/>
      <c r="AR744" s="64"/>
      <c r="AS744" s="64"/>
      <c r="AT744" s="64"/>
      <c r="AU744" s="82"/>
      <c r="AV744" s="82"/>
      <c r="AW744" s="82"/>
      <c r="AX744" s="64"/>
      <c r="AY744" s="64"/>
      <c r="AZ744" s="64"/>
      <c r="BA744" s="64"/>
      <c r="BB744" s="64"/>
      <c r="BC744" s="64"/>
      <c r="BD744" s="16" t="s">
        <v>675</v>
      </c>
      <c r="BE744" s="64"/>
      <c r="BF744" s="64"/>
      <c r="BG744" s="64"/>
      <c r="BH744" s="64"/>
      <c r="BI744" s="64"/>
      <c r="BJ744" s="64"/>
      <c r="BK744" s="64"/>
      <c r="BL744" s="64"/>
      <c r="BM744" s="64"/>
      <c r="BN744" s="64"/>
      <c r="BO744" s="64"/>
      <c r="BP744" s="64"/>
      <c r="BQ744" s="64"/>
      <c r="BR744" s="64"/>
      <c r="BS744" s="64"/>
      <c r="BT744" s="65"/>
    </row>
    <row r="745" spans="1:72" ht="15.75" hidden="1" x14ac:dyDescent="0.3">
      <c r="A745" s="81" t="s">
        <v>288</v>
      </c>
      <c r="B745" s="76" t="s">
        <v>459</v>
      </c>
      <c r="C745" s="16" t="s">
        <v>1499</v>
      </c>
      <c r="D745" s="16" t="s">
        <v>1483</v>
      </c>
      <c r="E745" s="50">
        <v>50</v>
      </c>
      <c r="F745" s="50">
        <v>0</v>
      </c>
      <c r="G745" s="16">
        <v>1</v>
      </c>
      <c r="H745" s="16" t="s">
        <v>1023</v>
      </c>
      <c r="I745" s="16" t="s">
        <v>1016</v>
      </c>
      <c r="J745" s="16" t="s">
        <v>2382</v>
      </c>
      <c r="K745" s="16">
        <v>50</v>
      </c>
      <c r="L745" s="16">
        <v>50</v>
      </c>
      <c r="M745" s="64"/>
      <c r="N745" s="64"/>
      <c r="O745" s="49" t="str">
        <f t="shared" si="111"/>
        <v>YES</v>
      </c>
      <c r="P745" s="157"/>
      <c r="Q745" s="53">
        <f t="shared" si="104"/>
        <v>5000</v>
      </c>
      <c r="R745" s="54">
        <f t="shared" si="105"/>
        <v>2500</v>
      </c>
      <c r="S745" s="55" t="str">
        <f t="shared" si="106"/>
        <v xml:space="preserve"> </v>
      </c>
      <c r="T745" s="100"/>
      <c r="U745" s="57" t="str">
        <f t="shared" si="107"/>
        <v>100µg/100cm²</v>
      </c>
      <c r="V745" s="58">
        <f t="shared" si="108"/>
        <v>2500</v>
      </c>
      <c r="W745" s="58" t="str">
        <f t="shared" si="109"/>
        <v xml:space="preserve"> </v>
      </c>
      <c r="X745" s="59" t="str">
        <f t="shared" si="110"/>
        <v/>
      </c>
      <c r="Y745" s="158"/>
      <c r="Z745" s="64"/>
      <c r="AA745" s="64"/>
      <c r="AB745" s="64"/>
      <c r="AC745" s="64"/>
      <c r="AD745" s="64"/>
      <c r="AE745" s="64"/>
      <c r="AF745" s="16" t="s">
        <v>675</v>
      </c>
      <c r="AG745" s="16" t="s">
        <v>675</v>
      </c>
      <c r="AH745" s="64"/>
      <c r="AI745" s="16" t="s">
        <v>675</v>
      </c>
      <c r="AJ745" s="64"/>
      <c r="AK745" s="64"/>
      <c r="AL745" s="64"/>
      <c r="AM745" s="16" t="s">
        <v>675</v>
      </c>
      <c r="AN745" s="64"/>
      <c r="AO745" s="64"/>
      <c r="AP745" s="64"/>
      <c r="AQ745" s="64"/>
      <c r="AR745" s="64"/>
      <c r="AS745" s="64"/>
      <c r="AT745" s="64"/>
      <c r="AU745" s="82"/>
      <c r="AV745" s="82"/>
      <c r="AW745" s="82"/>
      <c r="AX745" s="64"/>
      <c r="AY745" s="64"/>
      <c r="AZ745" s="64"/>
      <c r="BA745" s="64"/>
      <c r="BB745" s="64"/>
      <c r="BC745" s="64"/>
      <c r="BD745" s="64"/>
      <c r="BE745" s="64"/>
      <c r="BF745" s="64"/>
      <c r="BG745" s="64"/>
      <c r="BH745" s="64"/>
      <c r="BI745" s="64"/>
      <c r="BJ745" s="64"/>
      <c r="BK745" s="64"/>
      <c r="BL745" s="64"/>
      <c r="BM745" s="64"/>
      <c r="BN745" s="64"/>
      <c r="BO745" s="64"/>
      <c r="BP745" s="64"/>
      <c r="BQ745" s="64"/>
      <c r="BR745" s="64"/>
      <c r="BS745" s="64"/>
      <c r="BT745" s="65"/>
    </row>
    <row r="746" spans="1:72" ht="15.75" hidden="1" x14ac:dyDescent="0.3">
      <c r="A746" s="81" t="s">
        <v>289</v>
      </c>
      <c r="B746" s="76" t="s">
        <v>459</v>
      </c>
      <c r="C746" s="16" t="s">
        <v>1499</v>
      </c>
      <c r="D746" s="16" t="s">
        <v>1483</v>
      </c>
      <c r="E746" s="50">
        <v>50</v>
      </c>
      <c r="F746" s="50">
        <v>0</v>
      </c>
      <c r="G746" s="16">
        <v>1</v>
      </c>
      <c r="H746" s="16" t="s">
        <v>1023</v>
      </c>
      <c r="I746" s="16" t="s">
        <v>1016</v>
      </c>
      <c r="J746" s="16" t="s">
        <v>2382</v>
      </c>
      <c r="K746" s="16">
        <v>50</v>
      </c>
      <c r="L746" s="16">
        <v>50</v>
      </c>
      <c r="M746" s="64"/>
      <c r="N746" s="64"/>
      <c r="O746" s="49" t="str">
        <f t="shared" si="111"/>
        <v>YES</v>
      </c>
      <c r="P746" s="157"/>
      <c r="Q746" s="53">
        <f t="shared" si="104"/>
        <v>5000</v>
      </c>
      <c r="R746" s="54">
        <f t="shared" si="105"/>
        <v>2500</v>
      </c>
      <c r="S746" s="55" t="str">
        <f t="shared" si="106"/>
        <v xml:space="preserve"> </v>
      </c>
      <c r="T746" s="100"/>
      <c r="U746" s="57" t="str">
        <f t="shared" si="107"/>
        <v>100µg/100cm²</v>
      </c>
      <c r="V746" s="58">
        <f t="shared" si="108"/>
        <v>2500</v>
      </c>
      <c r="W746" s="58" t="str">
        <f t="shared" si="109"/>
        <v xml:space="preserve"> </v>
      </c>
      <c r="X746" s="59" t="str">
        <f t="shared" si="110"/>
        <v/>
      </c>
      <c r="Y746" s="158"/>
      <c r="Z746" s="64"/>
      <c r="AA746" s="64"/>
      <c r="AB746" s="64"/>
      <c r="AC746" s="64"/>
      <c r="AD746" s="64"/>
      <c r="AE746" s="64"/>
      <c r="AF746" s="16" t="s">
        <v>675</v>
      </c>
      <c r="AG746" s="16" t="s">
        <v>675</v>
      </c>
      <c r="AH746" s="64"/>
      <c r="AI746" s="16" t="s">
        <v>675</v>
      </c>
      <c r="AJ746" s="64"/>
      <c r="AK746" s="64"/>
      <c r="AL746" s="64"/>
      <c r="AM746" s="16" t="s">
        <v>675</v>
      </c>
      <c r="AN746" s="64"/>
      <c r="AO746" s="64"/>
      <c r="AP746" s="64"/>
      <c r="AQ746" s="64"/>
      <c r="AR746" s="64"/>
      <c r="AS746" s="64"/>
      <c r="AT746" s="64"/>
      <c r="AU746" s="82"/>
      <c r="AV746" s="82"/>
      <c r="AW746" s="82"/>
      <c r="AX746" s="64"/>
      <c r="AY746" s="64"/>
      <c r="AZ746" s="64"/>
      <c r="BA746" s="64"/>
      <c r="BB746" s="64"/>
      <c r="BC746" s="64"/>
      <c r="BD746" s="64"/>
      <c r="BE746" s="64"/>
      <c r="BF746" s="64"/>
      <c r="BG746" s="64"/>
      <c r="BH746" s="64"/>
      <c r="BI746" s="64"/>
      <c r="BJ746" s="64"/>
      <c r="BK746" s="64"/>
      <c r="BL746" s="64"/>
      <c r="BM746" s="64"/>
      <c r="BN746" s="64"/>
      <c r="BO746" s="64"/>
      <c r="BP746" s="64"/>
      <c r="BQ746" s="64"/>
      <c r="BR746" s="64"/>
      <c r="BS746" s="64"/>
      <c r="BT746" s="65"/>
    </row>
    <row r="747" spans="1:72" ht="15.75" hidden="1" x14ac:dyDescent="0.3">
      <c r="A747" s="81" t="s">
        <v>290</v>
      </c>
      <c r="B747" s="76" t="s">
        <v>459</v>
      </c>
      <c r="C747" s="16" t="s">
        <v>1499</v>
      </c>
      <c r="D747" s="16" t="s">
        <v>1483</v>
      </c>
      <c r="E747" s="50">
        <v>50</v>
      </c>
      <c r="F747" s="50">
        <v>0</v>
      </c>
      <c r="G747" s="16">
        <v>1</v>
      </c>
      <c r="H747" s="16" t="s">
        <v>1023</v>
      </c>
      <c r="I747" s="16" t="s">
        <v>1016</v>
      </c>
      <c r="J747" s="16" t="s">
        <v>2382</v>
      </c>
      <c r="K747" s="16">
        <v>50</v>
      </c>
      <c r="L747" s="16">
        <v>50</v>
      </c>
      <c r="M747" s="64"/>
      <c r="N747" s="64"/>
      <c r="O747" s="49" t="str">
        <f t="shared" si="111"/>
        <v>YES</v>
      </c>
      <c r="P747" s="157"/>
      <c r="Q747" s="53">
        <f t="shared" si="104"/>
        <v>5000</v>
      </c>
      <c r="R747" s="54">
        <f t="shared" si="105"/>
        <v>2500</v>
      </c>
      <c r="S747" s="55" t="str">
        <f t="shared" si="106"/>
        <v xml:space="preserve"> </v>
      </c>
      <c r="T747" s="100"/>
      <c r="U747" s="57" t="str">
        <f t="shared" si="107"/>
        <v>100µg/100cm²</v>
      </c>
      <c r="V747" s="58">
        <f t="shared" si="108"/>
        <v>2500</v>
      </c>
      <c r="W747" s="58" t="str">
        <f t="shared" si="109"/>
        <v xml:space="preserve"> </v>
      </c>
      <c r="X747" s="59" t="str">
        <f t="shared" si="110"/>
        <v/>
      </c>
      <c r="Y747" s="158"/>
      <c r="Z747" s="64"/>
      <c r="AA747" s="64"/>
      <c r="AB747" s="64"/>
      <c r="AC747" s="64"/>
      <c r="AD747" s="64"/>
      <c r="AE747" s="64"/>
      <c r="AF747" s="16" t="s">
        <v>675</v>
      </c>
      <c r="AG747" s="16" t="s">
        <v>675</v>
      </c>
      <c r="AH747" s="64"/>
      <c r="AI747" s="16" t="s">
        <v>675</v>
      </c>
      <c r="AJ747" s="64"/>
      <c r="AK747" s="64"/>
      <c r="AL747" s="64"/>
      <c r="AM747" s="16" t="s">
        <v>675</v>
      </c>
      <c r="AN747" s="64"/>
      <c r="AO747" s="64"/>
      <c r="AP747" s="64"/>
      <c r="AQ747" s="64"/>
      <c r="AR747" s="64"/>
      <c r="AS747" s="64"/>
      <c r="AT747" s="64"/>
      <c r="AU747" s="82"/>
      <c r="AV747" s="82"/>
      <c r="AW747" s="82"/>
      <c r="AX747" s="64"/>
      <c r="AY747" s="64"/>
      <c r="AZ747" s="64"/>
      <c r="BA747" s="64"/>
      <c r="BB747" s="64"/>
      <c r="BC747" s="64"/>
      <c r="BD747" s="64"/>
      <c r="BE747" s="64"/>
      <c r="BF747" s="64"/>
      <c r="BG747" s="64"/>
      <c r="BH747" s="64"/>
      <c r="BI747" s="64"/>
      <c r="BJ747" s="64"/>
      <c r="BK747" s="64"/>
      <c r="BL747" s="64"/>
      <c r="BM747" s="64"/>
      <c r="BN747" s="64"/>
      <c r="BO747" s="64"/>
      <c r="BP747" s="64"/>
      <c r="BQ747" s="64"/>
      <c r="BR747" s="64"/>
      <c r="BS747" s="64"/>
      <c r="BT747" s="65"/>
    </row>
    <row r="748" spans="1:72" ht="17.05" hidden="1" x14ac:dyDescent="0.3">
      <c r="A748" s="47" t="s">
        <v>758</v>
      </c>
      <c r="B748" s="48" t="s">
        <v>226</v>
      </c>
      <c r="C748" s="16" t="s">
        <v>2239</v>
      </c>
      <c r="D748" s="49" t="s">
        <v>1174</v>
      </c>
      <c r="E748" s="50">
        <v>80.489999999999995</v>
      </c>
      <c r="F748" s="50">
        <v>0</v>
      </c>
      <c r="G748" s="61">
        <v>7</v>
      </c>
      <c r="H748" s="16" t="s">
        <v>1105</v>
      </c>
      <c r="I748" s="48" t="s">
        <v>1016</v>
      </c>
      <c r="J748" s="16" t="s">
        <v>2386</v>
      </c>
      <c r="K748" s="49">
        <v>50</v>
      </c>
      <c r="L748" s="49">
        <v>50</v>
      </c>
      <c r="M748" s="64"/>
      <c r="N748" s="64"/>
      <c r="O748" s="49" t="str">
        <f t="shared" si="111"/>
        <v>YES</v>
      </c>
      <c r="P748" s="157"/>
      <c r="Q748" s="53">
        <f t="shared" si="104"/>
        <v>5000</v>
      </c>
      <c r="R748" s="54">
        <f t="shared" si="105"/>
        <v>4024.5</v>
      </c>
      <c r="S748" s="55" t="str">
        <f t="shared" si="106"/>
        <v xml:space="preserve"> </v>
      </c>
      <c r="T748" s="100"/>
      <c r="U748" s="57" t="str">
        <f t="shared" si="107"/>
        <v>100µg/100cm²</v>
      </c>
      <c r="V748" s="58">
        <f t="shared" si="108"/>
        <v>4024.5</v>
      </c>
      <c r="W748" s="58" t="str">
        <f t="shared" si="109"/>
        <v xml:space="preserve"> </v>
      </c>
      <c r="X748" s="59" t="str">
        <f t="shared" si="110"/>
        <v/>
      </c>
      <c r="Y748" s="158"/>
      <c r="Z748" s="64"/>
      <c r="AA748" s="64"/>
      <c r="AB748" s="64"/>
      <c r="AC748" s="64"/>
      <c r="AD748" s="64"/>
      <c r="AE748" s="16" t="s">
        <v>675</v>
      </c>
      <c r="AF748" s="16" t="s">
        <v>675</v>
      </c>
      <c r="AG748" s="64"/>
      <c r="AH748" s="64"/>
      <c r="AI748" s="16" t="s">
        <v>675</v>
      </c>
      <c r="AJ748" s="64"/>
      <c r="AK748" s="64"/>
      <c r="AL748" s="64"/>
      <c r="AM748" s="16" t="s">
        <v>675</v>
      </c>
      <c r="AN748" s="16" t="s">
        <v>675</v>
      </c>
      <c r="AO748" s="64"/>
      <c r="AP748" s="16" t="s">
        <v>675</v>
      </c>
      <c r="AQ748" s="64"/>
      <c r="AR748" s="64"/>
      <c r="AS748" s="16" t="s">
        <v>675</v>
      </c>
      <c r="AT748" s="16" t="s">
        <v>675</v>
      </c>
      <c r="AU748" s="64"/>
      <c r="AV748" s="64"/>
      <c r="AW748" s="64"/>
      <c r="AX748" s="16" t="s">
        <v>675</v>
      </c>
      <c r="AY748" s="64"/>
      <c r="AZ748" s="64"/>
      <c r="BA748" s="64"/>
      <c r="BB748" s="64"/>
      <c r="BC748" s="64"/>
      <c r="BD748" s="64"/>
      <c r="BE748" s="64"/>
      <c r="BF748" s="64"/>
      <c r="BG748" s="16" t="s">
        <v>675</v>
      </c>
      <c r="BH748" s="64"/>
      <c r="BI748" s="64"/>
      <c r="BJ748" s="64"/>
      <c r="BK748" s="64"/>
      <c r="BL748" s="64"/>
      <c r="BM748" s="64"/>
      <c r="BN748" s="64"/>
      <c r="BO748" s="64"/>
      <c r="BP748" s="64"/>
      <c r="BQ748" s="64"/>
      <c r="BR748" s="64"/>
      <c r="BS748" s="16" t="s">
        <v>675</v>
      </c>
      <c r="BT748" s="65"/>
    </row>
    <row r="749" spans="1:72" ht="15.75" hidden="1" x14ac:dyDescent="0.3">
      <c r="A749" s="164" t="s">
        <v>291</v>
      </c>
      <c r="B749" s="76" t="s">
        <v>459</v>
      </c>
      <c r="C749" s="16" t="s">
        <v>1502</v>
      </c>
      <c r="D749" s="16" t="s">
        <v>1484</v>
      </c>
      <c r="E749" s="50">
        <v>50</v>
      </c>
      <c r="F749" s="50">
        <v>0</v>
      </c>
      <c r="G749" s="16">
        <v>1</v>
      </c>
      <c r="H749" s="16" t="s">
        <v>1023</v>
      </c>
      <c r="I749" s="16" t="s">
        <v>1016</v>
      </c>
      <c r="J749" s="16" t="s">
        <v>2382</v>
      </c>
      <c r="K749" s="16">
        <v>50</v>
      </c>
      <c r="L749" s="16">
        <v>50</v>
      </c>
      <c r="M749" s="64"/>
      <c r="N749" s="64"/>
      <c r="O749" s="49" t="str">
        <f t="shared" si="111"/>
        <v>YES</v>
      </c>
      <c r="P749" s="157"/>
      <c r="Q749" s="53">
        <f t="shared" si="104"/>
        <v>5000</v>
      </c>
      <c r="R749" s="54">
        <f t="shared" si="105"/>
        <v>2500</v>
      </c>
      <c r="S749" s="55" t="str">
        <f t="shared" si="106"/>
        <v xml:space="preserve"> </v>
      </c>
      <c r="T749" s="100"/>
      <c r="U749" s="57" t="str">
        <f t="shared" si="107"/>
        <v>100µg/100cm²</v>
      </c>
      <c r="V749" s="58">
        <f t="shared" si="108"/>
        <v>2500</v>
      </c>
      <c r="W749" s="58" t="str">
        <f t="shared" si="109"/>
        <v xml:space="preserve"> </v>
      </c>
      <c r="X749" s="59" t="str">
        <f t="shared" si="110"/>
        <v/>
      </c>
      <c r="Y749" s="158"/>
      <c r="Z749" s="64"/>
      <c r="AA749" s="64"/>
      <c r="AB749" s="64"/>
      <c r="AC749" s="16" t="s">
        <v>675</v>
      </c>
      <c r="AD749" s="64"/>
      <c r="AE749" s="16" t="s">
        <v>675</v>
      </c>
      <c r="AF749" s="16" t="s">
        <v>675</v>
      </c>
      <c r="AG749" s="16" t="s">
        <v>675</v>
      </c>
      <c r="AH749" s="64"/>
      <c r="AI749" s="64"/>
      <c r="AJ749" s="64"/>
      <c r="AK749" s="64"/>
      <c r="AL749" s="64"/>
      <c r="AM749" s="16" t="s">
        <v>675</v>
      </c>
      <c r="AN749" s="64"/>
      <c r="AO749" s="64"/>
      <c r="AP749" s="64"/>
      <c r="AQ749" s="64"/>
      <c r="AR749" s="64"/>
      <c r="AS749" s="64"/>
      <c r="AT749" s="64"/>
      <c r="AU749" s="82"/>
      <c r="AV749" s="82"/>
      <c r="AW749" s="82"/>
      <c r="AX749" s="64"/>
      <c r="AY749" s="64"/>
      <c r="AZ749" s="64"/>
      <c r="BA749" s="64"/>
      <c r="BB749" s="64"/>
      <c r="BC749" s="64"/>
      <c r="BD749" s="16" t="s">
        <v>675</v>
      </c>
      <c r="BE749" s="64"/>
      <c r="BF749" s="64"/>
      <c r="BG749" s="64"/>
      <c r="BH749" s="64"/>
      <c r="BI749" s="64"/>
      <c r="BJ749" s="64"/>
      <c r="BK749" s="64"/>
      <c r="BL749" s="64"/>
      <c r="BM749" s="64"/>
      <c r="BN749" s="64"/>
      <c r="BO749" s="64"/>
      <c r="BP749" s="64"/>
      <c r="BQ749" s="64"/>
      <c r="BR749" s="64"/>
      <c r="BS749" s="64"/>
      <c r="BT749" s="65"/>
    </row>
    <row r="750" spans="1:72" ht="15.75" hidden="1" x14ac:dyDescent="0.3">
      <c r="A750" s="84" t="s">
        <v>1776</v>
      </c>
      <c r="B750" s="76" t="s">
        <v>459</v>
      </c>
      <c r="C750" s="16" t="s">
        <v>1499</v>
      </c>
      <c r="D750" s="16" t="s">
        <v>1496</v>
      </c>
      <c r="E750" s="50">
        <v>15</v>
      </c>
      <c r="F750" s="50">
        <v>0</v>
      </c>
      <c r="G750" s="61">
        <v>7</v>
      </c>
      <c r="H750" s="68" t="s">
        <v>1774</v>
      </c>
      <c r="I750" s="48" t="s">
        <v>1016</v>
      </c>
      <c r="J750" s="16" t="s">
        <v>2382</v>
      </c>
      <c r="K750" s="49">
        <v>50</v>
      </c>
      <c r="L750" s="49">
        <v>50</v>
      </c>
      <c r="M750" s="64"/>
      <c r="N750" s="64"/>
      <c r="O750" s="49" t="str">
        <f t="shared" si="111"/>
        <v>YES</v>
      </c>
      <c r="P750" s="159"/>
      <c r="Q750" s="53">
        <f t="shared" si="104"/>
        <v>5000</v>
      </c>
      <c r="R750" s="54">
        <f t="shared" si="105"/>
        <v>750</v>
      </c>
      <c r="S750" s="55" t="str">
        <f t="shared" si="106"/>
        <v xml:space="preserve"> </v>
      </c>
      <c r="T750" s="100"/>
      <c r="U750" s="57" t="str">
        <f t="shared" si="107"/>
        <v>100µg/100cm²</v>
      </c>
      <c r="V750" s="58">
        <f t="shared" si="108"/>
        <v>750</v>
      </c>
      <c r="W750" s="58" t="str">
        <f t="shared" si="109"/>
        <v xml:space="preserve"> </v>
      </c>
      <c r="X750" s="59" t="str">
        <f t="shared" si="110"/>
        <v/>
      </c>
      <c r="Y750" s="158"/>
      <c r="Z750" s="16" t="s">
        <v>1987</v>
      </c>
      <c r="AA750" s="16" t="s">
        <v>1987</v>
      </c>
      <c r="AB750" s="16" t="s">
        <v>1987</v>
      </c>
      <c r="AC750" s="16" t="s">
        <v>1987</v>
      </c>
      <c r="AD750" s="16" t="s">
        <v>1987</v>
      </c>
      <c r="AE750" s="16" t="s">
        <v>1987</v>
      </c>
      <c r="AF750" s="16" t="s">
        <v>1987</v>
      </c>
      <c r="AG750" s="16" t="s">
        <v>1987</v>
      </c>
      <c r="AH750" s="16" t="s">
        <v>1987</v>
      </c>
      <c r="AI750" s="16" t="s">
        <v>1987</v>
      </c>
      <c r="AJ750" s="16" t="s">
        <v>1987</v>
      </c>
      <c r="AK750" s="16" t="s">
        <v>1987</v>
      </c>
      <c r="AL750" s="16" t="s">
        <v>1987</v>
      </c>
      <c r="AM750" s="16" t="s">
        <v>1987</v>
      </c>
      <c r="AN750" s="16" t="s">
        <v>1987</v>
      </c>
      <c r="AO750" s="16" t="s">
        <v>1987</v>
      </c>
      <c r="AP750" s="16" t="s">
        <v>1987</v>
      </c>
      <c r="AQ750" s="16" t="s">
        <v>1987</v>
      </c>
      <c r="AR750" s="16" t="s">
        <v>1987</v>
      </c>
      <c r="AS750" s="16" t="s">
        <v>1987</v>
      </c>
      <c r="AT750" s="16" t="s">
        <v>1987</v>
      </c>
      <c r="AU750" s="16" t="s">
        <v>1987</v>
      </c>
      <c r="AV750" s="16" t="s">
        <v>1987</v>
      </c>
      <c r="AW750" s="16" t="s">
        <v>1987</v>
      </c>
      <c r="AX750" s="16" t="s">
        <v>1987</v>
      </c>
      <c r="AY750" s="16" t="s">
        <v>1987</v>
      </c>
      <c r="AZ750" s="16" t="s">
        <v>1987</v>
      </c>
      <c r="BA750" s="16" t="s">
        <v>1987</v>
      </c>
      <c r="BB750" s="16" t="s">
        <v>1987</v>
      </c>
      <c r="BC750" s="16" t="s">
        <v>1987</v>
      </c>
      <c r="BD750" s="16" t="s">
        <v>1987</v>
      </c>
      <c r="BE750" s="16" t="s">
        <v>1987</v>
      </c>
      <c r="BF750" s="16" t="s">
        <v>1987</v>
      </c>
      <c r="BG750" s="16" t="s">
        <v>1987</v>
      </c>
      <c r="BH750" s="16" t="s">
        <v>1987</v>
      </c>
      <c r="BI750" s="16" t="s">
        <v>1987</v>
      </c>
      <c r="BJ750" s="16" t="s">
        <v>1987</v>
      </c>
      <c r="BK750" s="16" t="s">
        <v>1987</v>
      </c>
      <c r="BL750" s="16" t="s">
        <v>1987</v>
      </c>
      <c r="BM750" s="16" t="s">
        <v>1987</v>
      </c>
      <c r="BN750" s="16" t="s">
        <v>1987</v>
      </c>
      <c r="BO750" s="16" t="s">
        <v>1987</v>
      </c>
      <c r="BP750" s="16" t="s">
        <v>1987</v>
      </c>
      <c r="BQ750" s="16" t="s">
        <v>1987</v>
      </c>
      <c r="BR750" s="16" t="s">
        <v>1987</v>
      </c>
      <c r="BS750" s="16" t="s">
        <v>1987</v>
      </c>
      <c r="BT750" s="16" t="s">
        <v>1987</v>
      </c>
    </row>
    <row r="751" spans="1:72" ht="15.75" hidden="1" x14ac:dyDescent="0.3">
      <c r="A751" s="164" t="s">
        <v>981</v>
      </c>
      <c r="B751" s="76" t="s">
        <v>459</v>
      </c>
      <c r="C751" s="16" t="s">
        <v>1502</v>
      </c>
      <c r="D751" s="16" t="s">
        <v>1484</v>
      </c>
      <c r="E751" s="50">
        <v>50</v>
      </c>
      <c r="F751" s="50">
        <v>0</v>
      </c>
      <c r="G751" s="16">
        <v>1</v>
      </c>
      <c r="H751" s="16" t="s">
        <v>1023</v>
      </c>
      <c r="I751" s="16" t="s">
        <v>1016</v>
      </c>
      <c r="J751" s="16" t="s">
        <v>2382</v>
      </c>
      <c r="K751" s="16">
        <v>50</v>
      </c>
      <c r="L751" s="16">
        <v>50</v>
      </c>
      <c r="M751" s="64"/>
      <c r="N751" s="64"/>
      <c r="O751" s="49" t="str">
        <f t="shared" si="111"/>
        <v>YES</v>
      </c>
      <c r="P751" s="157"/>
      <c r="Q751" s="53">
        <f t="shared" si="104"/>
        <v>5000</v>
      </c>
      <c r="R751" s="54">
        <f t="shared" si="105"/>
        <v>2500</v>
      </c>
      <c r="S751" s="55" t="str">
        <f t="shared" si="106"/>
        <v xml:space="preserve"> </v>
      </c>
      <c r="T751" s="100"/>
      <c r="U751" s="57" t="str">
        <f t="shared" si="107"/>
        <v>100µg/100cm²</v>
      </c>
      <c r="V751" s="58">
        <f t="shared" si="108"/>
        <v>2500</v>
      </c>
      <c r="W751" s="58" t="str">
        <f t="shared" si="109"/>
        <v xml:space="preserve"> </v>
      </c>
      <c r="X751" s="59" t="str">
        <f t="shared" si="110"/>
        <v/>
      </c>
      <c r="Y751" s="158"/>
      <c r="Z751" s="64"/>
      <c r="AA751" s="64"/>
      <c r="AB751" s="64"/>
      <c r="AC751" s="64"/>
      <c r="AD751" s="64"/>
      <c r="AE751" s="16" t="s">
        <v>675</v>
      </c>
      <c r="AF751" s="64"/>
      <c r="AG751" s="64"/>
      <c r="AH751" s="64"/>
      <c r="AI751" s="64"/>
      <c r="AJ751" s="64"/>
      <c r="AK751" s="64"/>
      <c r="AL751" s="64"/>
      <c r="AM751" s="16" t="s">
        <v>675</v>
      </c>
      <c r="AN751" s="64"/>
      <c r="AO751" s="64"/>
      <c r="AP751" s="64"/>
      <c r="AQ751" s="64"/>
      <c r="AR751" s="64"/>
      <c r="AS751" s="64"/>
      <c r="AT751" s="64"/>
      <c r="AU751" s="82"/>
      <c r="AV751" s="82"/>
      <c r="AW751" s="82"/>
      <c r="AX751" s="64"/>
      <c r="AY751" s="64"/>
      <c r="AZ751" s="64"/>
      <c r="BA751" s="64"/>
      <c r="BB751" s="64"/>
      <c r="BC751" s="64"/>
      <c r="BD751" s="64"/>
      <c r="BE751" s="64"/>
      <c r="BF751" s="64"/>
      <c r="BG751" s="64"/>
      <c r="BH751" s="64"/>
      <c r="BI751" s="64"/>
      <c r="BJ751" s="64"/>
      <c r="BK751" s="64"/>
      <c r="BL751" s="64"/>
      <c r="BM751" s="64"/>
      <c r="BN751" s="64"/>
      <c r="BO751" s="64"/>
      <c r="BP751" s="64"/>
      <c r="BQ751" s="64"/>
      <c r="BR751" s="64"/>
      <c r="BS751" s="64"/>
      <c r="BT751" s="65"/>
    </row>
    <row r="752" spans="1:72" ht="17.05" hidden="1" x14ac:dyDescent="0.3">
      <c r="A752" s="165" t="s">
        <v>788</v>
      </c>
      <c r="B752" s="69" t="s">
        <v>533</v>
      </c>
      <c r="C752" s="16" t="s">
        <v>2240</v>
      </c>
      <c r="D752" s="49" t="s">
        <v>1397</v>
      </c>
      <c r="E752" s="50">
        <v>39.479999999999997</v>
      </c>
      <c r="F752" s="50">
        <v>0</v>
      </c>
      <c r="G752" s="61">
        <v>7</v>
      </c>
      <c r="H752" s="16">
        <v>6.8965517241379309E-2</v>
      </c>
      <c r="I752" s="48" t="s">
        <v>1016</v>
      </c>
      <c r="J752" s="16" t="s">
        <v>2386</v>
      </c>
      <c r="K752" s="49">
        <v>50</v>
      </c>
      <c r="L752" s="49">
        <v>50</v>
      </c>
      <c r="M752" s="64"/>
      <c r="N752" s="64"/>
      <c r="O752" s="49" t="str">
        <f t="shared" si="111"/>
        <v>YES</v>
      </c>
      <c r="P752" s="157"/>
      <c r="Q752" s="53">
        <f t="shared" si="104"/>
        <v>5000</v>
      </c>
      <c r="R752" s="54">
        <f t="shared" si="105"/>
        <v>1974</v>
      </c>
      <c r="S752" s="55" t="str">
        <f t="shared" si="106"/>
        <v xml:space="preserve"> </v>
      </c>
      <c r="T752" s="100"/>
      <c r="U752" s="57" t="str">
        <f t="shared" si="107"/>
        <v>100µg/100cm²</v>
      </c>
      <c r="V752" s="58">
        <f t="shared" si="108"/>
        <v>1974</v>
      </c>
      <c r="W752" s="58" t="str">
        <f t="shared" si="109"/>
        <v xml:space="preserve"> </v>
      </c>
      <c r="X752" s="59" t="str">
        <f t="shared" si="110"/>
        <v/>
      </c>
      <c r="Y752" s="158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16" t="s">
        <v>675</v>
      </c>
      <c r="AT752" s="64"/>
      <c r="AU752" s="64"/>
      <c r="AV752" s="64"/>
      <c r="AW752" s="64"/>
      <c r="AX752" s="64"/>
      <c r="AY752" s="64"/>
      <c r="AZ752" s="64"/>
      <c r="BA752" s="64"/>
      <c r="BB752" s="64"/>
      <c r="BC752" s="64"/>
      <c r="BD752" s="64"/>
      <c r="BE752" s="64"/>
      <c r="BF752" s="64"/>
      <c r="BG752" s="16" t="s">
        <v>675</v>
      </c>
      <c r="BH752" s="64"/>
      <c r="BI752" s="64"/>
      <c r="BJ752" s="64"/>
      <c r="BK752" s="64"/>
      <c r="BL752" s="64"/>
      <c r="BM752" s="64"/>
      <c r="BN752" s="64"/>
      <c r="BO752" s="64"/>
      <c r="BP752" s="64"/>
      <c r="BQ752" s="64"/>
      <c r="BR752" s="64"/>
      <c r="BS752" s="16" t="s">
        <v>675</v>
      </c>
      <c r="BT752" s="65"/>
    </row>
    <row r="753" spans="1:72" ht="15.75" hidden="1" x14ac:dyDescent="0.3">
      <c r="A753" s="166" t="s">
        <v>743</v>
      </c>
      <c r="B753" s="49" t="s">
        <v>182</v>
      </c>
      <c r="C753" s="49" t="s">
        <v>1339</v>
      </c>
      <c r="D753" s="49" t="s">
        <v>1051</v>
      </c>
      <c r="E753" s="50">
        <v>34.479999999999997</v>
      </c>
      <c r="F753" s="50">
        <v>0</v>
      </c>
      <c r="G753" s="61">
        <v>7</v>
      </c>
      <c r="H753" s="16" t="s">
        <v>1105</v>
      </c>
      <c r="I753" s="49" t="s">
        <v>1016</v>
      </c>
      <c r="J753" s="16" t="s">
        <v>2386</v>
      </c>
      <c r="K753" s="49">
        <v>50</v>
      </c>
      <c r="L753" s="49">
        <v>50</v>
      </c>
      <c r="M753" s="64"/>
      <c r="N753" s="64"/>
      <c r="O753" s="49" t="str">
        <f t="shared" si="111"/>
        <v>YES</v>
      </c>
      <c r="P753" s="157"/>
      <c r="Q753" s="53">
        <f t="shared" si="104"/>
        <v>5000</v>
      </c>
      <c r="R753" s="54">
        <f t="shared" si="105"/>
        <v>1724</v>
      </c>
      <c r="S753" s="55" t="str">
        <f t="shared" si="106"/>
        <v xml:space="preserve"> </v>
      </c>
      <c r="T753" s="100"/>
      <c r="U753" s="57" t="str">
        <f t="shared" si="107"/>
        <v>100µg/100cm²</v>
      </c>
      <c r="V753" s="58">
        <f t="shared" si="108"/>
        <v>1724</v>
      </c>
      <c r="W753" s="58" t="str">
        <f t="shared" si="109"/>
        <v xml:space="preserve"> </v>
      </c>
      <c r="X753" s="59" t="str">
        <f t="shared" si="110"/>
        <v/>
      </c>
      <c r="Y753" s="158"/>
      <c r="Z753" s="64"/>
      <c r="AA753" s="64"/>
      <c r="AB753" s="64"/>
      <c r="AC753" s="64"/>
      <c r="AD753" s="64"/>
      <c r="AE753" s="16" t="s">
        <v>675</v>
      </c>
      <c r="AF753" s="64"/>
      <c r="AG753" s="64"/>
      <c r="AH753" s="64"/>
      <c r="AI753" s="16" t="s">
        <v>675</v>
      </c>
      <c r="AJ753" s="64"/>
      <c r="AK753" s="64"/>
      <c r="AL753" s="64"/>
      <c r="AM753" s="16" t="s">
        <v>675</v>
      </c>
      <c r="AN753" s="16" t="s">
        <v>675</v>
      </c>
      <c r="AO753" s="64"/>
      <c r="AP753" s="16" t="s">
        <v>675</v>
      </c>
      <c r="AQ753" s="64"/>
      <c r="AR753" s="64"/>
      <c r="AS753" s="16" t="s">
        <v>675</v>
      </c>
      <c r="AT753" s="16" t="s">
        <v>675</v>
      </c>
      <c r="AU753" s="64"/>
      <c r="AV753" s="64"/>
      <c r="AW753" s="64"/>
      <c r="AX753" s="16" t="s">
        <v>675</v>
      </c>
      <c r="AY753" s="64"/>
      <c r="AZ753" s="64"/>
      <c r="BA753" s="64"/>
      <c r="BB753" s="64"/>
      <c r="BC753" s="64"/>
      <c r="BD753" s="64"/>
      <c r="BE753" s="64"/>
      <c r="BF753" s="64"/>
      <c r="BG753" s="16" t="s">
        <v>675</v>
      </c>
      <c r="BH753" s="64"/>
      <c r="BI753" s="64"/>
      <c r="BJ753" s="64"/>
      <c r="BK753" s="64"/>
      <c r="BL753" s="64"/>
      <c r="BM753" s="64"/>
      <c r="BN753" s="64"/>
      <c r="BO753" s="64"/>
      <c r="BP753" s="64"/>
      <c r="BQ753" s="64"/>
      <c r="BR753" s="64"/>
      <c r="BS753" s="16" t="s">
        <v>675</v>
      </c>
      <c r="BT753" s="65"/>
    </row>
    <row r="754" spans="1:72" ht="15.75" hidden="1" x14ac:dyDescent="0.3">
      <c r="A754" s="122" t="s">
        <v>1570</v>
      </c>
      <c r="B754" s="71" t="s">
        <v>855</v>
      </c>
      <c r="C754" s="87" t="s">
        <v>1503</v>
      </c>
      <c r="D754" s="16" t="s">
        <v>1494</v>
      </c>
      <c r="E754" s="50">
        <v>40</v>
      </c>
      <c r="F754" s="50">
        <v>0</v>
      </c>
      <c r="G754" s="16">
        <v>2</v>
      </c>
      <c r="H754" s="16">
        <v>410</v>
      </c>
      <c r="I754" s="16" t="s">
        <v>1016</v>
      </c>
      <c r="J754" s="16" t="s">
        <v>2382</v>
      </c>
      <c r="K754" s="16">
        <v>50</v>
      </c>
      <c r="L754" s="16">
        <v>50</v>
      </c>
      <c r="M754" s="64"/>
      <c r="N754" s="64"/>
      <c r="O754" s="49" t="str">
        <f t="shared" si="111"/>
        <v>YES</v>
      </c>
      <c r="P754" s="157"/>
      <c r="Q754" s="53">
        <f t="shared" si="104"/>
        <v>5000</v>
      </c>
      <c r="R754" s="54">
        <f t="shared" si="105"/>
        <v>2000</v>
      </c>
      <c r="S754" s="55" t="str">
        <f t="shared" si="106"/>
        <v xml:space="preserve"> </v>
      </c>
      <c r="T754" s="167"/>
      <c r="U754" s="57" t="str">
        <f t="shared" si="107"/>
        <v>100µg/100cm²</v>
      </c>
      <c r="V754" s="58">
        <f t="shared" si="108"/>
        <v>2000</v>
      </c>
      <c r="W754" s="58" t="str">
        <f t="shared" si="109"/>
        <v xml:space="preserve"> </v>
      </c>
      <c r="X754" s="59" t="str">
        <f t="shared" si="110"/>
        <v/>
      </c>
      <c r="Y754" s="158"/>
      <c r="Z754" s="64"/>
      <c r="AA754" s="16" t="s">
        <v>675</v>
      </c>
      <c r="AB754" s="64"/>
      <c r="AC754" s="16" t="s">
        <v>675</v>
      </c>
      <c r="AD754" s="16" t="s">
        <v>675</v>
      </c>
      <c r="AE754" s="64"/>
      <c r="AF754" s="64"/>
      <c r="AG754" s="64"/>
      <c r="AH754" s="64"/>
      <c r="AI754" s="64"/>
      <c r="AJ754" s="64"/>
      <c r="AK754" s="64"/>
      <c r="AL754" s="64"/>
      <c r="AM754" s="16" t="s">
        <v>675</v>
      </c>
      <c r="AN754" s="64"/>
      <c r="AO754" s="64"/>
      <c r="AP754" s="64"/>
      <c r="AQ754" s="16" t="s">
        <v>675</v>
      </c>
      <c r="AR754" s="64"/>
      <c r="AS754" s="16" t="s">
        <v>675</v>
      </c>
      <c r="AT754" s="64"/>
      <c r="AU754" s="16" t="s">
        <v>675</v>
      </c>
      <c r="AV754" s="16" t="s">
        <v>675</v>
      </c>
      <c r="AW754" s="16" t="s">
        <v>675</v>
      </c>
      <c r="AX754" s="64"/>
      <c r="AY754" s="16" t="s">
        <v>675</v>
      </c>
      <c r="AZ754" s="16" t="s">
        <v>675</v>
      </c>
      <c r="BA754" s="16" t="s">
        <v>675</v>
      </c>
      <c r="BB754" s="16" t="s">
        <v>675</v>
      </c>
      <c r="BC754" s="64"/>
      <c r="BD754" s="16" t="s">
        <v>675</v>
      </c>
      <c r="BE754" s="16" t="s">
        <v>675</v>
      </c>
      <c r="BF754" s="64"/>
      <c r="BG754" s="64"/>
      <c r="BH754" s="64"/>
      <c r="BI754" s="64"/>
      <c r="BJ754" s="64"/>
      <c r="BK754" s="64"/>
      <c r="BL754" s="64"/>
      <c r="BM754" s="64"/>
      <c r="BN754" s="64"/>
      <c r="BO754" s="64"/>
      <c r="BP754" s="64"/>
      <c r="BQ754" s="64"/>
      <c r="BR754" s="64"/>
      <c r="BS754" s="16" t="s">
        <v>675</v>
      </c>
      <c r="BT754" s="65"/>
    </row>
    <row r="755" spans="1:72" ht="15.75" x14ac:dyDescent="0.3">
      <c r="A755" s="47" t="s">
        <v>700</v>
      </c>
      <c r="B755" s="49" t="s">
        <v>701</v>
      </c>
      <c r="C755" s="49" t="s">
        <v>1158</v>
      </c>
      <c r="D755" s="49" t="s">
        <v>1114</v>
      </c>
      <c r="E755" s="50">
        <v>0</v>
      </c>
      <c r="F755" s="50">
        <v>0</v>
      </c>
      <c r="G755" s="61">
        <v>1</v>
      </c>
      <c r="H755" s="16">
        <v>4320</v>
      </c>
      <c r="I755" s="49" t="s">
        <v>1016</v>
      </c>
      <c r="J755" s="16" t="s">
        <v>1159</v>
      </c>
      <c r="K755" s="49">
        <v>7.5</v>
      </c>
      <c r="L755" s="49">
        <v>67.5</v>
      </c>
      <c r="M755" s="62" t="s">
        <v>1053</v>
      </c>
      <c r="N755" s="49" t="s">
        <v>2359</v>
      </c>
      <c r="O755" s="49" t="str">
        <f t="shared" si="111"/>
        <v>NO</v>
      </c>
      <c r="P755" s="157"/>
      <c r="Q755" s="53">
        <f t="shared" si="104"/>
        <v>7.5</v>
      </c>
      <c r="R755" s="54" t="str">
        <f t="shared" si="105"/>
        <v xml:space="preserve"> </v>
      </c>
      <c r="S755" s="55" t="str">
        <f t="shared" si="106"/>
        <v xml:space="preserve"> </v>
      </c>
      <c r="T755" s="100"/>
      <c r="U755" s="57" t="str">
        <f t="shared" si="107"/>
        <v xml:space="preserve"> </v>
      </c>
      <c r="V755" s="58" t="str">
        <f t="shared" si="108"/>
        <v xml:space="preserve"> </v>
      </c>
      <c r="W755" s="58" t="str">
        <f t="shared" si="109"/>
        <v xml:space="preserve"> </v>
      </c>
      <c r="X755" s="59" t="str">
        <f t="shared" si="110"/>
        <v>Mitigation</v>
      </c>
      <c r="Y755" s="158"/>
      <c r="Z755" s="64"/>
      <c r="AA755" s="64"/>
      <c r="AB755" s="64"/>
      <c r="AC755" s="64"/>
      <c r="AD755" s="16" t="s">
        <v>675</v>
      </c>
      <c r="AE755" s="64"/>
      <c r="AF755" s="64"/>
      <c r="AG755" s="64"/>
      <c r="AH755" s="64"/>
      <c r="AI755" s="64"/>
      <c r="AJ755" s="64"/>
      <c r="AK755" s="64"/>
      <c r="AL755" s="64"/>
      <c r="AM755" s="16" t="s">
        <v>675</v>
      </c>
      <c r="AN755" s="64"/>
      <c r="AO755" s="64"/>
      <c r="AP755" s="64"/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  <c r="BB755" s="64"/>
      <c r="BC755" s="64"/>
      <c r="BD755" s="64"/>
      <c r="BE755" s="16" t="s">
        <v>675</v>
      </c>
      <c r="BF755" s="64"/>
      <c r="BG755" s="64"/>
      <c r="BH755" s="64"/>
      <c r="BI755" s="64"/>
      <c r="BJ755" s="64"/>
      <c r="BK755" s="64"/>
      <c r="BL755" s="64"/>
      <c r="BM755" s="64"/>
      <c r="BN755" s="64"/>
      <c r="BO755" s="64"/>
      <c r="BP755" s="64"/>
      <c r="BQ755" s="64"/>
      <c r="BR755" s="64"/>
      <c r="BS755" s="16" t="s">
        <v>675</v>
      </c>
      <c r="BT755" s="65"/>
    </row>
    <row r="756" spans="1:72" ht="15.75" x14ac:dyDescent="0.3">
      <c r="A756" s="47" t="s">
        <v>2322</v>
      </c>
      <c r="B756" s="49" t="s">
        <v>1853</v>
      </c>
      <c r="C756" s="49" t="s">
        <v>2323</v>
      </c>
      <c r="D756" s="49" t="s">
        <v>1114</v>
      </c>
      <c r="E756" s="50">
        <v>0</v>
      </c>
      <c r="F756" s="50">
        <v>0</v>
      </c>
      <c r="G756" s="16">
        <v>7</v>
      </c>
      <c r="H756" s="16" t="s">
        <v>1105</v>
      </c>
      <c r="I756" s="70" t="s">
        <v>2247</v>
      </c>
      <c r="J756" s="16" t="s">
        <v>2324</v>
      </c>
      <c r="K756" s="49">
        <v>150</v>
      </c>
      <c r="L756" s="49">
        <v>1350</v>
      </c>
      <c r="M756" s="49" t="s">
        <v>1027</v>
      </c>
      <c r="N756" s="51"/>
      <c r="O756" s="49" t="str">
        <f t="shared" si="111"/>
        <v>YES</v>
      </c>
      <c r="P756" s="159"/>
      <c r="Q756" s="53">
        <f t="shared" si="104"/>
        <v>5000</v>
      </c>
      <c r="R756" s="54" t="str">
        <f t="shared" si="105"/>
        <v xml:space="preserve"> </v>
      </c>
      <c r="S756" s="55" t="str">
        <f t="shared" si="106"/>
        <v xml:space="preserve"> </v>
      </c>
      <c r="T756" s="163"/>
      <c r="U756" s="57" t="str">
        <f t="shared" si="107"/>
        <v xml:space="preserve"> </v>
      </c>
      <c r="V756" s="58" t="str">
        <f t="shared" si="108"/>
        <v xml:space="preserve"> </v>
      </c>
      <c r="W756" s="57" t="str">
        <f t="shared" si="109"/>
        <v xml:space="preserve"> </v>
      </c>
      <c r="X756" s="59" t="str">
        <f t="shared" si="110"/>
        <v>Mitigation</v>
      </c>
      <c r="Y756" s="159"/>
      <c r="Z756" s="16" t="s">
        <v>1987</v>
      </c>
      <c r="AA756" s="16" t="s">
        <v>1987</v>
      </c>
      <c r="AB756" s="16" t="s">
        <v>1987</v>
      </c>
      <c r="AC756" s="16" t="s">
        <v>1987</v>
      </c>
      <c r="AD756" s="16" t="s">
        <v>1987</v>
      </c>
      <c r="AE756" s="16" t="s">
        <v>1987</v>
      </c>
      <c r="AF756" s="16" t="s">
        <v>1987</v>
      </c>
      <c r="AG756" s="16" t="s">
        <v>1987</v>
      </c>
      <c r="AH756" s="16" t="s">
        <v>1987</v>
      </c>
      <c r="AI756" s="16" t="s">
        <v>1987</v>
      </c>
      <c r="AJ756" s="16" t="s">
        <v>1987</v>
      </c>
      <c r="AK756" s="16" t="s">
        <v>1987</v>
      </c>
      <c r="AL756" s="16" t="s">
        <v>1987</v>
      </c>
      <c r="AM756" s="16" t="s">
        <v>1987</v>
      </c>
      <c r="AN756" s="16" t="s">
        <v>1987</v>
      </c>
      <c r="AO756" s="16" t="s">
        <v>1987</v>
      </c>
      <c r="AP756" s="16" t="s">
        <v>1987</v>
      </c>
      <c r="AQ756" s="16" t="s">
        <v>1987</v>
      </c>
      <c r="AR756" s="16" t="s">
        <v>1987</v>
      </c>
      <c r="AS756" s="16" t="s">
        <v>1987</v>
      </c>
      <c r="AT756" s="16" t="s">
        <v>1987</v>
      </c>
      <c r="AU756" s="16" t="s">
        <v>1987</v>
      </c>
      <c r="AV756" s="16" t="s">
        <v>1987</v>
      </c>
      <c r="AW756" s="16" t="s">
        <v>1987</v>
      </c>
      <c r="AX756" s="16" t="s">
        <v>1987</v>
      </c>
      <c r="AY756" s="16" t="s">
        <v>1987</v>
      </c>
      <c r="AZ756" s="16" t="s">
        <v>1987</v>
      </c>
      <c r="BA756" s="16" t="s">
        <v>1987</v>
      </c>
      <c r="BB756" s="16" t="s">
        <v>1987</v>
      </c>
      <c r="BC756" s="16" t="s">
        <v>1987</v>
      </c>
      <c r="BD756" s="16" t="s">
        <v>1987</v>
      </c>
      <c r="BE756" s="16" t="s">
        <v>1987</v>
      </c>
      <c r="BF756" s="16" t="s">
        <v>1987</v>
      </c>
      <c r="BG756" s="16" t="s">
        <v>1987</v>
      </c>
      <c r="BH756" s="16" t="s">
        <v>1987</v>
      </c>
      <c r="BI756" s="16" t="s">
        <v>1987</v>
      </c>
      <c r="BJ756" s="16" t="s">
        <v>1987</v>
      </c>
      <c r="BK756" s="16" t="s">
        <v>1987</v>
      </c>
      <c r="BL756" s="16" t="s">
        <v>1987</v>
      </c>
      <c r="BM756" s="16" t="s">
        <v>1987</v>
      </c>
      <c r="BN756" s="16" t="s">
        <v>1987</v>
      </c>
      <c r="BO756" s="16" t="s">
        <v>1987</v>
      </c>
      <c r="BP756" s="16" t="s">
        <v>1987</v>
      </c>
      <c r="BQ756" s="16" t="s">
        <v>1987</v>
      </c>
      <c r="BR756" s="16" t="s">
        <v>1987</v>
      </c>
      <c r="BS756" s="16" t="s">
        <v>1987</v>
      </c>
      <c r="BT756" s="16" t="s">
        <v>1987</v>
      </c>
    </row>
    <row r="757" spans="1:72" ht="15.75" x14ac:dyDescent="0.3">
      <c r="A757" s="47" t="s">
        <v>355</v>
      </c>
      <c r="B757" s="48" t="s">
        <v>356</v>
      </c>
      <c r="C757" s="49" t="s">
        <v>1160</v>
      </c>
      <c r="D757" s="49" t="s">
        <v>1114</v>
      </c>
      <c r="E757" s="50">
        <v>0</v>
      </c>
      <c r="F757" s="50">
        <v>0</v>
      </c>
      <c r="G757" s="61">
        <v>2</v>
      </c>
      <c r="H757" s="16">
        <v>960</v>
      </c>
      <c r="I757" s="48" t="s">
        <v>1016</v>
      </c>
      <c r="J757" s="16" t="s">
        <v>1161</v>
      </c>
      <c r="K757" s="49">
        <v>117</v>
      </c>
      <c r="L757" s="49">
        <v>1050</v>
      </c>
      <c r="M757" s="168" t="s">
        <v>1014</v>
      </c>
      <c r="N757" s="49" t="s">
        <v>2381</v>
      </c>
      <c r="O757" s="49" t="str">
        <f t="shared" si="111"/>
        <v>NO</v>
      </c>
      <c r="P757" s="157"/>
      <c r="Q757" s="53">
        <f t="shared" si="104"/>
        <v>117</v>
      </c>
      <c r="R757" s="54" t="str">
        <f t="shared" si="105"/>
        <v xml:space="preserve"> </v>
      </c>
      <c r="S757" s="55" t="str">
        <f t="shared" si="106"/>
        <v xml:space="preserve"> </v>
      </c>
      <c r="T757" s="100"/>
      <c r="U757" s="57" t="str">
        <f t="shared" si="107"/>
        <v xml:space="preserve"> </v>
      </c>
      <c r="V757" s="58" t="str">
        <f t="shared" si="108"/>
        <v xml:space="preserve"> </v>
      </c>
      <c r="W757" s="58" t="str">
        <f t="shared" si="109"/>
        <v xml:space="preserve"> </v>
      </c>
      <c r="X757" s="59" t="str">
        <f t="shared" si="110"/>
        <v>Mitigation</v>
      </c>
      <c r="Y757" s="158"/>
      <c r="Z757" s="16" t="s">
        <v>675</v>
      </c>
      <c r="AA757" s="16" t="s">
        <v>675</v>
      </c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16" t="s">
        <v>675</v>
      </c>
      <c r="AN757" s="64"/>
      <c r="AO757" s="64"/>
      <c r="AP757" s="64"/>
      <c r="AQ757" s="16" t="s">
        <v>675</v>
      </c>
      <c r="AR757" s="64"/>
      <c r="AS757" s="16" t="s">
        <v>675</v>
      </c>
      <c r="AT757" s="64"/>
      <c r="AU757" s="16" t="s">
        <v>675</v>
      </c>
      <c r="AV757" s="64"/>
      <c r="AW757" s="16" t="s">
        <v>675</v>
      </c>
      <c r="AX757" s="64"/>
      <c r="AY757" s="64"/>
      <c r="AZ757" s="64"/>
      <c r="BA757" s="16" t="s">
        <v>675</v>
      </c>
      <c r="BB757" s="16" t="s">
        <v>675</v>
      </c>
      <c r="BC757" s="64"/>
      <c r="BD757" s="64"/>
      <c r="BE757" s="64"/>
      <c r="BF757" s="64"/>
      <c r="BG757" s="64"/>
      <c r="BH757" s="64"/>
      <c r="BI757" s="64"/>
      <c r="BJ757" s="64"/>
      <c r="BK757" s="64"/>
      <c r="BL757" s="64"/>
      <c r="BM757" s="64"/>
      <c r="BN757" s="64"/>
      <c r="BO757" s="64"/>
      <c r="BP757" s="64"/>
      <c r="BQ757" s="64"/>
      <c r="BR757" s="64"/>
      <c r="BS757" s="64"/>
      <c r="BT757" s="65"/>
    </row>
    <row r="758" spans="1:72" ht="15.75" hidden="1" x14ac:dyDescent="0.3">
      <c r="A758" s="47" t="s">
        <v>178</v>
      </c>
      <c r="B758" s="48" t="s">
        <v>179</v>
      </c>
      <c r="C758" s="49" t="s">
        <v>1185</v>
      </c>
      <c r="D758" s="49" t="s">
        <v>1174</v>
      </c>
      <c r="E758" s="50">
        <v>62.82</v>
      </c>
      <c r="F758" s="50">
        <v>0</v>
      </c>
      <c r="G758" s="61">
        <v>7</v>
      </c>
      <c r="H758" s="16" t="s">
        <v>1105</v>
      </c>
      <c r="I758" s="48" t="s">
        <v>1016</v>
      </c>
      <c r="J758" s="16" t="s">
        <v>1186</v>
      </c>
      <c r="K758" s="49">
        <v>2400</v>
      </c>
      <c r="L758" s="49">
        <v>21600</v>
      </c>
      <c r="M758" s="62" t="s">
        <v>1014</v>
      </c>
      <c r="N758" s="51"/>
      <c r="O758" s="49" t="str">
        <f t="shared" si="111"/>
        <v>YES</v>
      </c>
      <c r="P758" s="157"/>
      <c r="Q758" s="53">
        <f t="shared" si="104"/>
        <v>5000</v>
      </c>
      <c r="R758" s="54">
        <f t="shared" si="105"/>
        <v>3141</v>
      </c>
      <c r="S758" s="55" t="str">
        <f t="shared" si="106"/>
        <v xml:space="preserve"> </v>
      </c>
      <c r="T758" s="100"/>
      <c r="U758" s="57" t="str">
        <f t="shared" si="107"/>
        <v>100µg/100cm²</v>
      </c>
      <c r="V758" s="58">
        <f t="shared" si="108"/>
        <v>3141</v>
      </c>
      <c r="W758" s="58" t="str">
        <f t="shared" si="109"/>
        <v xml:space="preserve"> </v>
      </c>
      <c r="X758" s="59" t="str">
        <f t="shared" si="110"/>
        <v/>
      </c>
      <c r="Y758" s="158"/>
      <c r="Z758" s="64"/>
      <c r="AA758" s="64"/>
      <c r="AB758" s="64"/>
      <c r="AC758" s="64"/>
      <c r="AD758" s="64"/>
      <c r="AE758" s="16" t="s">
        <v>675</v>
      </c>
      <c r="AF758" s="16" t="s">
        <v>675</v>
      </c>
      <c r="AG758" s="64"/>
      <c r="AH758" s="64"/>
      <c r="AI758" s="16" t="s">
        <v>675</v>
      </c>
      <c r="AJ758" s="64"/>
      <c r="AK758" s="64"/>
      <c r="AL758" s="64"/>
      <c r="AM758" s="16" t="s">
        <v>675</v>
      </c>
      <c r="AN758" s="16" t="s">
        <v>675</v>
      </c>
      <c r="AO758" s="64"/>
      <c r="AP758" s="16" t="s">
        <v>675</v>
      </c>
      <c r="AQ758" s="64"/>
      <c r="AR758" s="64"/>
      <c r="AS758" s="16" t="s">
        <v>675</v>
      </c>
      <c r="AT758" s="16" t="s">
        <v>675</v>
      </c>
      <c r="AU758" s="64"/>
      <c r="AV758" s="64"/>
      <c r="AW758" s="64"/>
      <c r="AX758" s="64"/>
      <c r="AY758" s="64"/>
      <c r="AZ758" s="64"/>
      <c r="BA758" s="64"/>
      <c r="BB758" s="64"/>
      <c r="BC758" s="64"/>
      <c r="BD758" s="64"/>
      <c r="BE758" s="64"/>
      <c r="BF758" s="64"/>
      <c r="BG758" s="16" t="s">
        <v>675</v>
      </c>
      <c r="BH758" s="64"/>
      <c r="BI758" s="64"/>
      <c r="BJ758" s="64"/>
      <c r="BK758" s="64"/>
      <c r="BL758" s="64"/>
      <c r="BM758" s="64"/>
      <c r="BN758" s="64"/>
      <c r="BO758" s="64"/>
      <c r="BP758" s="64"/>
      <c r="BQ758" s="64"/>
      <c r="BR758" s="64"/>
      <c r="BS758" s="16" t="s">
        <v>675</v>
      </c>
      <c r="BT758" s="65"/>
    </row>
    <row r="761" spans="1:72" x14ac:dyDescent="0.3">
      <c r="V761"/>
    </row>
    <row r="765" spans="1:72" x14ac:dyDescent="0.3">
      <c r="C765"/>
    </row>
    <row r="766" spans="1:72" x14ac:dyDescent="0.3">
      <c r="C766"/>
    </row>
    <row r="767" spans="1:72" x14ac:dyDescent="0.3">
      <c r="C767"/>
    </row>
  </sheetData>
  <protectedRanges>
    <protectedRange algorithmName="SHA-512" hashValue="bSB2KhA+WouMwxM66uB2UULUfIvvw0bBMs5kgkYA40Iws8tgPPUDFjorMaWc1jw+7Kg4MekUx/BvCSnFX4i6Tg==" saltValue="/hDUO1CJhUvzK7MkHiliBQ==" spinCount="100000" sqref="BC3:BD3" name="Range1_2_3_3"/>
    <protectedRange algorithmName="SHA-512" hashValue="bSB2KhA+WouMwxM66uB2UULUfIvvw0bBMs5kgkYA40Iws8tgPPUDFjorMaWc1jw+7Kg4MekUx/BvCSnFX4i6Tg==" saltValue="/hDUO1CJhUvzK7MkHiliBQ==" spinCount="100000" sqref="AB395" name="Range1_19_5_3"/>
    <protectedRange algorithmName="SHA-512" hashValue="bSB2KhA+WouMwxM66uB2UULUfIvvw0bBMs5kgkYA40Iws8tgPPUDFjorMaWc1jw+7Kg4MekUx/BvCSnFX4i6Tg==" saltValue="/hDUO1CJhUvzK7MkHiliBQ==" spinCount="100000" sqref="AL396:AL397" name="Range1_20_5_3"/>
    <protectedRange algorithmName="SHA-512" hashValue="eW5OPW7SvbJjkz1M9LZdEgymKlVpJJ2OoecDS3vat/RAdW9DnkRvs5o8HCWyW1x3tZzVacknQiIA/B/JQfYAuw==" saltValue="6nLxznK90Ba0/meR9vQ8zw==" spinCount="100000" sqref="AD398" name="Range1_1_1_2_1_3"/>
    <protectedRange algorithmName="SHA-512" hashValue="eW5OPW7SvbJjkz1M9LZdEgymKlVpJJ2OoecDS3vat/RAdW9DnkRvs5o8HCWyW1x3tZzVacknQiIA/B/JQfYAuw==" saltValue="6nLxznK90Ba0/meR9vQ8zw==" spinCount="100000" sqref="AC399:AC400" name="Range1_1_6_1_2_3"/>
    <protectedRange algorithmName="SHA-512" hashValue="bSB2KhA+WouMwxM66uB2UULUfIvvw0bBMs5kgkYA40Iws8tgPPUDFjorMaWc1jw+7Kg4MekUx/BvCSnFX4i6Tg==" saltValue="/hDUO1CJhUvzK7MkHiliBQ==" spinCount="100000" sqref="AK401" name="Range1_2_8_1_3"/>
    <protectedRange algorithmName="SHA-512" hashValue="bSB2KhA+WouMwxM66uB2UULUfIvvw0bBMs5kgkYA40Iws8tgPPUDFjorMaWc1jw+7Kg4MekUx/BvCSnFX4i6Tg==" saltValue="/hDUO1CJhUvzK7MkHiliBQ==" spinCount="100000" sqref="AE428:AE432 AE402:AE422 AE424:AE425" name="Range1_24_4_3"/>
    <protectedRange algorithmName="SHA-512" hashValue="bSB2KhA+WouMwxM66uB2UULUfIvvw0bBMs5kgkYA40Iws8tgPPUDFjorMaWc1jw+7Kg4MekUx/BvCSnFX4i6Tg==" saltValue="/hDUO1CJhUvzK7MkHiliBQ==" spinCount="100000" sqref="AI433:AI436" name="Range1_26_2_3"/>
    <protectedRange algorithmName="SHA-512" hashValue="bSB2KhA+WouMwxM66uB2UULUfIvvw0bBMs5kgkYA40Iws8tgPPUDFjorMaWc1jw+7Kg4MekUx/BvCSnFX4i6Tg==" saltValue="/hDUO1CJhUvzK7MkHiliBQ==" spinCount="100000" sqref="AJ437" name="Range1_27_4_3"/>
    <protectedRange algorithmName="SHA-512" hashValue="bSB2KhA+WouMwxM66uB2UULUfIvvw0bBMs5kgkYA40Iws8tgPPUDFjorMaWc1jw+7Kg4MekUx/BvCSnFX4i6Tg==" saltValue="/hDUO1CJhUvzK7MkHiliBQ==" spinCount="100000" sqref="AF438:AG456" name="Range1_28_4_3"/>
    <protectedRange algorithmName="SHA-512" hashValue="bSB2KhA+WouMwxM66uB2UULUfIvvw0bBMs5kgkYA40Iws8tgPPUDFjorMaWc1jw+7Kg4MekUx/BvCSnFX4i6Tg==" saltValue="/hDUO1CJhUvzK7MkHiliBQ==" spinCount="100000" sqref="CJ568 AN457:AP457 AN459:AP465 AN458:AO458" name="Range1_29_3_3"/>
    <protectedRange algorithmName="SHA-512" hashValue="bSB2KhA+WouMwxM66uB2UULUfIvvw0bBMs5kgkYA40Iws8tgPPUDFjorMaWc1jw+7Kg4MekUx/BvCSnFX4i6Tg==" saltValue="/hDUO1CJhUvzK7MkHiliBQ==" spinCount="100000" sqref="AQ466" name="Range1_30_3_3"/>
    <protectedRange algorithmName="SHA-512" hashValue="bSB2KhA+WouMwxM66uB2UULUfIvvw0bBMs5kgkYA40Iws8tgPPUDFjorMaWc1jw+7Kg4MekUx/BvCSnFX4i6Tg==" saltValue="/hDUO1CJhUvzK7MkHiliBQ==" spinCount="100000" sqref="AU493:AW496" name="Range1_1_9_1_3"/>
    <protectedRange algorithmName="SHA-512" hashValue="bSB2KhA+WouMwxM66uB2UULUfIvvw0bBMs5kgkYA40Iws8tgPPUDFjorMaWc1jw+7Kg4MekUx/BvCSnFX4i6Tg==" saltValue="/hDUO1CJhUvzK7MkHiliBQ==" spinCount="100000" sqref="AX497:AX504" name="Range1_33_2_3"/>
    <protectedRange algorithmName="SHA-512" hashValue="bSB2KhA+WouMwxM66uB2UULUfIvvw0bBMs5kgkYA40Iws8tgPPUDFjorMaWc1jw+7Kg4MekUx/BvCSnFX4i6Tg==" saltValue="/hDUO1CJhUvzK7MkHiliBQ==" spinCount="100000" sqref="AY505:BB506 AY508:BB514 AY507:BA507 AY516:BB516 AY515:BA515" name="Range1_34_2_3"/>
    <protectedRange algorithmName="SHA-512" hashValue="bSB2KhA+WouMwxM66uB2UULUfIvvw0bBMs5kgkYA40Iws8tgPPUDFjorMaWc1jw+7Kg4MekUx/BvCSnFX4i6Tg==" saltValue="/hDUO1CJhUvzK7MkHiliBQ==" spinCount="100000" sqref="BC520 BC518" name="Range1_1_10_2_3"/>
    <protectedRange algorithmName="SHA-512" hashValue="bSB2KhA+WouMwxM66uB2UULUfIvvw0bBMs5kgkYA40Iws8tgPPUDFjorMaWc1jw+7Kg4MekUx/BvCSnFX4i6Tg==" saltValue="/hDUO1CJhUvzK7MkHiliBQ==" spinCount="100000" sqref="BC517 BC519 BC521:BC523" name="Range1_2_11_1_3"/>
    <protectedRange algorithmName="SHA-512" hashValue="bSB2KhA+WouMwxM66uB2UULUfIvvw0bBMs5kgkYA40Iws8tgPPUDFjorMaWc1jw+7Kg4MekUx/BvCSnFX4i6Tg==" saltValue="/hDUO1CJhUvzK7MkHiliBQ==" spinCount="100000" sqref="BD524:BD528 BD530 BD533:BD536" name="Range1_1_11_2_3"/>
    <protectedRange algorithmName="SHA-512" hashValue="bSB2KhA+WouMwxM66uB2UULUfIvvw0bBMs5kgkYA40Iws8tgPPUDFjorMaWc1jw+7Kg4MekUx/BvCSnFX4i6Tg==" saltValue="/hDUO1CJhUvzK7MkHiliBQ==" spinCount="100000" sqref="BD529 BD531:BD532" name="Range1_2_12_1_3"/>
    <protectedRange algorithmName="SHA-512" hashValue="bSB2KhA+WouMwxM66uB2UULUfIvvw0bBMs5kgkYA40Iws8tgPPUDFjorMaWc1jw+7Kg4MekUx/BvCSnFX4i6Tg==" saltValue="/hDUO1CJhUvzK7MkHiliBQ==" spinCount="100000" sqref="H396" name="Range1_9"/>
    <protectedRange algorithmName="SHA-512" hashValue="bSB2KhA+WouMwxM66uB2UULUfIvvw0bBMs5kgkYA40Iws8tgPPUDFjorMaWc1jw+7Kg4MekUx/BvCSnFX4i6Tg==" saltValue="/hDUO1CJhUvzK7MkHiliBQ==" spinCount="100000" sqref="H115" name="Range1_10"/>
    <protectedRange algorithmName="SHA-512" hashValue="bSB2KhA+WouMwxM66uB2UULUfIvvw0bBMs5kgkYA40Iws8tgPPUDFjorMaWc1jw+7Kg4MekUx/BvCSnFX4i6Tg==" saltValue="/hDUO1CJhUvzK7MkHiliBQ==" spinCount="100000" sqref="H395" name="Range1_11"/>
    <protectedRange algorithmName="SHA-512" hashValue="bSB2KhA+WouMwxM66uB2UULUfIvvw0bBMs5kgkYA40Iws8tgPPUDFjorMaWc1jw+7Kg4MekUx/BvCSnFX4i6Tg==" saltValue="/hDUO1CJhUvzK7MkHiliBQ==" spinCount="100000" sqref="H394" name="Range1_13"/>
    <protectedRange algorithmName="SHA-512" hashValue="bSB2KhA+WouMwxM66uB2UULUfIvvw0bBMs5kgkYA40Iws8tgPPUDFjorMaWc1jw+7Kg4MekUx/BvCSnFX4i6Tg==" saltValue="/hDUO1CJhUvzK7MkHiliBQ==" spinCount="100000" sqref="H116" name="Range1_14"/>
    <protectedRange algorithmName="SHA-512" hashValue="bSB2KhA+WouMwxM66uB2UULUfIvvw0bBMs5kgkYA40Iws8tgPPUDFjorMaWc1jw+7Kg4MekUx/BvCSnFX4i6Tg==" saltValue="/hDUO1CJhUvzK7MkHiliBQ==" spinCount="100000" sqref="H393" name="Range1_15"/>
    <protectedRange algorithmName="SHA-512" hashValue="bSB2KhA+WouMwxM66uB2UULUfIvvw0bBMs5kgkYA40Iws8tgPPUDFjorMaWc1jw+7Kg4MekUx/BvCSnFX4i6Tg==" saltValue="/hDUO1CJhUvzK7MkHiliBQ==" spinCount="100000" sqref="H117" name="Range1_16"/>
    <protectedRange algorithmName="SHA-512" hashValue="bSB2KhA+WouMwxM66uB2UULUfIvvw0bBMs5kgkYA40Iws8tgPPUDFjorMaWc1jw+7Kg4MekUx/BvCSnFX4i6Tg==" saltValue="/hDUO1CJhUvzK7MkHiliBQ==" spinCount="100000" sqref="H383" name="Range1_19"/>
    <protectedRange algorithmName="SHA-512" hashValue="bSB2KhA+WouMwxM66uB2UULUfIvvw0bBMs5kgkYA40Iws8tgPPUDFjorMaWc1jw+7Kg4MekUx/BvCSnFX4i6Tg==" saltValue="/hDUO1CJhUvzK7MkHiliBQ==" spinCount="100000" sqref="H378" name="Range1_22"/>
    <protectedRange algorithmName="SHA-512" hashValue="bSB2KhA+WouMwxM66uB2UULUfIvvw0bBMs5kgkYA40Iws8tgPPUDFjorMaWc1jw+7Kg4MekUx/BvCSnFX4i6Tg==" saltValue="/hDUO1CJhUvzK7MkHiliBQ==" spinCount="100000" sqref="H278:H279 H281:H283 H312:H315 H419 H119:H120 H125 H132 H156 H188:H190 H193:H196 H211 H216:H218 H530:H531 H517 H402 H490 H499 H496:H497 H399:H400 H298:H305 H397 H16:H18 H112 H27:H28 H416:H417 H64:H66 H128 H356 H428 H74 H78:H79 H82 H114 H130 H166 H293:H294 H307 H317:H320 H344 H410 H525:H528 H105:H106 H34 H421:H423 H50:H56 H136:H141 H202:H205 H222:H223 H253:H255 H335:H338 H375 H470:H486 H493:H494" name="Range1_27"/>
    <protectedRange algorithmName="SHA-512" hashValue="bSB2KhA+WouMwxM66uB2UULUfIvvw0bBMs5kgkYA40Iws8tgPPUDFjorMaWc1jw+7Kg4MekUx/BvCSnFX4i6Tg==" saltValue="/hDUO1CJhUvzK7MkHiliBQ==" spinCount="100000" sqref="H385" name="Range1_29"/>
    <protectedRange algorithmName="SHA-512" hashValue="bSB2KhA+WouMwxM66uB2UULUfIvvw0bBMs5kgkYA40Iws8tgPPUDFjorMaWc1jw+7Kg4MekUx/BvCSnFX4i6Tg==" saltValue="/hDUO1CJhUvzK7MkHiliBQ==" spinCount="100000" sqref="H389" name="Range1_30"/>
    <protectedRange algorithmName="SHA-512" hashValue="bSB2KhA+WouMwxM66uB2UULUfIvvw0bBMs5kgkYA40Iws8tgPPUDFjorMaWc1jw+7Kg4MekUx/BvCSnFX4i6Tg==" saltValue="/hDUO1CJhUvzK7MkHiliBQ==" spinCount="100000" sqref="H118" name="Range1_31"/>
    <protectedRange algorithmName="SHA-512" hashValue="bSB2KhA+WouMwxM66uB2UULUfIvvw0bBMs5kgkYA40Iws8tgPPUDFjorMaWc1jw+7Kg4MekUx/BvCSnFX4i6Tg==" saltValue="/hDUO1CJhUvzK7MkHiliBQ==" spinCount="100000" sqref="H198" name="Range1_39"/>
    <protectedRange algorithmName="SHA-512" hashValue="bSB2KhA+WouMwxM66uB2UULUfIvvw0bBMs5kgkYA40Iws8tgPPUDFjorMaWc1jw+7Kg4MekUx/BvCSnFX4i6Tg==" saltValue="/hDUO1CJhUvzK7MkHiliBQ==" spinCount="100000" sqref="H277" name="Range1_40"/>
    <protectedRange algorithmName="SHA-512" hashValue="bSB2KhA+WouMwxM66uB2UULUfIvvw0bBMs5kgkYA40Iws8tgPPUDFjorMaWc1jw+7Kg4MekUx/BvCSnFX4i6Tg==" saltValue="/hDUO1CJhUvzK7MkHiliBQ==" spinCount="100000" sqref="H280" name="Range1_41"/>
    <protectedRange algorithmName="SHA-512" hashValue="bSB2KhA+WouMwxM66uB2UULUfIvvw0bBMs5kgkYA40Iws8tgPPUDFjorMaWc1jw+7Kg4MekUx/BvCSnFX4i6Tg==" saltValue="/hDUO1CJhUvzK7MkHiliBQ==" spinCount="100000" sqref="H381" name="Range1_42"/>
    <protectedRange algorithmName="SHA-512" hashValue="bSB2KhA+WouMwxM66uB2UULUfIvvw0bBMs5kgkYA40Iws8tgPPUDFjorMaWc1jw+7Kg4MekUx/BvCSnFX4i6Tg==" saltValue="/hDUO1CJhUvzK7MkHiliBQ==" spinCount="100000" sqref="H390" name="Range1_43"/>
    <protectedRange algorithmName="SHA-512" hashValue="bSB2KhA+WouMwxM66uB2UULUfIvvw0bBMs5kgkYA40Iws8tgPPUDFjorMaWc1jw+7Kg4MekUx/BvCSnFX4i6Tg==" saltValue="/hDUO1CJhUvzK7MkHiliBQ==" spinCount="100000" sqref="H392" name="Range1_45"/>
    <protectedRange algorithmName="SHA-512" hashValue="bSB2KhA+WouMwxM66uB2UULUfIvvw0bBMs5kgkYA40Iws8tgPPUDFjorMaWc1jw+7Kg4MekUx/BvCSnFX4i6Tg==" saltValue="/hDUO1CJhUvzK7MkHiliBQ==" spinCount="100000" sqref="H391" name="Range1_46"/>
    <protectedRange algorithmName="SHA-512" hashValue="bSB2KhA+WouMwxM66uB2UULUfIvvw0bBMs5kgkYA40Iws8tgPPUDFjorMaWc1jw+7Kg4MekUx/BvCSnFX4i6Tg==" saltValue="/hDUO1CJhUvzK7MkHiliBQ==" spinCount="100000" sqref="H387" name="Range1_47"/>
    <protectedRange algorithmName="SHA-512" hashValue="bSB2KhA+WouMwxM66uB2UULUfIvvw0bBMs5kgkYA40Iws8tgPPUDFjorMaWc1jw+7Kg4MekUx/BvCSnFX4i6Tg==" saltValue="/hDUO1CJhUvzK7MkHiliBQ==" spinCount="100000" sqref="H380" name="Range1_48"/>
    <protectedRange algorithmName="SHA-512" hashValue="bSB2KhA+WouMwxM66uB2UULUfIvvw0bBMs5kgkYA40Iws8tgPPUDFjorMaWc1jw+7Kg4MekUx/BvCSnFX4i6Tg==" saltValue="/hDUO1CJhUvzK7MkHiliBQ==" spinCount="100000" sqref="H379" name="Range1_49"/>
    <protectedRange algorithmName="SHA-512" hashValue="bSB2KhA+WouMwxM66uB2UULUfIvvw0bBMs5kgkYA40Iws8tgPPUDFjorMaWc1jw+7Kg4MekUx/BvCSnFX4i6Tg==" saltValue="/hDUO1CJhUvzK7MkHiliBQ==" spinCount="100000" sqref="H382" name="Range1_50"/>
    <protectedRange algorithmName="SHA-512" hashValue="bSB2KhA+WouMwxM66uB2UULUfIvvw0bBMs5kgkYA40Iws8tgPPUDFjorMaWc1jw+7Kg4MekUx/BvCSnFX4i6Tg==" saltValue="/hDUO1CJhUvzK7MkHiliBQ==" spinCount="100000" sqref="H384" name="Range1_51"/>
    <protectedRange algorithmName="SHA-512" hashValue="bSB2KhA+WouMwxM66uB2UULUfIvvw0bBMs5kgkYA40Iws8tgPPUDFjorMaWc1jw+7Kg4MekUx/BvCSnFX4i6Tg==" saltValue="/hDUO1CJhUvzK7MkHiliBQ==" spinCount="100000" sqref="H386" name="Range1_52"/>
    <protectedRange algorithmName="SHA-512" hashValue="bSB2KhA+WouMwxM66uB2UULUfIvvw0bBMs5kgkYA40Iws8tgPPUDFjorMaWc1jw+7Kg4MekUx/BvCSnFX4i6Tg==" saltValue="/hDUO1CJhUvzK7MkHiliBQ==" spinCount="100000" sqref="H388" name="Range1_53"/>
    <protectedRange algorithmName="SHA-512" hashValue="eW5OPW7SvbJjkz1M9LZdEgymKlVpJJ2OoecDS3vat/RAdW9DnkRvs5o8HCWyW1x3tZzVacknQiIA/B/JQfYAuw==" saltValue="6nLxznK90Ba0/meR9vQ8zw==" spinCount="100000" sqref="D71" name="Range1_17"/>
    <protectedRange algorithmName="SHA-512" hashValue="eW5OPW7SvbJjkz1M9LZdEgymKlVpJJ2OoecDS3vat/RAdW9DnkRvs5o8HCWyW1x3tZzVacknQiIA/B/JQfYAuw==" saltValue="6nLxznK90Ba0/meR9vQ8zw==" spinCount="100000" sqref="E71:H71" name="Range1_18"/>
    <protectedRange algorithmName="SHA-512" hashValue="bSB2KhA+WouMwxM66uB2UULUfIvvw0bBMs5kgkYA40Iws8tgPPUDFjorMaWc1jw+7Kg4MekUx/BvCSnFX4i6Tg==" saltValue="/hDUO1CJhUvzK7MkHiliBQ==" spinCount="100000" sqref="E89" name="Range1_20"/>
    <protectedRange algorithmName="SHA-512" hashValue="bSB2KhA+WouMwxM66uB2UULUfIvvw0bBMs5kgkYA40Iws8tgPPUDFjorMaWc1jw+7Kg4MekUx/BvCSnFX4i6Tg==" saltValue="/hDUO1CJhUvzK7MkHiliBQ==" spinCount="100000" sqref="H169" name="Range1_24"/>
    <protectedRange algorithmName="SHA-512" hashValue="bSB2KhA+WouMwxM66uB2UULUfIvvw0bBMs5kgkYA40Iws8tgPPUDFjorMaWc1jw+7Kg4MekUx/BvCSnFX4i6Tg==" saltValue="/hDUO1CJhUvzK7MkHiliBQ==" spinCount="100000" sqref="H187" name="Range1_26"/>
    <protectedRange algorithmName="SHA-512" hashValue="bSB2KhA+WouMwxM66uB2UULUfIvvw0bBMs5kgkYA40Iws8tgPPUDFjorMaWc1jw+7Kg4MekUx/BvCSnFX4i6Tg==" saltValue="/hDUO1CJhUvzK7MkHiliBQ==" spinCount="100000" sqref="G243:I243" name="Range1_32"/>
    <protectedRange algorithmName="SHA-512" hashValue="eW5OPW7SvbJjkz1M9LZdEgymKlVpJJ2OoecDS3vat/RAdW9DnkRvs5o8HCWyW1x3tZzVacknQiIA/B/JQfYAuw==" saltValue="6nLxznK90Ba0/meR9vQ8zw==" spinCount="100000" sqref="C321:D321 D301" name="Range1_33"/>
    <protectedRange algorithmName="SHA-512" hashValue="eW5OPW7SvbJjkz1M9LZdEgymKlVpJJ2OoecDS3vat/RAdW9DnkRvs5o8HCWyW1x3tZzVacknQiIA/B/JQfYAuw==" saltValue="6nLxznK90Ba0/meR9vQ8zw==" spinCount="100000" sqref="E321" name="Range1_34"/>
    <protectedRange algorithmName="SHA-512" hashValue="eW5OPW7SvbJjkz1M9LZdEgymKlVpJJ2OoecDS3vat/RAdW9DnkRvs5o8HCWyW1x3tZzVacknQiIA/B/JQfYAuw==" saltValue="6nLxznK90Ba0/meR9vQ8zw==" spinCount="100000" sqref="G321:I321 K321:N321" name="Range1_35"/>
    <protectedRange algorithmName="SHA-512" hashValue="bSB2KhA+WouMwxM66uB2UULUfIvvw0bBMs5kgkYA40Iws8tgPPUDFjorMaWc1jw+7Kg4MekUx/BvCSnFX4i6Tg==" saltValue="/hDUO1CJhUvzK7MkHiliBQ==" spinCount="100000" sqref="G427:I427" name="Range1_36"/>
    <protectedRange algorithmName="SHA-512" hashValue="aoekbTUewgAWvdvgbF+AgiBizIre6qKiAYOxuQrThTGZjY0QhIv2Pqkkd5spXfue17gWS5w89z69PMepCdfAPA==" saltValue="RgVY991jtpZaKt9vx2pr1w==" spinCount="100000" sqref="G371:I371" name="Range1_44"/>
    <protectedRange algorithmName="SHA-512" hashValue="aoekbTUewgAWvdvgbF+AgiBizIre6qKiAYOxuQrThTGZjY0QhIv2Pqkkd5spXfue17gWS5w89z69PMepCdfAPA==" saltValue="RgVY991jtpZaKt9vx2pr1w==" spinCount="100000" sqref="J371:N371 J122 J149 J307" name="Range1_54"/>
    <protectedRange algorithmName="SHA-512" hashValue="aoekbTUewgAWvdvgbF+AgiBizIre6qKiAYOxuQrThTGZjY0QhIv2Pqkkd5spXfue17gWS5w89z69PMepCdfAPA==" saltValue="RgVY991jtpZaKt9vx2pr1w==" spinCount="100000" sqref="P539:P541 E539:I541 A539:C541 K539:N541" name="Range1_2"/>
    <protectedRange algorithmName="SHA-512" hashValue="aoekbTUewgAWvdvgbF+AgiBizIre6qKiAYOxuQrThTGZjY0QhIv2Pqkkd5spXfue17gWS5w89z69PMepCdfAPA==" saltValue="RgVY991jtpZaKt9vx2pr1w==" spinCount="100000" sqref="P542:P543 E542:I543 A542:C543 K542:N543" name="Range1_2_1"/>
    <protectedRange algorithmName="SHA-512" hashValue="aoekbTUewgAWvdvgbF+AgiBizIre6qKiAYOxuQrThTGZjY0QhIv2Pqkkd5spXfue17gWS5w89z69PMepCdfAPA==" saltValue="RgVY991jtpZaKt9vx2pr1w==" spinCount="100000" sqref="P544:P545 E544:I545 A544:C545 K544:N545 I727" name="Range1_2_2"/>
    <protectedRange algorithmName="SHA-512" hashValue="aoekbTUewgAWvdvgbF+AgiBizIre6qKiAYOxuQrThTGZjY0QhIv2Pqkkd5spXfue17gWS5w89z69PMepCdfAPA==" saltValue="RgVY991jtpZaKt9vx2pr1w==" spinCount="100000" sqref="K550:N550 E546:I550 A546:C550 J549 P546:P550 M549:N549 K546:N548 M560:N560 M562:N562" name="Range1_2_3"/>
    <protectedRange algorithmName="SHA-512" hashValue="aoekbTUewgAWvdvgbF+AgiBizIre6qKiAYOxuQrThTGZjY0QhIv2Pqkkd5spXfue17gWS5w89z69PMepCdfAPA==" saltValue="RgVY991jtpZaKt9vx2pr1w==" spinCount="100000" sqref="P551 E551:I551 A551:C551" name="Range1_2_4"/>
    <protectedRange algorithmName="SHA-512" hashValue="aoekbTUewgAWvdvgbF+AgiBizIre6qKiAYOxuQrThTGZjY0QhIv2Pqkkd5spXfue17gWS5w89z69PMepCdfAPA==" saltValue="RgVY991jtpZaKt9vx2pr1w==" spinCount="100000" sqref="E552:I552 A552:C552 P552" name="Range1_2_6"/>
    <protectedRange algorithmName="SHA-512" hashValue="aoekbTUewgAWvdvgbF+AgiBizIre6qKiAYOxuQrThTGZjY0QhIv2Pqkkd5spXfue17gWS5w89z69PMepCdfAPA==" saltValue="RgVY991jtpZaKt9vx2pr1w==" spinCount="100000" sqref="K553:N553 A553:C555 E553:I555 P553:P555 K555:N555" name="Range1_2_7"/>
    <protectedRange algorithmName="SHA-512" hashValue="aoekbTUewgAWvdvgbF+AgiBizIre6qKiAYOxuQrThTGZjY0QhIv2Pqkkd5spXfue17gWS5w89z69PMepCdfAPA==" saltValue="RgVY991jtpZaKt9vx2pr1w==" spinCount="100000" sqref="E556:I556 A556:C556 P556" name="Range1_2_8"/>
    <protectedRange algorithmName="SHA-512" hashValue="aoekbTUewgAWvdvgbF+AgiBizIre6qKiAYOxuQrThTGZjY0QhIv2Pqkkd5spXfue17gWS5w89z69PMepCdfAPA==" saltValue="RgVY991jtpZaKt9vx2pr1w==" spinCount="100000" sqref="P557 E557:N557 A557:B557" name="Range1_2_9"/>
    <protectedRange algorithmName="SHA-512" hashValue="aoekbTUewgAWvdvgbF+AgiBizIre6qKiAYOxuQrThTGZjY0QhIv2Pqkkd5spXfue17gWS5w89z69PMepCdfAPA==" saltValue="RgVY991jtpZaKt9vx2pr1w==" spinCount="100000" sqref="P558:P560 E559:N559 A558:C560 E558:I558 K558:N558 E560:I560 K560:L560" name="Range1_2_10"/>
    <protectedRange algorithmName="SHA-512" hashValue="aoekbTUewgAWvdvgbF+AgiBizIre6qKiAYOxuQrThTGZjY0QhIv2Pqkkd5spXfue17gWS5w89z69PMepCdfAPA==" saltValue="RgVY991jtpZaKt9vx2pr1w==" spinCount="100000" sqref="P561 E561:I561 A561:C561 K561:N561" name="Range1_2_11"/>
    <protectedRange algorithmName="SHA-512" hashValue="aoekbTUewgAWvdvgbF+AgiBizIre6qKiAYOxuQrThTGZjY0QhIv2Pqkkd5spXfue17gWS5w89z69PMepCdfAPA==" saltValue="RgVY991jtpZaKt9vx2pr1w==" spinCount="100000" sqref="A562:C564 E563:N563 K562:L562 E562:I562 P562:P564 E564:J564" name="Range1_2_12"/>
    <protectedRange algorithmName="SHA-512" hashValue="aoekbTUewgAWvdvgbF+AgiBizIre6qKiAYOxuQrThTGZjY0QhIv2Pqkkd5spXfue17gWS5w89z69PMepCdfAPA==" saltValue="RgVY991jtpZaKt9vx2pr1w==" spinCount="100000" sqref="P565:P567 E566:N566 A565:C567 F612 C611:N611 I612 E565:I565 E567:I567 K567:N567" name="Range1_2_13"/>
    <protectedRange algorithmName="SHA-512" hashValue="aoekbTUewgAWvdvgbF+AgiBizIre6qKiAYOxuQrThTGZjY0QhIv2Pqkkd5spXfue17gWS5w89z69PMepCdfAPA==" saltValue="RgVY991jtpZaKt9vx2pr1w==" spinCount="100000" sqref="P568 E568:I568 A568:C568 M568:N568" name="Range1_2_14"/>
    <protectedRange algorithmName="SHA-512" hashValue="aoekbTUewgAWvdvgbF+AgiBizIre6qKiAYOxuQrThTGZjY0QhIv2Pqkkd5spXfue17gWS5w89z69PMepCdfAPA==" saltValue="RgVY991jtpZaKt9vx2pr1w==" spinCount="100000" sqref="P569:P570 E570:J570 A569:C570 E569:I569 K569:N569 K585:L585" name="Range1_2_15"/>
    <protectedRange algorithmName="SHA-512" hashValue="aoekbTUewgAWvdvgbF+AgiBizIre6qKiAYOxuQrThTGZjY0QhIv2Pqkkd5spXfue17gWS5w89z69PMepCdfAPA==" saltValue="RgVY991jtpZaKt9vx2pr1w==" spinCount="100000" sqref="P571:P572 E572:N572 A571:C572 E571:I571 K571:N571" name="Range1_2_17"/>
    <protectedRange algorithmName="SHA-512" hashValue="aoekbTUewgAWvdvgbF+AgiBizIre6qKiAYOxuQrThTGZjY0QhIv2Pqkkd5spXfue17gWS5w89z69PMepCdfAPA==" saltValue="RgVY991jtpZaKt9vx2pr1w==" spinCount="100000" sqref="P573 E573:I573 A573:C573 K573:N573" name="Range1_2_18"/>
    <protectedRange algorithmName="SHA-512" hashValue="iyl8S0fRFhBnNuZS+9pLbW9i2+R7xw9EyvGRdvwacVx9dVsu70Y4MCRBOxn6s9IQVYJ4oWha0CDwtQShYIEgcQ==" saltValue="T+aXKW8o8BKs7viPgjl0mw==" spinCount="100000" sqref="O574 O576" name="Range2_5_19"/>
    <protectedRange algorithmName="SHA-512" hashValue="aoekbTUewgAWvdvgbF+AgiBizIre6qKiAYOxuQrThTGZjY0QhIv2Pqkkd5spXfue17gWS5w89z69PMepCdfAPA==" saltValue="RgVY991jtpZaKt9vx2pr1w==" spinCount="100000" sqref="P574:P575 A574:C574 B595 A575 C575 E574:I575 K574:N574" name="Range1_2_19"/>
    <protectedRange algorithmName="SHA-512" hashValue="iyl8S0fRFhBnNuZS+9pLbW9i2+R7xw9EyvGRdvwacVx9dVsu70Y4MCRBOxn6s9IQVYJ4oWha0CDwtQShYIEgcQ==" saltValue="T+aXKW8o8BKs7viPgjl0mw==" spinCount="100000" sqref="O575 O577" name="Range2_5_20"/>
    <protectedRange algorithmName="SHA-512" hashValue="aoekbTUewgAWvdvgbF+AgiBizIre6qKiAYOxuQrThTGZjY0QhIv2Pqkkd5spXfue17gWS5w89z69PMepCdfAPA==" saltValue="RgVY991jtpZaKt9vx2pr1w==" spinCount="100000" sqref="P576:P577 A576:C577 B575 E576:I577 K576:N577" name="Range1_2_20"/>
    <protectedRange algorithmName="SHA-512" hashValue="iyl8S0fRFhBnNuZS+9pLbW9i2+R7xw9EyvGRdvwacVx9dVsu70Y4MCRBOxn6s9IQVYJ4oWha0CDwtQShYIEgcQ==" saltValue="T+aXKW8o8BKs7viPgjl0mw==" spinCount="100000" sqref="O579:O586" name="Range2_5_21"/>
    <protectedRange algorithmName="SHA-512" hashValue="aoekbTUewgAWvdvgbF+AgiBizIre6qKiAYOxuQrThTGZjY0QhIv2Pqkkd5spXfue17gWS5w89z69PMepCdfAPA==" saltValue="RgVY991jtpZaKt9vx2pr1w==" spinCount="100000" sqref="P578:P582 A578:C582 K581:N582 E578:I579 K578:N579 I592 E580:H580 E581:I582 F592 J580:N580" name="Range1_2_21"/>
    <protectedRange algorithmName="SHA-512" hashValue="aoekbTUewgAWvdvgbF+AgiBizIre6qKiAYOxuQrThTGZjY0QhIv2Pqkkd5spXfue17gWS5w89z69PMepCdfAPA==" saltValue="RgVY991jtpZaKt9vx2pr1w==" spinCount="100000" sqref="P583:P584 E583:I584 A583:C584 K583:N583" name="Range1_2_22"/>
    <protectedRange algorithmName="SHA-512" hashValue="aoekbTUewgAWvdvgbF+AgiBizIre6qKiAYOxuQrThTGZjY0QhIv2Pqkkd5spXfue17gWS5w89z69PMepCdfAPA==" saltValue="RgVY991jtpZaKt9vx2pr1w==" spinCount="100000" sqref="P585:P586 A585:C586 E585:I586 M585:N585 K586:M586" name="Range1_2_23"/>
    <protectedRange algorithmName="SHA-512" hashValue="iyl8S0fRFhBnNuZS+9pLbW9i2+R7xw9EyvGRdvwacVx9dVsu70Y4MCRBOxn6s9IQVYJ4oWha0CDwtQShYIEgcQ==" saltValue="T+aXKW8o8BKs7viPgjl0mw==" spinCount="100000" sqref="O587:O614" name="Range2_5_24"/>
    <protectedRange algorithmName="SHA-512" hashValue="aoekbTUewgAWvdvgbF+AgiBizIre6qKiAYOxuQrThTGZjY0QhIv2Pqkkd5spXfue17gWS5w89z69PMepCdfAPA==" saltValue="RgVY991jtpZaKt9vx2pr1w==" spinCount="100000" sqref="P587:P588 A587:C587 B588:C588 E587:I588 K587:N587 I580" name="Range1_2_24"/>
    <protectedRange algorithmName="SHA-512" hashValue="aoekbTUewgAWvdvgbF+AgiBizIre6qKiAYOxuQrThTGZjY0QhIv2Pqkkd5spXfue17gWS5w89z69PMepCdfAPA==" saltValue="RgVY991jtpZaKt9vx2pr1w==" spinCount="100000" sqref="A588" name="Range1_66"/>
    <protectedRange algorithmName="SHA-512" hashValue="aoekbTUewgAWvdvgbF+AgiBizIre6qKiAYOxuQrThTGZjY0QhIv2Pqkkd5spXfue17gWS5w89z69PMepCdfAPA==" saltValue="RgVY991jtpZaKt9vx2pr1w==" spinCount="100000" sqref="J608 P589:P590 A589:C590 E589:N589 E590:I590" name="Range1_2_25"/>
    <protectedRange algorithmName="SHA-512" hashValue="GFzsiTLylRxUgHibqNQDCPidffdB4c+ov7FNIKHC/b7Gj4SEWCEJkHOcw3VfezxmXlNE5ypMKBtG6wyyKUiYgg==" saltValue="DDbCRxh5yIHAqa8O3gMDuA==" spinCount="100000" sqref="A594:C594 G594:H594 H595 J594:N594" name="Range1_7"/>
    <protectedRange algorithmName="SHA-512" hashValue="eW5OPW7SvbJjkz1M9LZdEgymKlVpJJ2OoecDS3vat/RAdW9DnkRvs5o8HCWyW1x3tZzVacknQiIA/B/JQfYAuw==" saltValue="6nLxznK90Ba0/meR9vQ8zw==" spinCount="100000" sqref="A598:D598" name="Range1_55"/>
    <protectedRange algorithmName="SHA-512" hashValue="eW5OPW7SvbJjkz1M9LZdEgymKlVpJJ2OoecDS3vat/RAdW9DnkRvs5o8HCWyW1x3tZzVacknQiIA/B/JQfYAuw==" saltValue="6nLxznK90Ba0/meR9vQ8zw==" spinCount="100000" sqref="E598:I598 T598 P598 B625:B628 B636:B637 B632:B634 C613:H615 E616:H616 B617:H618 H625:H628 C619:G637 J613:J615 I615 G641:H641 H639 C641 K612:N612 M598:N598 I617:I642 H634:H636 Z613:BT613 C470:D470 K635:N636 M634:N634 Z635:BT635 K122:L122 K149:L149 K307:L307 O241 O401 O403 O442 O485 N613 M615:O616 K617:N620 K623:N633 K638:N642 E638:F643 D639:D643 K726:L726 Z620:BA620 Z628:AV628 Z642:AV642 Z612:AL612 AN612:BR612 Z617:AL619 Z622:BT622 Z621:AL621 AN621:BT621 Z625:AV625 Z623:AL624 AN623:BR623 Z626:AL627 Z631:AL631 AN631:AO631 Z639:BT639 Z636:AL638 AN636:BA636 Z640:AL641 AN641:BA641 AN619:AO619 AQ619:AV619 AN626:AO627 AN640:AO640 AQ640:AV640 AN624:AO624 AQ624:AV624 Z630:AV630 Z629:AO629 AQ629:AV629 AQ631:AV631 AN638:AV638 AN637:AO637 AQ637:AV637 AQ626:AV627 AX640:BA640 AN617:AV618 AX617:BR617 Z632:AV632 AX625:BR625 AX638:BT638 AX642:BT642 AX628:BT630 AX618:BA619 BC620:BT620 AX624:BA624 BC624:BR624 AX626:BA627 AX632:BR632 AX631:BA631 BC631:BT631 AX637:BA637 BC641:BT641 BT612 Z614:BR616 BC626:BR627 BT632 BC636:BR637 BT636:BT637 BC618:BR619 BT614:BT619 BT623:BT627 BC640:BR640 BT640 M622 O120:O143 O212:O232 O378:O390 O440 O495:O504 M614:N614 O99:O118 O289:O301 O617:O650" name="Range1_58"/>
    <protectedRange algorithmName="SHA-512" hashValue="bSB2KhA+WouMwxM66uB2UULUfIvvw0bBMs5kgkYA40Iws8tgPPUDFjorMaWc1jw+7Kg4MekUx/BvCSnFX4i6Tg==" saltValue="/hDUO1CJhUvzK7MkHiliBQ==" spinCount="100000" sqref="H650 H653" name="Range1_27_1"/>
    <protectedRange algorithmName="SHA-512" hashValue="aoekbTUewgAWvdvgbF+AgiBizIre6qKiAYOxuQrThTGZjY0QhIv2Pqkkd5spXfue17gWS5w89z69PMepCdfAPA==" saltValue="RgVY991jtpZaKt9vx2pr1w==" spinCount="100000" sqref="I654 I657" name="Range1_2_24_1"/>
    <protectedRange algorithmName="SHA-512" hashValue="eW5OPW7SvbJjkz1M9LZdEgymKlVpJJ2OoecDS3vat/RAdW9DnkRvs5o8HCWyW1x3tZzVacknQiIA/B/JQfYAuw==" saltValue="6nLxznK90Ba0/meR9vQ8zw==" spinCount="100000" sqref="C658:G659 B658 H659:H660 I655:I656 C661:E661 B660 G661:H661 C656:E656 B657:E657 C655:H655 D660:E660 D711 G656 G657:H657 G660 I658:I659" name="Range1_58_1"/>
    <protectedRange algorithmName="SHA-512" hashValue="bSB2KhA+WouMwxM66uB2UULUfIvvw0bBMs5kgkYA40Iws8tgPPUDFjorMaWc1jw+7Kg4MekUx/BvCSnFX4i6Tg==" saltValue="/hDUO1CJhUvzK7MkHiliBQ==" spinCount="100000" sqref="G671:I671" name="Range1_36_2"/>
    <protectedRange algorithmName="SHA-512" hashValue="bSB2KhA+WouMwxM66uB2UULUfIvvw0bBMs5kgkYA40Iws8tgPPUDFjorMaWc1jw+7Kg4MekUx/BvCSnFX4i6Tg==" saltValue="/hDUO1CJhUvzK7MkHiliBQ==" spinCount="100000" sqref="H673" name="Range1_27_18"/>
    <protectedRange algorithmName="SHA-512" hashValue="eW5OPW7SvbJjkz1M9LZdEgymKlVpJJ2OoecDS3vat/RAdW9DnkRvs5o8HCWyW1x3tZzVacknQiIA/B/JQfYAuw==" saltValue="6nLxznK90Ba0/meR9vQ8zw==" spinCount="100000" sqref="H678 G682 B678 C676:G677 D681:F681 C682:E682 I676:I679 C680 H681:I681 E680 G680:H680 D678:G679 F727" name="Range1_58_4"/>
    <protectedRange algorithmName="SHA-512" hashValue="aoekbTUewgAWvdvgbF+AgiBizIre6qKiAYOxuQrThTGZjY0QhIv2Pqkkd5spXfue17gWS5w89z69PMepCdfAPA==" saltValue="RgVY991jtpZaKt9vx2pr1w==" spinCount="100000" sqref="A723" name="Range1_2_1_1"/>
    <protectedRange algorithmName="SHA-512" hashValue="aoekbTUewgAWvdvgbF+AgiBizIre6qKiAYOxuQrThTGZjY0QhIv2Pqkkd5spXfue17gWS5w89z69PMepCdfAPA==" saltValue="RgVY991jtpZaKt9vx2pr1w==" spinCount="100000" sqref="A724:A725" name="Range1_2_12_1"/>
    <protectedRange algorithmName="SHA-512" hashValue="aoekbTUewgAWvdvgbF+AgiBizIre6qKiAYOxuQrThTGZjY0QhIv2Pqkkd5spXfue17gWS5w89z69PMepCdfAPA==" saltValue="RgVY991jtpZaKt9vx2pr1w==" spinCount="100000" sqref="A726" name="Range1_2_25_1"/>
    <protectedRange algorithmName="SHA-512" hashValue="GFzsiTLylRxUgHibqNQDCPidffdB4c+ov7FNIKHC/b7Gj4SEWCEJkHOcw3VfezxmXlNE5ypMKBtG6wyyKUiYgg==" saltValue="DDbCRxh5yIHAqa8O3gMDuA==" spinCount="100000" sqref="E731:N737 A731:C737" name="Range1"/>
    <protectedRange algorithmName="SHA-512" hashValue="GFzsiTLylRxUgHibqNQDCPidffdB4c+ov7FNIKHC/b7Gj4SEWCEJkHOcw3VfezxmXlNE5ypMKBtG6wyyKUiYgg==" saltValue="DDbCRxh5yIHAqa8O3gMDuA==" spinCount="100000" sqref="E738:N742 A738:C742" name="Range1_1"/>
    <protectedRange algorithmName="SHA-512" hashValue="GFzsiTLylRxUgHibqNQDCPidffdB4c+ov7FNIKHC/b7Gj4SEWCEJkHOcw3VfezxmXlNE5ypMKBtG6wyyKUiYgg==" saltValue="DDbCRxh5yIHAqa8O3gMDuA==" spinCount="100000" sqref="E743:N744 A743:C744" name="Range1_3"/>
    <protectedRange algorithmName="SHA-512" hashValue="GFzsiTLylRxUgHibqNQDCPidffdB4c+ov7FNIKHC/b7Gj4SEWCEJkHOcw3VfezxmXlNE5ypMKBtG6wyyKUiYgg==" saltValue="DDbCRxh5yIHAqa8O3gMDuA==" spinCount="100000" sqref="E745:N745 A745:C745" name="Range1_4"/>
    <protectedRange algorithmName="SHA-512" hashValue="GFzsiTLylRxUgHibqNQDCPidffdB4c+ov7FNIKHC/b7Gj4SEWCEJkHOcw3VfezxmXlNE5ypMKBtG6wyyKUiYgg==" saltValue="DDbCRxh5yIHAqa8O3gMDuA==" spinCount="100000" sqref="E746:N751 A746:C751" name="Range1_5"/>
    <protectedRange algorithmName="SHA-512" hashValue="GFzsiTLylRxUgHibqNQDCPidffdB4c+ov7FNIKHC/b7Gj4SEWCEJkHOcw3VfezxmXlNE5ypMKBtG6wyyKUiYgg==" saltValue="DDbCRxh5yIHAqa8O3gMDuA==" spinCount="100000" sqref="E752:N752 A752:C752" name="Range1_6"/>
    <protectedRange algorithmName="SHA-512" hashValue="GFzsiTLylRxUgHibqNQDCPidffdB4c+ov7FNIKHC/b7Gj4SEWCEJkHOcw3VfezxmXlNE5ypMKBtG6wyyKUiYgg==" saltValue="DDbCRxh5yIHAqa8O3gMDuA==" spinCount="100000" sqref="E753:N754 A753:C754" name="Range1_8"/>
    <protectedRange algorithmName="SHA-512" hashValue="GFzsiTLylRxUgHibqNQDCPidffdB4c+ov7FNIKHC/b7Gj4SEWCEJkHOcw3VfezxmXlNE5ypMKBtG6wyyKUiYgg==" saltValue="DDbCRxh5yIHAqa8O3gMDuA==" spinCount="100000" sqref="E755:N755 A755:C755 E756:F756" name="Range1_12"/>
    <protectedRange algorithmName="SHA-512" hashValue="GFzsiTLylRxUgHibqNQDCPidffdB4c+ov7FNIKHC/b7Gj4SEWCEJkHOcw3VfezxmXlNE5ypMKBtG6wyyKUiYgg==" saltValue="DDbCRxh5yIHAqa8O3gMDuA==" spinCount="100000" sqref="E757:N758 A756:C758 G756:N756" name="Range1_21"/>
    <protectedRange algorithmName="SHA-512" hashValue="Am9o8lal7cuw8B0IHtMODD8MKreG+K3U6O4gUOvaqOcOHXR1+ItHHnJY9NayaBJScY2rhG98sI7IE1LK2bzPiw==" saltValue="rbvX0M+aTXuQL1xoX4JZxg==" spinCount="100000" sqref="C765:C767" name="Range1_23"/>
    <protectedRange algorithmName="SHA-512" hashValue="Am9o8lal7cuw8B0IHtMODD8MKreG+K3U6O4gUOvaqOcOHXR1+ItHHnJY9NayaBJScY2rhG98sI7IE1LK2bzPiw==" saltValue="rbvX0M+aTXuQL1xoX4JZxg==" spinCount="100000" sqref="B1:G1" name="Range1_25"/>
    <protectedRange algorithmName="SHA-512" hashValue="pV/96AZojBzLxLacNnTVe4xe6zySYi1XQemubscS4h5eZ9krl2O32Ki6T7pKCf6H2zXg6wW3O60dy6IQIE6/ig==" saltValue="T5vgq5wDpT3TPBmlU/zIHw==" spinCount="100000" sqref="A1" name="Range2"/>
  </protectedRanges>
  <autoFilter ref="A7:CN758" xr:uid="{B4ACE794-1A22-420E-9CF8-B5E210F792A6}">
    <filterColumn colId="4">
      <filters>
        <filter val="0,0"/>
      </filters>
    </filterColumn>
    <filterColumn colId="5">
      <filters>
        <filter val="0,0"/>
      </filters>
    </filterColumn>
    <sortState xmlns:xlrd2="http://schemas.microsoft.com/office/spreadsheetml/2017/richdata2" ref="A8:CN758">
      <sortCondition ref="A7:A758"/>
    </sortState>
  </autoFilter>
  <mergeCells count="65">
    <mergeCell ref="BO3:BO6"/>
    <mergeCell ref="BP3:BP6"/>
    <mergeCell ref="BQ3:BQ6"/>
    <mergeCell ref="BR3:BR6"/>
    <mergeCell ref="BA3:BA6"/>
    <mergeCell ref="BC3:BC6"/>
    <mergeCell ref="BD3:BD6"/>
    <mergeCell ref="BE3:BE6"/>
    <mergeCell ref="BN3:BN6"/>
    <mergeCell ref="BK3:BK6"/>
    <mergeCell ref="BL3:BL6"/>
    <mergeCell ref="BG3:BG6"/>
    <mergeCell ref="AB3:AB6"/>
    <mergeCell ref="AC3:AC6"/>
    <mergeCell ref="AD3:AD6"/>
    <mergeCell ref="AE3:AE6"/>
    <mergeCell ref="AF3:AF6"/>
    <mergeCell ref="A3:A6"/>
    <mergeCell ref="B3:B6"/>
    <mergeCell ref="C3:C6"/>
    <mergeCell ref="D3:D6"/>
    <mergeCell ref="X3:X5"/>
    <mergeCell ref="U4:V4"/>
    <mergeCell ref="F3:F5"/>
    <mergeCell ref="G3:G5"/>
    <mergeCell ref="H3:H5"/>
    <mergeCell ref="I3:I6"/>
    <mergeCell ref="J3:J6"/>
    <mergeCell ref="K3:L4"/>
    <mergeCell ref="M3:M6"/>
    <mergeCell ref="N3:N6"/>
    <mergeCell ref="O3:O6"/>
    <mergeCell ref="Q3:S4"/>
    <mergeCell ref="E3:E5"/>
    <mergeCell ref="U3:W3"/>
    <mergeCell ref="BM3:BM6"/>
    <mergeCell ref="BH3:BH6"/>
    <mergeCell ref="BI3:BI6"/>
    <mergeCell ref="AV3:AV6"/>
    <mergeCell ref="AX3:AX6"/>
    <mergeCell ref="AY3:AY6"/>
    <mergeCell ref="AZ3:AZ6"/>
    <mergeCell ref="BF3:BF6"/>
    <mergeCell ref="AG3:AG6"/>
    <mergeCell ref="AH3:AH6"/>
    <mergeCell ref="BJ3:BJ6"/>
    <mergeCell ref="AU3:AU6"/>
    <mergeCell ref="AI3:AI6"/>
    <mergeCell ref="AJ3:AJ6"/>
    <mergeCell ref="AW3:AW6"/>
    <mergeCell ref="BB3:BB6"/>
    <mergeCell ref="BS3:BS6"/>
    <mergeCell ref="BT3:BT6"/>
    <mergeCell ref="Z3:Z6"/>
    <mergeCell ref="AA3:AA6"/>
    <mergeCell ref="AK3:AK6"/>
    <mergeCell ref="AL3:AL6"/>
    <mergeCell ref="AN3:AN6"/>
    <mergeCell ref="AO3:AO6"/>
    <mergeCell ref="AQ3:AQ6"/>
    <mergeCell ref="AR3:AR6"/>
    <mergeCell ref="AS3:AS6"/>
    <mergeCell ref="AT3:AT6"/>
    <mergeCell ref="AM3:AM6"/>
    <mergeCell ref="AP3:AP6"/>
  </mergeCells>
  <phoneticPr fontId="5" type="noConversion"/>
  <conditionalFormatting sqref="A339">
    <cfRule type="containsText" dxfId="85" priority="1902" operator="containsText" text="JA">
      <formula>NOT(ISERROR(SEARCH("JA",A339)))</formula>
    </cfRule>
    <cfRule type="cellIs" dxfId="84" priority="1901" operator="equal">
      <formula>"Nein"</formula>
    </cfRule>
  </conditionalFormatting>
  <conditionalFormatting sqref="O8:O98">
    <cfRule type="cellIs" dxfId="83" priority="190" operator="equal">
      <formula>"NO"</formula>
    </cfRule>
  </conditionalFormatting>
  <conditionalFormatting sqref="O8:O241">
    <cfRule type="cellIs" dxfId="82" priority="8" operator="equal">
      <formula>"YES"</formula>
    </cfRule>
  </conditionalFormatting>
  <conditionalFormatting sqref="O119">
    <cfRule type="cellIs" dxfId="81" priority="117" operator="equal">
      <formula>"NO"</formula>
    </cfRule>
  </conditionalFormatting>
  <conditionalFormatting sqref="O144:O211">
    <cfRule type="cellIs" dxfId="80" priority="7" operator="equal">
      <formula>"NO"</formula>
    </cfRule>
  </conditionalFormatting>
  <conditionalFormatting sqref="O222:O223">
    <cfRule type="cellIs" dxfId="79" priority="115" operator="equal">
      <formula>"NO"</formula>
    </cfRule>
  </conditionalFormatting>
  <conditionalFormatting sqref="O226">
    <cfRule type="cellIs" dxfId="78" priority="109" operator="equal">
      <formula>"NO"</formula>
    </cfRule>
  </conditionalFormatting>
  <conditionalFormatting sqref="O232:O241">
    <cfRule type="cellIs" dxfId="77" priority="107" operator="equal">
      <formula>"NO"</formula>
    </cfRule>
  </conditionalFormatting>
  <conditionalFormatting sqref="O243:O245">
    <cfRule type="cellIs" dxfId="76" priority="29" operator="equal">
      <formula>"NO"</formula>
    </cfRule>
    <cfRule type="cellIs" dxfId="75" priority="30" operator="equal">
      <formula>"YES"</formula>
    </cfRule>
  </conditionalFormatting>
  <conditionalFormatting sqref="O247">
    <cfRule type="cellIs" dxfId="74" priority="28" operator="equal">
      <formula>"YES"</formula>
    </cfRule>
    <cfRule type="cellIs" dxfId="73" priority="27" operator="equal">
      <formula>"NO"</formula>
    </cfRule>
  </conditionalFormatting>
  <conditionalFormatting sqref="O249:O250">
    <cfRule type="cellIs" dxfId="72" priority="25" operator="equal">
      <formula>"NO"</formula>
    </cfRule>
    <cfRule type="cellIs" dxfId="71" priority="26" operator="equal">
      <formula>"YES"</formula>
    </cfRule>
  </conditionalFormatting>
  <conditionalFormatting sqref="O252:O270">
    <cfRule type="cellIs" dxfId="70" priority="23" operator="equal">
      <formula>"NO"</formula>
    </cfRule>
    <cfRule type="cellIs" dxfId="69" priority="24" operator="equal">
      <formula>"YES"</formula>
    </cfRule>
  </conditionalFormatting>
  <conditionalFormatting sqref="O272:O278">
    <cfRule type="cellIs" dxfId="68" priority="5" operator="equal">
      <formula>"NO"</formula>
    </cfRule>
    <cfRule type="cellIs" dxfId="67" priority="6" operator="equal">
      <formula>"YES"</formula>
    </cfRule>
  </conditionalFormatting>
  <conditionalFormatting sqref="O282:O284">
    <cfRule type="cellIs" dxfId="66" priority="3" operator="equal">
      <formula>"NO"</formula>
    </cfRule>
    <cfRule type="cellIs" dxfId="65" priority="4" operator="equal">
      <formula>"YES"</formula>
    </cfRule>
  </conditionalFormatting>
  <conditionalFormatting sqref="O302:O304">
    <cfRule type="cellIs" dxfId="64" priority="99" operator="equal">
      <formula>"NO"</formula>
    </cfRule>
    <cfRule type="cellIs" dxfId="63" priority="100" operator="equal">
      <formula>"YES"</formula>
    </cfRule>
  </conditionalFormatting>
  <conditionalFormatting sqref="O306">
    <cfRule type="cellIs" dxfId="62" priority="98" operator="equal">
      <formula>"YES"</formula>
    </cfRule>
    <cfRule type="cellIs" dxfId="61" priority="97" operator="equal">
      <formula>"NO"</formula>
    </cfRule>
  </conditionalFormatting>
  <conditionalFormatting sqref="O315">
    <cfRule type="cellIs" dxfId="60" priority="96" operator="equal">
      <formula>"YES"</formula>
    </cfRule>
    <cfRule type="cellIs" dxfId="59" priority="95" operator="equal">
      <formula>"NO"</formula>
    </cfRule>
  </conditionalFormatting>
  <conditionalFormatting sqref="O330:O331">
    <cfRule type="cellIs" dxfId="58" priority="94" operator="equal">
      <formula>"YES"</formula>
    </cfRule>
    <cfRule type="cellIs" dxfId="57" priority="93" operator="equal">
      <formula>"NO"</formula>
    </cfRule>
  </conditionalFormatting>
  <conditionalFormatting sqref="O333:O363">
    <cfRule type="cellIs" dxfId="56" priority="2" operator="equal">
      <formula>"YES"</formula>
    </cfRule>
    <cfRule type="cellIs" dxfId="55" priority="1" operator="equal">
      <formula>"NO"</formula>
    </cfRule>
  </conditionalFormatting>
  <conditionalFormatting sqref="O393">
    <cfRule type="cellIs" dxfId="54" priority="84" operator="equal">
      <formula>"YES"</formula>
    </cfRule>
    <cfRule type="cellIs" dxfId="53" priority="83" operator="equal">
      <formula>"NO"</formula>
    </cfRule>
  </conditionalFormatting>
  <conditionalFormatting sqref="O399">
    <cfRule type="cellIs" dxfId="52" priority="87" operator="equal">
      <formula>"NO"</formula>
    </cfRule>
    <cfRule type="cellIs" dxfId="51" priority="88" operator="equal">
      <formula>"YES"</formula>
    </cfRule>
  </conditionalFormatting>
  <conditionalFormatting sqref="O408">
    <cfRule type="cellIs" dxfId="50" priority="81" operator="equal">
      <formula>"NO"</formula>
    </cfRule>
    <cfRule type="cellIs" dxfId="49" priority="82" operator="equal">
      <formula>"YES"</formula>
    </cfRule>
  </conditionalFormatting>
  <conditionalFormatting sqref="O418:O439 O441">
    <cfRule type="cellIs" dxfId="48" priority="79" operator="equal">
      <formula>"NO"</formula>
    </cfRule>
  </conditionalFormatting>
  <conditionalFormatting sqref="O418:O460">
    <cfRule type="cellIs" dxfId="47" priority="78" operator="equal">
      <formula>"YES"</formula>
    </cfRule>
  </conditionalFormatting>
  <conditionalFormatting sqref="O443:O460">
    <cfRule type="cellIs" dxfId="46" priority="753" operator="equal">
      <formula>"NO"</formula>
    </cfRule>
  </conditionalFormatting>
  <conditionalFormatting sqref="O465:O466">
    <cfRule type="cellIs" dxfId="45" priority="37" operator="equal">
      <formula>"NO"</formula>
    </cfRule>
    <cfRule type="cellIs" dxfId="44" priority="38" operator="equal">
      <formula>"YES"</formula>
    </cfRule>
  </conditionalFormatting>
  <conditionalFormatting sqref="O470:O471">
    <cfRule type="cellIs" dxfId="43" priority="17" operator="equal">
      <formula>"NO"</formula>
    </cfRule>
    <cfRule type="cellIs" dxfId="42" priority="18" operator="equal">
      <formula>"YES"</formula>
    </cfRule>
  </conditionalFormatting>
  <conditionalFormatting sqref="O474">
    <cfRule type="cellIs" dxfId="41" priority="77" operator="equal">
      <formula>"YES"</formula>
    </cfRule>
    <cfRule type="cellIs" dxfId="40" priority="76" operator="equal">
      <formula>"NO"</formula>
    </cfRule>
  </conditionalFormatting>
  <conditionalFormatting sqref="O477">
    <cfRule type="cellIs" dxfId="39" priority="75" operator="equal">
      <formula>"YES"</formula>
    </cfRule>
    <cfRule type="cellIs" dxfId="38" priority="74" operator="equal">
      <formula>"NO"</formula>
    </cfRule>
  </conditionalFormatting>
  <conditionalFormatting sqref="O480">
    <cfRule type="cellIs" dxfId="37" priority="39" operator="equal">
      <formula>"NO"</formula>
    </cfRule>
    <cfRule type="cellIs" dxfId="36" priority="40" operator="equal">
      <formula>"YES"</formula>
    </cfRule>
  </conditionalFormatting>
  <conditionalFormatting sqref="O482:O485">
    <cfRule type="cellIs" dxfId="35" priority="15" operator="equal">
      <formula>"NO"</formula>
    </cfRule>
    <cfRule type="cellIs" dxfId="34" priority="16" operator="equal">
      <formula>"YES"</formula>
    </cfRule>
  </conditionalFormatting>
  <conditionalFormatting sqref="O488 O490:O492">
    <cfRule type="cellIs" dxfId="33" priority="1591" operator="equal">
      <formula>"NO"</formula>
    </cfRule>
    <cfRule type="cellIs" dxfId="32" priority="1592" operator="equal">
      <formula>"YES"</formula>
    </cfRule>
  </conditionalFormatting>
  <conditionalFormatting sqref="O495:O504">
    <cfRule type="cellIs" dxfId="31" priority="42" operator="equal">
      <formula>"YES"</formula>
    </cfRule>
  </conditionalFormatting>
  <conditionalFormatting sqref="O496">
    <cfRule type="cellIs" dxfId="30" priority="72" operator="equal">
      <formula>"NO"</formula>
    </cfRule>
  </conditionalFormatting>
  <conditionalFormatting sqref="O501">
    <cfRule type="cellIs" dxfId="29" priority="41" operator="equal">
      <formula>"NO"</formula>
    </cfRule>
  </conditionalFormatting>
  <conditionalFormatting sqref="O504">
    <cfRule type="cellIs" dxfId="28" priority="70" operator="equal">
      <formula>"NO"</formula>
    </cfRule>
  </conditionalFormatting>
  <conditionalFormatting sqref="O509">
    <cfRule type="cellIs" dxfId="27" priority="44" operator="equal">
      <formula>"YES"</formula>
    </cfRule>
    <cfRule type="cellIs" dxfId="26" priority="43" operator="equal">
      <formula>"NO"</formula>
    </cfRule>
  </conditionalFormatting>
  <conditionalFormatting sqref="O512:O514">
    <cfRule type="cellIs" dxfId="25" priority="14" operator="equal">
      <formula>"YES"</formula>
    </cfRule>
    <cfRule type="cellIs" dxfId="24" priority="13" operator="equal">
      <formula>"NO"</formula>
    </cfRule>
  </conditionalFormatting>
  <conditionalFormatting sqref="O518">
    <cfRule type="cellIs" dxfId="23" priority="45" operator="equal">
      <formula>"NO"</formula>
    </cfRule>
    <cfRule type="cellIs" dxfId="22" priority="46" operator="equal">
      <formula>"YES"</formula>
    </cfRule>
  </conditionalFormatting>
  <conditionalFormatting sqref="O520:O573">
    <cfRule type="cellIs" dxfId="21" priority="11" operator="equal">
      <formula>"NO"</formula>
    </cfRule>
  </conditionalFormatting>
  <conditionalFormatting sqref="O520:O577">
    <cfRule type="cellIs" dxfId="20" priority="12" operator="equal">
      <formula>"YES"</formula>
    </cfRule>
  </conditionalFormatting>
  <conditionalFormatting sqref="O575">
    <cfRule type="cellIs" dxfId="19" priority="49" operator="equal">
      <formula>"NO"</formula>
    </cfRule>
  </conditionalFormatting>
  <conditionalFormatting sqref="O579:O614">
    <cfRule type="cellIs" dxfId="18" priority="1271" operator="equal">
      <formula>"YES"</formula>
    </cfRule>
  </conditionalFormatting>
  <conditionalFormatting sqref="O616:O694">
    <cfRule type="cellIs" dxfId="17" priority="68" operator="equal">
      <formula>"YES"</formula>
    </cfRule>
  </conditionalFormatting>
  <conditionalFormatting sqref="O651:O694">
    <cfRule type="cellIs" dxfId="16" priority="146" operator="equal">
      <formula>"NO"</formula>
    </cfRule>
  </conditionalFormatting>
  <conditionalFormatting sqref="O697">
    <cfRule type="cellIs" dxfId="15" priority="66" operator="equal">
      <formula>"NO"</formula>
    </cfRule>
    <cfRule type="cellIs" dxfId="14" priority="67" operator="equal">
      <formula>"YES"</formula>
    </cfRule>
  </conditionalFormatting>
  <conditionalFormatting sqref="O719">
    <cfRule type="cellIs" dxfId="13" priority="65" operator="equal">
      <formula>"YES"</formula>
    </cfRule>
    <cfRule type="cellIs" dxfId="12" priority="64" operator="equal">
      <formula>"NO"</formula>
    </cfRule>
  </conditionalFormatting>
  <conditionalFormatting sqref="O733:O742">
    <cfRule type="cellIs" dxfId="11" priority="63" operator="equal">
      <formula>"YES"</formula>
    </cfRule>
    <cfRule type="cellIs" dxfId="10" priority="62" operator="equal">
      <formula>"NO"</formula>
    </cfRule>
  </conditionalFormatting>
  <conditionalFormatting sqref="O755">
    <cfRule type="cellIs" dxfId="9" priority="59" operator="equal">
      <formula>"YES"</formula>
    </cfRule>
    <cfRule type="cellIs" dxfId="8" priority="58" operator="equal">
      <formula>"NO"</formula>
    </cfRule>
  </conditionalFormatting>
  <conditionalFormatting sqref="O757">
    <cfRule type="cellIs" dxfId="7" priority="57" operator="equal">
      <formula>"YES"</formula>
    </cfRule>
    <cfRule type="cellIs" dxfId="6" priority="56" operator="equal">
      <formula>"NO"</formula>
    </cfRule>
  </conditionalFormatting>
  <conditionalFormatting sqref="R8:S758 V8:V758">
    <cfRule type="notContainsBlanks" dxfId="5" priority="1983">
      <formula>LEN(TRIM(R8))&gt;0</formula>
    </cfRule>
  </conditionalFormatting>
  <conditionalFormatting sqref="R8:S758">
    <cfRule type="containsBlanks" dxfId="4" priority="1979">
      <formula>LEN(TRIM(R8))=0</formula>
    </cfRule>
  </conditionalFormatting>
  <conditionalFormatting sqref="U8:U758 W8:X758">
    <cfRule type="cellIs" dxfId="3" priority="1853" operator="equal">
      <formula>"Mitigation"</formula>
    </cfRule>
  </conditionalFormatting>
  <conditionalFormatting sqref="U8:U758">
    <cfRule type="cellIs" dxfId="2" priority="1851" operator="equal">
      <formula>"Mitigation"</formula>
    </cfRule>
    <cfRule type="containsBlanks" dxfId="1" priority="1852">
      <formula>LEN(TRIM(U8))=0</formula>
    </cfRule>
  </conditionalFormatting>
  <conditionalFormatting sqref="U8:X758">
    <cfRule type="containsBlanks" dxfId="0" priority="1858">
      <formula>LEN(TRIM(U8))=0</formula>
    </cfRule>
  </conditionalFormatting>
  <hyperlinks>
    <hyperlink ref="B206" r:id="rId1" display="http://www.sigmaaldrich.com/catalog/Lookup.do?N5=CAS+No.&amp;N3=mode+matchpartialmax&amp;N4=16788-57-1&amp;D7=0&amp;D10=&amp;N25=0&amp;N1=S_ID&amp;ST=RS&amp;F=PR" xr:uid="{82CB2744-B605-4FFC-B491-2E700FDBEC94}"/>
    <hyperlink ref="B19" r:id="rId2" display="http://www.chemicalregister.com/2-Deoxy-D-Ribose/Suppliers/pid18261.htm" xr:uid="{AA2F4B9E-2F6F-4FD4-A609-3C2DB2280D88}"/>
    <hyperlink ref="C622" r:id="rId3" location="query=C7H5O2Na" tooltip="Find all compounds that have this formula" display="https://pubchem.ncbi.nlm.nih.gov/ - query=C7H5O2Na" xr:uid="{0318C562-3EA0-4021-841F-25B3E0C6E2E5}"/>
  </hyperlinks>
  <pageMargins left="0.70866141732283472" right="0.70866141732283472" top="0.74803149606299213" bottom="0.74803149606299213" header="0.31496062992125984" footer="0.31496062992125984"/>
  <pageSetup paperSize="8" scale="31" fitToHeight="0" orientation="landscape" r:id="rId4"/>
  <headerFooter>
    <oddFooter xml:space="preserve">&amp;L_x000D_&amp;1#&amp;"Aptos"&amp;10&amp;KFF0000 Confidential </oddFooter>
  </headerFooter>
  <colBreaks count="1" manualBreakCount="1">
    <brk id="24" max="758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23E4F4451B5449DA468F646C573F6" ma:contentTypeVersion="12" ma:contentTypeDescription="Create a new document." ma:contentTypeScope="" ma:versionID="53b41797499a7254b6ab33888ca520f9">
  <xsd:schema xmlns:xsd="http://www.w3.org/2001/XMLSchema" xmlns:xs="http://www.w3.org/2001/XMLSchema" xmlns:p="http://schemas.microsoft.com/office/2006/metadata/properties" xmlns:ns2="f10d2f0c-46f6-4038-a6ac-79bc1f59c00f" xmlns:ns3="deab7e4b-86db-45fc-9926-6ce1ddb74091" targetNamespace="http://schemas.microsoft.com/office/2006/metadata/properties" ma:root="true" ma:fieldsID="826c4d872829f1f243a72bb932c9b6d7" ns2:_="" ns3:_="">
    <xsd:import namespace="f10d2f0c-46f6-4038-a6ac-79bc1f59c00f"/>
    <xsd:import namespace="deab7e4b-86db-45fc-9926-6ce1ddb740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d2f0c-46f6-4038-a6ac-79bc1f59c0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b7e4b-86db-45fc-9926-6ce1ddb740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85251C-C74E-4AC8-80FA-B8D15AC325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262394-7707-4E12-9D9C-3C2803F26FFA}">
  <ds:schemaRefs>
    <ds:schemaRef ds:uri="http://purl.org/dc/terms/"/>
    <ds:schemaRef ds:uri="http://schemas.microsoft.com/office/2006/documentManagement/types"/>
    <ds:schemaRef ds:uri="http://purl.org/dc/dcmitype/"/>
    <ds:schemaRef ds:uri="deab7e4b-86db-45fc-9926-6ce1ddb74091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10d2f0c-46f6-4038-a6ac-79bc1f59c00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A0C7470-16F0-495B-A933-ABA313DE44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d2f0c-46f6-4038-a6ac-79bc1f59c00f"/>
    <ds:schemaRef ds:uri="deab7e4b-86db-45fc-9926-6ce1ddb740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fd184a1-5aee-4074-ab36-fe8fb7d2c4c5}" enabled="1" method="Privileged" siteId="{63982aff-fb6c-4c22-973b-70e4acfb63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Compound compilation</vt:lpstr>
      <vt:lpstr>'Compound compilation'!Print_Area</vt:lpstr>
      <vt:lpstr>'Compound compilation'!Print_Titles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Caiveau</dc:creator>
  <cp:lastModifiedBy>Yaqing Hu</cp:lastModifiedBy>
  <cp:lastPrinted>2024-05-31T13:35:14Z</cp:lastPrinted>
  <dcterms:created xsi:type="dcterms:W3CDTF">2021-09-16T13:04:04Z</dcterms:created>
  <dcterms:modified xsi:type="dcterms:W3CDTF">2026-01-26T14:26:16Z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0x0101002CE23E4F4451B5449DA468F646C573F6</vt:lpwstr>
  </property>
  <property fmtid="{D5CDD505-2E9C-101B-9397-08002B2CF9AE}" pid="3" name="MSIP_Label_bea66b2b-af80-48b6-873b-d341d3035cfa_Enabled">
    <vt:lpwstr>true</vt:lpwstr>
  </property>
  <property fmtid="{D5CDD505-2E9C-101B-9397-08002B2CF9AE}" pid="4" name="MSIP_Label_bea66b2b-af80-48b6-873b-d341d3035cfa_SetDate">
    <vt:lpwstr>2024-03-05T14:44:33Z</vt:lpwstr>
  </property>
  <property fmtid="{D5CDD505-2E9C-101B-9397-08002B2CF9AE}" pid="5" name="MSIP_Label_bea66b2b-af80-48b6-873b-d341d3035cfa_Method">
    <vt:lpwstr>Standard</vt:lpwstr>
  </property>
  <property fmtid="{D5CDD505-2E9C-101B-9397-08002B2CF9AE}" pid="6" name="MSIP_Label_bea66b2b-af80-48b6-873b-d341d3035cfa_Name">
    <vt:lpwstr>Proprietary</vt:lpwstr>
  </property>
  <property fmtid="{D5CDD505-2E9C-101B-9397-08002B2CF9AE}" pid="7" name="MSIP_Label_bea66b2b-af80-48b6-873b-d341d3035cfa_SiteId">
    <vt:lpwstr>63982aff-fb6c-4c22-973b-70e4acfb63e6</vt:lpwstr>
  </property>
  <property fmtid="{D5CDD505-2E9C-101B-9397-08002B2CF9AE}" pid="8" name="MSIP_Label_bea66b2b-af80-48b6-873b-d341d3035cfa_ActionId">
    <vt:lpwstr>d41c1d0c-751b-4661-969b-1c314f667c87</vt:lpwstr>
  </property>
  <property fmtid="{D5CDD505-2E9C-101B-9397-08002B2CF9AE}" pid="9" name="MSIP_Label_bea66b2b-af80-48b6-873b-d341d3035cfa_ContentBits">
    <vt:lpwstr>0</vt:lpwstr>
  </property>
</Properties>
</file>